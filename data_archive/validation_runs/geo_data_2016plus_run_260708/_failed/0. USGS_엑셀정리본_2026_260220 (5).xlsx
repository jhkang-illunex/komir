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E17C3FCA-120A-476B-AEEB-7C1F0F2FD9A1}" xr6:coauthVersionLast="47" xr6:coauthVersionMax="47" xr10:uidLastSave="{00000000-0000-0000-0000-000000000000}"/>
  <bookViews>
    <workbookView xWindow="-120" yWindow="-120" windowWidth="29040" windowHeight="15720" tabRatio="521" xr2:uid="{00000000-000D-0000-FFFF-FFFF00000000}"/>
  </bookViews>
  <sheets>
    <sheet name="광종별" sheetId="5" r:id="rId1"/>
    <sheet name="국가별" sheetId="3" r:id="rId2"/>
    <sheet name="피벗전용데이터" sheetId="1" r:id="rId3"/>
    <sheet name="RawData" sheetId="2" r:id="rId4"/>
  </sheets>
  <definedNames>
    <definedName name="_xlnm._FilterDatabase" localSheetId="2" hidden="1">피벗전용데이터!$A$1:$N$753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슬라이서_COMMODITY">#N/A</definedName>
    <definedName name="슬라이서_COMMODITY1">#N/A</definedName>
    <definedName name="슬라이서_COMMODITY2">#N/A</definedName>
    <definedName name="슬라이서_COUNTRY">#N/A</definedName>
    <definedName name="슬라이서_COUNTRY1">#N/A</definedName>
    <definedName name="슬라이서_COUNTRY2">#N/A</definedName>
  </definedNames>
  <calcPr calcId="191029"/>
  <pivotCaches>
    <pivotCache cacheId="18" r:id="rId5"/>
    <pivotCache cacheId="2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C3" i="1"/>
  <c r="D3" i="1"/>
  <c r="E3" i="1"/>
  <c r="F3" i="1"/>
  <c r="G3" i="1"/>
  <c r="H3" i="1"/>
  <c r="K3" i="1"/>
  <c r="L3" i="1"/>
  <c r="A4" i="1"/>
  <c r="B4" i="1"/>
  <c r="C4" i="1"/>
  <c r="D4" i="1"/>
  <c r="E4" i="1"/>
  <c r="F4" i="1"/>
  <c r="G4" i="1"/>
  <c r="H4" i="1"/>
  <c r="I4" i="1" s="1"/>
  <c r="K4" i="1"/>
  <c r="L4" i="1"/>
  <c r="A5" i="1"/>
  <c r="B5" i="1"/>
  <c r="C5" i="1"/>
  <c r="D5" i="1"/>
  <c r="E5" i="1"/>
  <c r="F5" i="1"/>
  <c r="G5" i="1"/>
  <c r="H5" i="1"/>
  <c r="K5" i="1"/>
  <c r="L5" i="1"/>
  <c r="A6" i="1"/>
  <c r="B6" i="1"/>
  <c r="C6" i="1"/>
  <c r="D6" i="1"/>
  <c r="E6" i="1"/>
  <c r="F6" i="1"/>
  <c r="G6" i="1"/>
  <c r="H6" i="1"/>
  <c r="K6" i="1"/>
  <c r="L6" i="1"/>
  <c r="A7" i="1"/>
  <c r="B7" i="1"/>
  <c r="C7" i="1"/>
  <c r="D7" i="1"/>
  <c r="E7" i="1"/>
  <c r="F7" i="1"/>
  <c r="G7" i="1"/>
  <c r="H7" i="1"/>
  <c r="K7" i="1"/>
  <c r="L7" i="1"/>
  <c r="M7" i="1" s="1"/>
  <c r="A8" i="1"/>
  <c r="B8" i="1"/>
  <c r="C8" i="1"/>
  <c r="D8" i="1"/>
  <c r="E8" i="1"/>
  <c r="F8" i="1"/>
  <c r="G8" i="1"/>
  <c r="H8" i="1"/>
  <c r="K8" i="1"/>
  <c r="L8" i="1"/>
  <c r="A9" i="1"/>
  <c r="B9" i="1"/>
  <c r="C9" i="1"/>
  <c r="D9" i="1"/>
  <c r="E9" i="1"/>
  <c r="F9" i="1"/>
  <c r="G9" i="1"/>
  <c r="H9" i="1"/>
  <c r="K9" i="1"/>
  <c r="L9" i="1"/>
  <c r="A10" i="1"/>
  <c r="B10" i="1"/>
  <c r="C10" i="1"/>
  <c r="D10" i="1"/>
  <c r="E10" i="1"/>
  <c r="F10" i="1"/>
  <c r="G10" i="1"/>
  <c r="H10" i="1"/>
  <c r="K10" i="1"/>
  <c r="L10" i="1"/>
  <c r="A11" i="1"/>
  <c r="B11" i="1"/>
  <c r="C11" i="1"/>
  <c r="D11" i="1"/>
  <c r="E11" i="1"/>
  <c r="F11" i="1"/>
  <c r="G11" i="1"/>
  <c r="H11" i="1"/>
  <c r="K11" i="1"/>
  <c r="L11" i="1"/>
  <c r="M11" i="1" s="1"/>
  <c r="A12" i="1"/>
  <c r="B12" i="1"/>
  <c r="C12" i="1"/>
  <c r="D12" i="1"/>
  <c r="E12" i="1"/>
  <c r="F12" i="1"/>
  <c r="G12" i="1"/>
  <c r="H12" i="1"/>
  <c r="K12" i="1"/>
  <c r="L12" i="1"/>
  <c r="A13" i="1"/>
  <c r="B13" i="1"/>
  <c r="C13" i="1"/>
  <c r="D13" i="1"/>
  <c r="E13" i="1"/>
  <c r="F13" i="1"/>
  <c r="G13" i="1"/>
  <c r="H13" i="1"/>
  <c r="K13" i="1"/>
  <c r="L13" i="1"/>
  <c r="A14" i="1"/>
  <c r="B14" i="1"/>
  <c r="C14" i="1"/>
  <c r="D14" i="1"/>
  <c r="E14" i="1"/>
  <c r="F14" i="1"/>
  <c r="G14" i="1"/>
  <c r="H14" i="1"/>
  <c r="K14" i="1"/>
  <c r="L14" i="1"/>
  <c r="A15" i="1"/>
  <c r="B15" i="1"/>
  <c r="C15" i="1"/>
  <c r="D15" i="1"/>
  <c r="E15" i="1"/>
  <c r="F15" i="1"/>
  <c r="G15" i="1"/>
  <c r="H15" i="1"/>
  <c r="K15" i="1"/>
  <c r="L15" i="1"/>
  <c r="A16" i="1"/>
  <c r="B16" i="1"/>
  <c r="C16" i="1"/>
  <c r="D16" i="1"/>
  <c r="E16" i="1"/>
  <c r="F16" i="1"/>
  <c r="G16" i="1"/>
  <c r="H16" i="1"/>
  <c r="I16" i="1" s="1"/>
  <c r="K16" i="1"/>
  <c r="L16" i="1"/>
  <c r="A17" i="1"/>
  <c r="B17" i="1"/>
  <c r="C17" i="1"/>
  <c r="D17" i="1"/>
  <c r="E17" i="1"/>
  <c r="F17" i="1"/>
  <c r="G17" i="1"/>
  <c r="H17" i="1"/>
  <c r="K17" i="1"/>
  <c r="L17" i="1"/>
  <c r="M17" i="1" s="1"/>
  <c r="A18" i="1"/>
  <c r="B18" i="1"/>
  <c r="C18" i="1"/>
  <c r="D18" i="1"/>
  <c r="E18" i="1"/>
  <c r="F18" i="1"/>
  <c r="G18" i="1"/>
  <c r="H18" i="1"/>
  <c r="K18" i="1"/>
  <c r="L18" i="1"/>
  <c r="A19" i="1"/>
  <c r="B19" i="1"/>
  <c r="C19" i="1"/>
  <c r="D19" i="1"/>
  <c r="E19" i="1"/>
  <c r="F19" i="1"/>
  <c r="G19" i="1"/>
  <c r="H19" i="1"/>
  <c r="K19" i="1"/>
  <c r="L19" i="1"/>
  <c r="A20" i="1"/>
  <c r="B20" i="1"/>
  <c r="C20" i="1"/>
  <c r="D20" i="1"/>
  <c r="E20" i="1"/>
  <c r="F20" i="1"/>
  <c r="G20" i="1"/>
  <c r="H20" i="1"/>
  <c r="K20" i="1"/>
  <c r="L20" i="1"/>
  <c r="A21" i="1"/>
  <c r="B21" i="1"/>
  <c r="C21" i="1"/>
  <c r="D21" i="1"/>
  <c r="E21" i="1"/>
  <c r="F21" i="1"/>
  <c r="G21" i="1"/>
  <c r="H21" i="1"/>
  <c r="K21" i="1"/>
  <c r="L21" i="1"/>
  <c r="A22" i="1"/>
  <c r="B22" i="1"/>
  <c r="C22" i="1"/>
  <c r="D22" i="1"/>
  <c r="E22" i="1"/>
  <c r="F22" i="1"/>
  <c r="G22" i="1"/>
  <c r="H22" i="1"/>
  <c r="K22" i="1"/>
  <c r="L22" i="1"/>
  <c r="A23" i="1"/>
  <c r="B23" i="1"/>
  <c r="C23" i="1"/>
  <c r="D23" i="1"/>
  <c r="E23" i="1"/>
  <c r="F23" i="1"/>
  <c r="G23" i="1"/>
  <c r="H23" i="1"/>
  <c r="K23" i="1"/>
  <c r="L23" i="1"/>
  <c r="A24" i="1"/>
  <c r="B24" i="1"/>
  <c r="C24" i="1"/>
  <c r="D24" i="1"/>
  <c r="E24" i="1"/>
  <c r="F24" i="1"/>
  <c r="G24" i="1"/>
  <c r="H24" i="1"/>
  <c r="K24" i="1"/>
  <c r="L24" i="1"/>
  <c r="A25" i="1"/>
  <c r="B25" i="1"/>
  <c r="C25" i="1"/>
  <c r="D25" i="1"/>
  <c r="E25" i="1"/>
  <c r="F25" i="1"/>
  <c r="G25" i="1"/>
  <c r="H25" i="1"/>
  <c r="K25" i="1"/>
  <c r="L25" i="1"/>
  <c r="A26" i="1"/>
  <c r="B26" i="1"/>
  <c r="C26" i="1"/>
  <c r="D26" i="1"/>
  <c r="E26" i="1"/>
  <c r="F26" i="1"/>
  <c r="G26" i="1"/>
  <c r="H26" i="1"/>
  <c r="K26" i="1"/>
  <c r="L26" i="1"/>
  <c r="A27" i="1"/>
  <c r="B27" i="1"/>
  <c r="C27" i="1"/>
  <c r="D27" i="1"/>
  <c r="E27" i="1"/>
  <c r="F27" i="1"/>
  <c r="G27" i="1"/>
  <c r="H27" i="1"/>
  <c r="K27" i="1"/>
  <c r="L27" i="1"/>
  <c r="A28" i="1"/>
  <c r="B28" i="1"/>
  <c r="C28" i="1"/>
  <c r="D28" i="1"/>
  <c r="E28" i="1"/>
  <c r="F28" i="1"/>
  <c r="G28" i="1"/>
  <c r="H28" i="1"/>
  <c r="K28" i="1"/>
  <c r="L28" i="1"/>
  <c r="A29" i="1"/>
  <c r="B29" i="1"/>
  <c r="C29" i="1"/>
  <c r="D29" i="1"/>
  <c r="E29" i="1"/>
  <c r="F29" i="1"/>
  <c r="G29" i="1"/>
  <c r="H29" i="1"/>
  <c r="K29" i="1"/>
  <c r="L29" i="1"/>
  <c r="A30" i="1"/>
  <c r="B30" i="1"/>
  <c r="C30" i="1"/>
  <c r="D30" i="1"/>
  <c r="E30" i="1"/>
  <c r="F30" i="1"/>
  <c r="G30" i="1"/>
  <c r="H30" i="1"/>
  <c r="K30" i="1"/>
  <c r="L30" i="1"/>
  <c r="A31" i="1"/>
  <c r="B31" i="1"/>
  <c r="C31" i="1"/>
  <c r="D31" i="1"/>
  <c r="E31" i="1"/>
  <c r="F31" i="1"/>
  <c r="G31" i="1"/>
  <c r="H31" i="1"/>
  <c r="K31" i="1"/>
  <c r="L31" i="1"/>
  <c r="A32" i="1"/>
  <c r="B32" i="1"/>
  <c r="C32" i="1"/>
  <c r="D32" i="1"/>
  <c r="E32" i="1"/>
  <c r="F32" i="1"/>
  <c r="G32" i="1"/>
  <c r="H32" i="1"/>
  <c r="K32" i="1"/>
  <c r="L32" i="1"/>
  <c r="A33" i="1"/>
  <c r="B33" i="1"/>
  <c r="C33" i="1"/>
  <c r="D33" i="1"/>
  <c r="E33" i="1"/>
  <c r="F33" i="1"/>
  <c r="G33" i="1"/>
  <c r="H33" i="1"/>
  <c r="K33" i="1"/>
  <c r="L33" i="1"/>
  <c r="A34" i="1"/>
  <c r="B34" i="1"/>
  <c r="C34" i="1"/>
  <c r="D34" i="1"/>
  <c r="E34" i="1"/>
  <c r="F34" i="1"/>
  <c r="G34" i="1"/>
  <c r="H34" i="1"/>
  <c r="K34" i="1"/>
  <c r="L34" i="1"/>
  <c r="A35" i="1"/>
  <c r="B35" i="1"/>
  <c r="C35" i="1"/>
  <c r="D35" i="1"/>
  <c r="E35" i="1"/>
  <c r="F35" i="1"/>
  <c r="G35" i="1"/>
  <c r="H35" i="1"/>
  <c r="K35" i="1"/>
  <c r="L35" i="1"/>
  <c r="A36" i="1"/>
  <c r="B36" i="1"/>
  <c r="C36" i="1"/>
  <c r="D36" i="1"/>
  <c r="E36" i="1"/>
  <c r="F36" i="1"/>
  <c r="G36" i="1"/>
  <c r="H36" i="1"/>
  <c r="K36" i="1"/>
  <c r="L36" i="1"/>
  <c r="A37" i="1"/>
  <c r="B37" i="1"/>
  <c r="C37" i="1"/>
  <c r="D37" i="1"/>
  <c r="E37" i="1"/>
  <c r="F37" i="1"/>
  <c r="G37" i="1"/>
  <c r="H37" i="1"/>
  <c r="K37" i="1"/>
  <c r="L37" i="1"/>
  <c r="A38" i="1"/>
  <c r="B38" i="1"/>
  <c r="C38" i="1"/>
  <c r="D38" i="1"/>
  <c r="E38" i="1"/>
  <c r="F38" i="1"/>
  <c r="G38" i="1"/>
  <c r="H38" i="1"/>
  <c r="K38" i="1"/>
  <c r="L38" i="1"/>
  <c r="A39" i="1"/>
  <c r="B39" i="1"/>
  <c r="C39" i="1"/>
  <c r="D39" i="1"/>
  <c r="E39" i="1"/>
  <c r="F39" i="1"/>
  <c r="G39" i="1"/>
  <c r="H39" i="1"/>
  <c r="K39" i="1"/>
  <c r="L39" i="1"/>
  <c r="A40" i="1"/>
  <c r="B40" i="1"/>
  <c r="C40" i="1"/>
  <c r="D40" i="1"/>
  <c r="E40" i="1"/>
  <c r="F40" i="1"/>
  <c r="G40" i="1"/>
  <c r="H40" i="1"/>
  <c r="K40" i="1"/>
  <c r="L40" i="1"/>
  <c r="A41" i="1"/>
  <c r="B41" i="1"/>
  <c r="C41" i="1"/>
  <c r="D41" i="1"/>
  <c r="E41" i="1"/>
  <c r="F41" i="1"/>
  <c r="G41" i="1"/>
  <c r="H41" i="1"/>
  <c r="K41" i="1"/>
  <c r="L41" i="1"/>
  <c r="M41" i="1" s="1"/>
  <c r="A42" i="1"/>
  <c r="B42" i="1"/>
  <c r="C42" i="1"/>
  <c r="D42" i="1"/>
  <c r="E42" i="1"/>
  <c r="F42" i="1"/>
  <c r="G42" i="1"/>
  <c r="H42" i="1"/>
  <c r="K42" i="1"/>
  <c r="L42" i="1"/>
  <c r="A43" i="1"/>
  <c r="B43" i="1"/>
  <c r="C43" i="1"/>
  <c r="D43" i="1"/>
  <c r="E43" i="1"/>
  <c r="F43" i="1"/>
  <c r="G43" i="1"/>
  <c r="H43" i="1"/>
  <c r="K43" i="1"/>
  <c r="L43" i="1"/>
  <c r="A44" i="1"/>
  <c r="B44" i="1"/>
  <c r="C44" i="1"/>
  <c r="D44" i="1"/>
  <c r="E44" i="1"/>
  <c r="F44" i="1"/>
  <c r="G44" i="1"/>
  <c r="H44" i="1"/>
  <c r="K44" i="1"/>
  <c r="L44" i="1"/>
  <c r="A45" i="1"/>
  <c r="B45" i="1"/>
  <c r="C45" i="1"/>
  <c r="D45" i="1"/>
  <c r="E45" i="1"/>
  <c r="F45" i="1"/>
  <c r="G45" i="1"/>
  <c r="H45" i="1"/>
  <c r="K45" i="1"/>
  <c r="L45" i="1"/>
  <c r="A46" i="1"/>
  <c r="B46" i="1"/>
  <c r="C46" i="1"/>
  <c r="D46" i="1"/>
  <c r="E46" i="1"/>
  <c r="F46" i="1"/>
  <c r="G46" i="1"/>
  <c r="H46" i="1"/>
  <c r="K46" i="1"/>
  <c r="L46" i="1"/>
  <c r="A47" i="1"/>
  <c r="B47" i="1"/>
  <c r="C47" i="1"/>
  <c r="D47" i="1"/>
  <c r="E47" i="1"/>
  <c r="F47" i="1"/>
  <c r="G47" i="1"/>
  <c r="H47" i="1"/>
  <c r="K47" i="1"/>
  <c r="L47" i="1"/>
  <c r="A48" i="1"/>
  <c r="B48" i="1"/>
  <c r="C48" i="1"/>
  <c r="D48" i="1"/>
  <c r="E48" i="1"/>
  <c r="F48" i="1"/>
  <c r="G48" i="1"/>
  <c r="H48" i="1"/>
  <c r="K48" i="1"/>
  <c r="L48" i="1"/>
  <c r="A49" i="1"/>
  <c r="B49" i="1"/>
  <c r="C49" i="1"/>
  <c r="D49" i="1"/>
  <c r="E49" i="1"/>
  <c r="F49" i="1"/>
  <c r="G49" i="1"/>
  <c r="H49" i="1"/>
  <c r="K49" i="1"/>
  <c r="L49" i="1"/>
  <c r="A50" i="1"/>
  <c r="B50" i="1"/>
  <c r="C50" i="1"/>
  <c r="D50" i="1"/>
  <c r="E50" i="1"/>
  <c r="F50" i="1"/>
  <c r="G50" i="1"/>
  <c r="H50" i="1"/>
  <c r="K50" i="1"/>
  <c r="L50" i="1"/>
  <c r="A51" i="1"/>
  <c r="B51" i="1"/>
  <c r="C51" i="1"/>
  <c r="D51" i="1"/>
  <c r="E51" i="1"/>
  <c r="F51" i="1"/>
  <c r="G51" i="1"/>
  <c r="H51" i="1"/>
  <c r="K51" i="1"/>
  <c r="L51" i="1"/>
  <c r="A52" i="1"/>
  <c r="B52" i="1"/>
  <c r="C52" i="1"/>
  <c r="D52" i="1"/>
  <c r="E52" i="1"/>
  <c r="F52" i="1"/>
  <c r="G52" i="1"/>
  <c r="H52" i="1"/>
  <c r="K52" i="1"/>
  <c r="L52" i="1"/>
  <c r="A53" i="1"/>
  <c r="B53" i="1"/>
  <c r="C53" i="1"/>
  <c r="D53" i="1"/>
  <c r="E53" i="1"/>
  <c r="F53" i="1"/>
  <c r="G53" i="1"/>
  <c r="H53" i="1"/>
  <c r="K53" i="1"/>
  <c r="L53" i="1"/>
  <c r="A54" i="1"/>
  <c r="B54" i="1"/>
  <c r="C54" i="1"/>
  <c r="D54" i="1"/>
  <c r="E54" i="1"/>
  <c r="F54" i="1"/>
  <c r="G54" i="1"/>
  <c r="H54" i="1"/>
  <c r="K54" i="1"/>
  <c r="L54" i="1"/>
  <c r="A55" i="1"/>
  <c r="B55" i="1"/>
  <c r="C55" i="1"/>
  <c r="D55" i="1"/>
  <c r="E55" i="1"/>
  <c r="F55" i="1"/>
  <c r="G55" i="1"/>
  <c r="H55" i="1"/>
  <c r="K55" i="1"/>
  <c r="L55" i="1"/>
  <c r="A56" i="1"/>
  <c r="B56" i="1"/>
  <c r="C56" i="1"/>
  <c r="D56" i="1"/>
  <c r="E56" i="1"/>
  <c r="F56" i="1"/>
  <c r="G56" i="1"/>
  <c r="H56" i="1"/>
  <c r="K56" i="1"/>
  <c r="L56" i="1"/>
  <c r="A57" i="1"/>
  <c r="B57" i="1"/>
  <c r="C57" i="1"/>
  <c r="D57" i="1"/>
  <c r="E57" i="1"/>
  <c r="F57" i="1"/>
  <c r="G57" i="1"/>
  <c r="H57" i="1"/>
  <c r="K57" i="1"/>
  <c r="L57" i="1"/>
  <c r="A58" i="1"/>
  <c r="B58" i="1"/>
  <c r="C58" i="1"/>
  <c r="D58" i="1"/>
  <c r="E58" i="1"/>
  <c r="F58" i="1"/>
  <c r="G58" i="1"/>
  <c r="H58" i="1"/>
  <c r="K58" i="1"/>
  <c r="L58" i="1"/>
  <c r="A59" i="1"/>
  <c r="B59" i="1"/>
  <c r="C59" i="1"/>
  <c r="D59" i="1"/>
  <c r="E59" i="1"/>
  <c r="F59" i="1"/>
  <c r="G59" i="1"/>
  <c r="H59" i="1"/>
  <c r="I59" i="1" s="1"/>
  <c r="K59" i="1"/>
  <c r="L59" i="1"/>
  <c r="A60" i="1"/>
  <c r="B60" i="1"/>
  <c r="C60" i="1"/>
  <c r="D60" i="1"/>
  <c r="E60" i="1"/>
  <c r="F60" i="1"/>
  <c r="G60" i="1"/>
  <c r="H60" i="1"/>
  <c r="K60" i="1"/>
  <c r="L60" i="1"/>
  <c r="A61" i="1"/>
  <c r="B61" i="1"/>
  <c r="C61" i="1"/>
  <c r="D61" i="1"/>
  <c r="E61" i="1"/>
  <c r="F61" i="1"/>
  <c r="G61" i="1"/>
  <c r="H61" i="1"/>
  <c r="K61" i="1"/>
  <c r="L61" i="1"/>
  <c r="A62" i="1"/>
  <c r="B62" i="1"/>
  <c r="C62" i="1"/>
  <c r="D62" i="1"/>
  <c r="E62" i="1"/>
  <c r="F62" i="1"/>
  <c r="G62" i="1"/>
  <c r="H62" i="1"/>
  <c r="K62" i="1"/>
  <c r="L62" i="1"/>
  <c r="A63" i="1"/>
  <c r="B63" i="1"/>
  <c r="C63" i="1"/>
  <c r="D63" i="1"/>
  <c r="E63" i="1"/>
  <c r="F63" i="1"/>
  <c r="G63" i="1"/>
  <c r="H63" i="1"/>
  <c r="K63" i="1"/>
  <c r="L63" i="1"/>
  <c r="A64" i="1"/>
  <c r="B64" i="1"/>
  <c r="C64" i="1"/>
  <c r="D64" i="1"/>
  <c r="E64" i="1"/>
  <c r="F64" i="1"/>
  <c r="G64" i="1"/>
  <c r="H64" i="1"/>
  <c r="K64" i="1"/>
  <c r="L64" i="1"/>
  <c r="A65" i="1"/>
  <c r="B65" i="1"/>
  <c r="C65" i="1"/>
  <c r="D65" i="1"/>
  <c r="E65" i="1"/>
  <c r="F65" i="1"/>
  <c r="G65" i="1"/>
  <c r="H65" i="1"/>
  <c r="K65" i="1"/>
  <c r="L65" i="1"/>
  <c r="A66" i="1"/>
  <c r="B66" i="1"/>
  <c r="C66" i="1"/>
  <c r="D66" i="1"/>
  <c r="E66" i="1"/>
  <c r="F66" i="1"/>
  <c r="G66" i="1"/>
  <c r="H66" i="1"/>
  <c r="K66" i="1"/>
  <c r="L66" i="1"/>
  <c r="A67" i="1"/>
  <c r="B67" i="1"/>
  <c r="C67" i="1"/>
  <c r="D67" i="1"/>
  <c r="E67" i="1"/>
  <c r="F67" i="1"/>
  <c r="G67" i="1"/>
  <c r="H67" i="1"/>
  <c r="K67" i="1"/>
  <c r="L67" i="1"/>
  <c r="A68" i="1"/>
  <c r="B68" i="1"/>
  <c r="C68" i="1"/>
  <c r="D68" i="1"/>
  <c r="E68" i="1"/>
  <c r="F68" i="1"/>
  <c r="G68" i="1"/>
  <c r="H68" i="1"/>
  <c r="K68" i="1"/>
  <c r="L68" i="1"/>
  <c r="A69" i="1"/>
  <c r="B69" i="1"/>
  <c r="C69" i="1"/>
  <c r="D69" i="1"/>
  <c r="E69" i="1"/>
  <c r="F69" i="1"/>
  <c r="G69" i="1"/>
  <c r="H69" i="1"/>
  <c r="K69" i="1"/>
  <c r="L69" i="1"/>
  <c r="A70" i="1"/>
  <c r="B70" i="1"/>
  <c r="C70" i="1"/>
  <c r="D70" i="1"/>
  <c r="E70" i="1"/>
  <c r="F70" i="1"/>
  <c r="G70" i="1"/>
  <c r="H70" i="1"/>
  <c r="K70" i="1"/>
  <c r="L70" i="1"/>
  <c r="A71" i="1"/>
  <c r="B71" i="1"/>
  <c r="C71" i="1"/>
  <c r="D71" i="1"/>
  <c r="E71" i="1"/>
  <c r="F71" i="1"/>
  <c r="G71" i="1"/>
  <c r="H71" i="1"/>
  <c r="K71" i="1"/>
  <c r="L71" i="1"/>
  <c r="A72" i="1"/>
  <c r="B72" i="1"/>
  <c r="C72" i="1"/>
  <c r="D72" i="1"/>
  <c r="E72" i="1"/>
  <c r="F72" i="1"/>
  <c r="G72" i="1"/>
  <c r="H72" i="1"/>
  <c r="K72" i="1"/>
  <c r="L72" i="1"/>
  <c r="A73" i="1"/>
  <c r="B73" i="1"/>
  <c r="C73" i="1"/>
  <c r="D73" i="1"/>
  <c r="E73" i="1"/>
  <c r="F73" i="1"/>
  <c r="G73" i="1"/>
  <c r="H73" i="1"/>
  <c r="K73" i="1"/>
  <c r="L73" i="1"/>
  <c r="A74" i="1"/>
  <c r="B74" i="1"/>
  <c r="C74" i="1"/>
  <c r="D74" i="1"/>
  <c r="E74" i="1"/>
  <c r="F74" i="1"/>
  <c r="G74" i="1"/>
  <c r="H74" i="1"/>
  <c r="K74" i="1"/>
  <c r="L74" i="1"/>
  <c r="A75" i="1"/>
  <c r="B75" i="1"/>
  <c r="C75" i="1"/>
  <c r="D75" i="1"/>
  <c r="E75" i="1"/>
  <c r="F75" i="1"/>
  <c r="G75" i="1"/>
  <c r="H75" i="1"/>
  <c r="K75" i="1"/>
  <c r="L75" i="1"/>
  <c r="A76" i="1"/>
  <c r="B76" i="1"/>
  <c r="C76" i="1"/>
  <c r="D76" i="1"/>
  <c r="E76" i="1"/>
  <c r="F76" i="1"/>
  <c r="G76" i="1"/>
  <c r="H76" i="1"/>
  <c r="K76" i="1"/>
  <c r="L76" i="1"/>
  <c r="A77" i="1"/>
  <c r="B77" i="1"/>
  <c r="C77" i="1"/>
  <c r="D77" i="1"/>
  <c r="E77" i="1"/>
  <c r="F77" i="1"/>
  <c r="G77" i="1"/>
  <c r="H77" i="1"/>
  <c r="K77" i="1"/>
  <c r="L77" i="1"/>
  <c r="A78" i="1"/>
  <c r="B78" i="1"/>
  <c r="C78" i="1"/>
  <c r="D78" i="1"/>
  <c r="E78" i="1"/>
  <c r="F78" i="1"/>
  <c r="G78" i="1"/>
  <c r="H78" i="1"/>
  <c r="K78" i="1"/>
  <c r="L78" i="1"/>
  <c r="A79" i="1"/>
  <c r="B79" i="1"/>
  <c r="C79" i="1"/>
  <c r="D79" i="1"/>
  <c r="E79" i="1"/>
  <c r="F79" i="1"/>
  <c r="G79" i="1"/>
  <c r="H79" i="1"/>
  <c r="K79" i="1"/>
  <c r="L79" i="1"/>
  <c r="A80" i="1"/>
  <c r="B80" i="1"/>
  <c r="C80" i="1"/>
  <c r="D80" i="1"/>
  <c r="E80" i="1"/>
  <c r="F80" i="1"/>
  <c r="G80" i="1"/>
  <c r="H80" i="1"/>
  <c r="K80" i="1"/>
  <c r="L80" i="1"/>
  <c r="A81" i="1"/>
  <c r="B81" i="1"/>
  <c r="C81" i="1"/>
  <c r="D81" i="1"/>
  <c r="E81" i="1"/>
  <c r="F81" i="1"/>
  <c r="G81" i="1"/>
  <c r="H81" i="1"/>
  <c r="K81" i="1"/>
  <c r="L81" i="1"/>
  <c r="A82" i="1"/>
  <c r="B82" i="1"/>
  <c r="C82" i="1"/>
  <c r="D82" i="1"/>
  <c r="E82" i="1"/>
  <c r="F82" i="1"/>
  <c r="G82" i="1"/>
  <c r="H82" i="1"/>
  <c r="K82" i="1"/>
  <c r="L82" i="1"/>
  <c r="A83" i="1"/>
  <c r="B83" i="1"/>
  <c r="C83" i="1"/>
  <c r="D83" i="1"/>
  <c r="E83" i="1"/>
  <c r="F83" i="1"/>
  <c r="G83" i="1"/>
  <c r="H83" i="1"/>
  <c r="K83" i="1"/>
  <c r="L83" i="1"/>
  <c r="A84" i="1"/>
  <c r="B84" i="1"/>
  <c r="C84" i="1"/>
  <c r="D84" i="1"/>
  <c r="E84" i="1"/>
  <c r="F84" i="1"/>
  <c r="G84" i="1"/>
  <c r="H84" i="1"/>
  <c r="K84" i="1"/>
  <c r="L84" i="1"/>
  <c r="M84" i="1" s="1"/>
  <c r="A85" i="1"/>
  <c r="B85" i="1"/>
  <c r="C85" i="1"/>
  <c r="D85" i="1"/>
  <c r="E85" i="1"/>
  <c r="F85" i="1"/>
  <c r="G85" i="1"/>
  <c r="H85" i="1"/>
  <c r="K85" i="1"/>
  <c r="L85" i="1"/>
  <c r="A86" i="1"/>
  <c r="B86" i="1"/>
  <c r="C86" i="1"/>
  <c r="D86" i="1"/>
  <c r="E86" i="1"/>
  <c r="F86" i="1"/>
  <c r="G86" i="1"/>
  <c r="H86" i="1"/>
  <c r="K86" i="1"/>
  <c r="L86" i="1"/>
  <c r="A87" i="1"/>
  <c r="B87" i="1"/>
  <c r="C87" i="1"/>
  <c r="D87" i="1"/>
  <c r="E87" i="1"/>
  <c r="F87" i="1"/>
  <c r="G87" i="1"/>
  <c r="H87" i="1"/>
  <c r="K87" i="1"/>
  <c r="L87" i="1"/>
  <c r="A88" i="1"/>
  <c r="B88" i="1"/>
  <c r="C88" i="1"/>
  <c r="D88" i="1"/>
  <c r="E88" i="1"/>
  <c r="F88" i="1"/>
  <c r="G88" i="1"/>
  <c r="H88" i="1"/>
  <c r="K88" i="1"/>
  <c r="L88" i="1"/>
  <c r="A89" i="1"/>
  <c r="B89" i="1"/>
  <c r="C89" i="1"/>
  <c r="D89" i="1"/>
  <c r="E89" i="1"/>
  <c r="F89" i="1"/>
  <c r="G89" i="1"/>
  <c r="H89" i="1"/>
  <c r="K89" i="1"/>
  <c r="L89" i="1"/>
  <c r="A90" i="1"/>
  <c r="B90" i="1"/>
  <c r="C90" i="1"/>
  <c r="D90" i="1"/>
  <c r="E90" i="1"/>
  <c r="F90" i="1"/>
  <c r="G90" i="1"/>
  <c r="H90" i="1"/>
  <c r="K90" i="1"/>
  <c r="L90" i="1"/>
  <c r="A91" i="1"/>
  <c r="B91" i="1"/>
  <c r="C91" i="1"/>
  <c r="D91" i="1"/>
  <c r="E91" i="1"/>
  <c r="F91" i="1"/>
  <c r="G91" i="1"/>
  <c r="H91" i="1"/>
  <c r="K91" i="1"/>
  <c r="L91" i="1"/>
  <c r="A92" i="1"/>
  <c r="B92" i="1"/>
  <c r="C92" i="1"/>
  <c r="D92" i="1"/>
  <c r="E92" i="1"/>
  <c r="F92" i="1"/>
  <c r="G92" i="1"/>
  <c r="H92" i="1"/>
  <c r="K92" i="1"/>
  <c r="L92" i="1"/>
  <c r="A93" i="1"/>
  <c r="B93" i="1"/>
  <c r="C93" i="1"/>
  <c r="D93" i="1"/>
  <c r="E93" i="1"/>
  <c r="F93" i="1"/>
  <c r="G93" i="1"/>
  <c r="H93" i="1"/>
  <c r="K93" i="1"/>
  <c r="L93" i="1"/>
  <c r="A94" i="1"/>
  <c r="B94" i="1"/>
  <c r="C94" i="1"/>
  <c r="D94" i="1"/>
  <c r="E94" i="1"/>
  <c r="F94" i="1"/>
  <c r="G94" i="1"/>
  <c r="H94" i="1"/>
  <c r="K94" i="1"/>
  <c r="L94" i="1"/>
  <c r="A95" i="1"/>
  <c r="B95" i="1"/>
  <c r="C95" i="1"/>
  <c r="D95" i="1"/>
  <c r="E95" i="1"/>
  <c r="F95" i="1"/>
  <c r="G95" i="1"/>
  <c r="H95" i="1"/>
  <c r="K95" i="1"/>
  <c r="L95" i="1"/>
  <c r="A96" i="1"/>
  <c r="B96" i="1"/>
  <c r="C96" i="1"/>
  <c r="D96" i="1"/>
  <c r="E96" i="1"/>
  <c r="F96" i="1"/>
  <c r="G96" i="1"/>
  <c r="H96" i="1"/>
  <c r="K96" i="1"/>
  <c r="L96" i="1"/>
  <c r="A97" i="1"/>
  <c r="B97" i="1"/>
  <c r="C97" i="1"/>
  <c r="D97" i="1"/>
  <c r="E97" i="1"/>
  <c r="F97" i="1"/>
  <c r="G97" i="1"/>
  <c r="H97" i="1"/>
  <c r="K97" i="1"/>
  <c r="L97" i="1"/>
  <c r="A98" i="1"/>
  <c r="B98" i="1"/>
  <c r="C98" i="1"/>
  <c r="D98" i="1"/>
  <c r="E98" i="1"/>
  <c r="F98" i="1"/>
  <c r="G98" i="1"/>
  <c r="H98" i="1"/>
  <c r="K98" i="1"/>
  <c r="L98" i="1"/>
  <c r="A99" i="1"/>
  <c r="B99" i="1"/>
  <c r="C99" i="1"/>
  <c r="D99" i="1"/>
  <c r="E99" i="1"/>
  <c r="F99" i="1"/>
  <c r="G99" i="1"/>
  <c r="H99" i="1"/>
  <c r="K99" i="1"/>
  <c r="L99" i="1"/>
  <c r="A100" i="1"/>
  <c r="B100" i="1"/>
  <c r="C100" i="1"/>
  <c r="D100" i="1"/>
  <c r="E100" i="1"/>
  <c r="F100" i="1"/>
  <c r="G100" i="1"/>
  <c r="H100" i="1"/>
  <c r="K100" i="1"/>
  <c r="L100" i="1"/>
  <c r="A101" i="1"/>
  <c r="B101" i="1"/>
  <c r="C101" i="1"/>
  <c r="D101" i="1"/>
  <c r="E101" i="1"/>
  <c r="F101" i="1"/>
  <c r="G101" i="1"/>
  <c r="H101" i="1"/>
  <c r="K101" i="1"/>
  <c r="L101" i="1"/>
  <c r="A102" i="1"/>
  <c r="B102" i="1"/>
  <c r="C102" i="1"/>
  <c r="D102" i="1"/>
  <c r="E102" i="1"/>
  <c r="F102" i="1"/>
  <c r="G102" i="1"/>
  <c r="H102" i="1"/>
  <c r="K102" i="1"/>
  <c r="L102" i="1"/>
  <c r="A103" i="1"/>
  <c r="B103" i="1"/>
  <c r="C103" i="1"/>
  <c r="D103" i="1"/>
  <c r="E103" i="1"/>
  <c r="F103" i="1"/>
  <c r="G103" i="1"/>
  <c r="H103" i="1"/>
  <c r="K103" i="1"/>
  <c r="L103" i="1"/>
  <c r="A104" i="1"/>
  <c r="B104" i="1"/>
  <c r="C104" i="1"/>
  <c r="D104" i="1"/>
  <c r="E104" i="1"/>
  <c r="F104" i="1"/>
  <c r="G104" i="1"/>
  <c r="H104" i="1"/>
  <c r="K104" i="1"/>
  <c r="L104" i="1"/>
  <c r="A105" i="1"/>
  <c r="B105" i="1"/>
  <c r="C105" i="1"/>
  <c r="D105" i="1"/>
  <c r="E105" i="1"/>
  <c r="F105" i="1"/>
  <c r="G105" i="1"/>
  <c r="H105" i="1"/>
  <c r="K105" i="1"/>
  <c r="L105" i="1"/>
  <c r="A106" i="1"/>
  <c r="B106" i="1"/>
  <c r="C106" i="1"/>
  <c r="D106" i="1"/>
  <c r="E106" i="1"/>
  <c r="F106" i="1"/>
  <c r="G106" i="1"/>
  <c r="H106" i="1"/>
  <c r="K106" i="1"/>
  <c r="L106" i="1"/>
  <c r="A107" i="1"/>
  <c r="B107" i="1"/>
  <c r="C107" i="1"/>
  <c r="D107" i="1"/>
  <c r="E107" i="1"/>
  <c r="F107" i="1"/>
  <c r="G107" i="1"/>
  <c r="H107" i="1"/>
  <c r="K107" i="1"/>
  <c r="L107" i="1"/>
  <c r="A108" i="1"/>
  <c r="B108" i="1"/>
  <c r="C108" i="1"/>
  <c r="D108" i="1"/>
  <c r="E108" i="1"/>
  <c r="F108" i="1"/>
  <c r="G108" i="1"/>
  <c r="H108" i="1"/>
  <c r="K108" i="1"/>
  <c r="L108" i="1"/>
  <c r="A109" i="1"/>
  <c r="B109" i="1"/>
  <c r="C109" i="1"/>
  <c r="D109" i="1"/>
  <c r="E109" i="1"/>
  <c r="F109" i="1"/>
  <c r="G109" i="1"/>
  <c r="H109" i="1"/>
  <c r="K109" i="1"/>
  <c r="L109" i="1"/>
  <c r="A110" i="1"/>
  <c r="B110" i="1"/>
  <c r="C110" i="1"/>
  <c r="D110" i="1"/>
  <c r="E110" i="1"/>
  <c r="F110" i="1"/>
  <c r="G110" i="1"/>
  <c r="H110" i="1"/>
  <c r="K110" i="1"/>
  <c r="L110" i="1"/>
  <c r="A111" i="1"/>
  <c r="B111" i="1"/>
  <c r="C111" i="1"/>
  <c r="D111" i="1"/>
  <c r="E111" i="1"/>
  <c r="F111" i="1"/>
  <c r="G111" i="1"/>
  <c r="H111" i="1"/>
  <c r="K111" i="1"/>
  <c r="L111" i="1"/>
  <c r="A112" i="1"/>
  <c r="B112" i="1"/>
  <c r="C112" i="1"/>
  <c r="D112" i="1"/>
  <c r="E112" i="1"/>
  <c r="F112" i="1"/>
  <c r="G112" i="1"/>
  <c r="H112" i="1"/>
  <c r="K112" i="1"/>
  <c r="L112" i="1"/>
  <c r="A113" i="1"/>
  <c r="B113" i="1"/>
  <c r="C113" i="1"/>
  <c r="D113" i="1"/>
  <c r="E113" i="1"/>
  <c r="F113" i="1"/>
  <c r="G113" i="1"/>
  <c r="H113" i="1"/>
  <c r="K113" i="1"/>
  <c r="L113" i="1"/>
  <c r="A114" i="1"/>
  <c r="B114" i="1"/>
  <c r="C114" i="1"/>
  <c r="D114" i="1"/>
  <c r="E114" i="1"/>
  <c r="F114" i="1"/>
  <c r="G114" i="1"/>
  <c r="H114" i="1"/>
  <c r="K114" i="1"/>
  <c r="L114" i="1"/>
  <c r="A115" i="1"/>
  <c r="B115" i="1"/>
  <c r="C115" i="1"/>
  <c r="D115" i="1"/>
  <c r="E115" i="1"/>
  <c r="F115" i="1"/>
  <c r="G115" i="1"/>
  <c r="H115" i="1"/>
  <c r="K115" i="1"/>
  <c r="L115" i="1"/>
  <c r="A116" i="1"/>
  <c r="B116" i="1"/>
  <c r="C116" i="1"/>
  <c r="D116" i="1"/>
  <c r="E116" i="1"/>
  <c r="F116" i="1"/>
  <c r="G116" i="1"/>
  <c r="H116" i="1"/>
  <c r="K116" i="1"/>
  <c r="L116" i="1"/>
  <c r="A117" i="1"/>
  <c r="B117" i="1"/>
  <c r="C117" i="1"/>
  <c r="D117" i="1"/>
  <c r="E117" i="1"/>
  <c r="F117" i="1"/>
  <c r="G117" i="1"/>
  <c r="H117" i="1"/>
  <c r="K117" i="1"/>
  <c r="L117" i="1"/>
  <c r="A118" i="1"/>
  <c r="B118" i="1"/>
  <c r="C118" i="1"/>
  <c r="D118" i="1"/>
  <c r="E118" i="1"/>
  <c r="F118" i="1"/>
  <c r="G118" i="1"/>
  <c r="H118" i="1"/>
  <c r="K118" i="1"/>
  <c r="L118" i="1"/>
  <c r="A119" i="1"/>
  <c r="B119" i="1"/>
  <c r="C119" i="1"/>
  <c r="D119" i="1"/>
  <c r="E119" i="1"/>
  <c r="F119" i="1"/>
  <c r="G119" i="1"/>
  <c r="H119" i="1"/>
  <c r="K119" i="1"/>
  <c r="L119" i="1"/>
  <c r="A120" i="1"/>
  <c r="B120" i="1"/>
  <c r="C120" i="1"/>
  <c r="D120" i="1"/>
  <c r="E120" i="1"/>
  <c r="F120" i="1"/>
  <c r="G120" i="1"/>
  <c r="H120" i="1"/>
  <c r="K120" i="1"/>
  <c r="L120" i="1"/>
  <c r="A121" i="1"/>
  <c r="B121" i="1"/>
  <c r="C121" i="1"/>
  <c r="D121" i="1"/>
  <c r="E121" i="1"/>
  <c r="F121" i="1"/>
  <c r="G121" i="1"/>
  <c r="H121" i="1"/>
  <c r="K121" i="1"/>
  <c r="L121" i="1"/>
  <c r="A122" i="1"/>
  <c r="B122" i="1"/>
  <c r="C122" i="1"/>
  <c r="D122" i="1"/>
  <c r="E122" i="1"/>
  <c r="F122" i="1"/>
  <c r="G122" i="1"/>
  <c r="H122" i="1"/>
  <c r="K122" i="1"/>
  <c r="L122" i="1"/>
  <c r="A123" i="1"/>
  <c r="B123" i="1"/>
  <c r="C123" i="1"/>
  <c r="D123" i="1"/>
  <c r="E123" i="1"/>
  <c r="F123" i="1"/>
  <c r="G123" i="1"/>
  <c r="H123" i="1"/>
  <c r="K123" i="1"/>
  <c r="L123" i="1"/>
  <c r="A124" i="1"/>
  <c r="B124" i="1"/>
  <c r="C124" i="1"/>
  <c r="D124" i="1"/>
  <c r="E124" i="1"/>
  <c r="F124" i="1"/>
  <c r="G124" i="1"/>
  <c r="H124" i="1"/>
  <c r="K124" i="1"/>
  <c r="L124" i="1"/>
  <c r="A125" i="1"/>
  <c r="B125" i="1"/>
  <c r="C125" i="1"/>
  <c r="D125" i="1"/>
  <c r="E125" i="1"/>
  <c r="F125" i="1"/>
  <c r="G125" i="1"/>
  <c r="H125" i="1"/>
  <c r="K125" i="1"/>
  <c r="L125" i="1"/>
  <c r="A126" i="1"/>
  <c r="B126" i="1"/>
  <c r="C126" i="1"/>
  <c r="D126" i="1"/>
  <c r="E126" i="1"/>
  <c r="F126" i="1"/>
  <c r="G126" i="1"/>
  <c r="H126" i="1"/>
  <c r="K126" i="1"/>
  <c r="L126" i="1"/>
  <c r="A127" i="1"/>
  <c r="B127" i="1"/>
  <c r="C127" i="1"/>
  <c r="D127" i="1"/>
  <c r="E127" i="1"/>
  <c r="F127" i="1"/>
  <c r="G127" i="1"/>
  <c r="H127" i="1"/>
  <c r="K127" i="1"/>
  <c r="L127" i="1"/>
  <c r="A128" i="1"/>
  <c r="B128" i="1"/>
  <c r="C128" i="1"/>
  <c r="D128" i="1"/>
  <c r="E128" i="1"/>
  <c r="F128" i="1"/>
  <c r="G128" i="1"/>
  <c r="H128" i="1"/>
  <c r="K128" i="1"/>
  <c r="L128" i="1"/>
  <c r="A129" i="1"/>
  <c r="B129" i="1"/>
  <c r="C129" i="1"/>
  <c r="D129" i="1"/>
  <c r="E129" i="1"/>
  <c r="F129" i="1"/>
  <c r="G129" i="1"/>
  <c r="H129" i="1"/>
  <c r="K129" i="1"/>
  <c r="L129" i="1"/>
  <c r="A130" i="1"/>
  <c r="B130" i="1"/>
  <c r="C130" i="1"/>
  <c r="D130" i="1"/>
  <c r="E130" i="1"/>
  <c r="F130" i="1"/>
  <c r="G130" i="1"/>
  <c r="H130" i="1"/>
  <c r="K130" i="1"/>
  <c r="L130" i="1"/>
  <c r="A131" i="1"/>
  <c r="B131" i="1"/>
  <c r="C131" i="1"/>
  <c r="D131" i="1"/>
  <c r="E131" i="1"/>
  <c r="F131" i="1"/>
  <c r="G131" i="1"/>
  <c r="H131" i="1"/>
  <c r="K131" i="1"/>
  <c r="L131" i="1"/>
  <c r="A132" i="1"/>
  <c r="B132" i="1"/>
  <c r="C132" i="1"/>
  <c r="D132" i="1"/>
  <c r="E132" i="1"/>
  <c r="F132" i="1"/>
  <c r="G132" i="1"/>
  <c r="H132" i="1"/>
  <c r="K132" i="1"/>
  <c r="L132" i="1"/>
  <c r="A133" i="1"/>
  <c r="B133" i="1"/>
  <c r="C133" i="1"/>
  <c r="D133" i="1"/>
  <c r="E133" i="1"/>
  <c r="F133" i="1"/>
  <c r="G133" i="1"/>
  <c r="H133" i="1"/>
  <c r="K133" i="1"/>
  <c r="L133" i="1"/>
  <c r="A134" i="1"/>
  <c r="B134" i="1"/>
  <c r="C134" i="1"/>
  <c r="D134" i="1"/>
  <c r="E134" i="1"/>
  <c r="F134" i="1"/>
  <c r="G134" i="1"/>
  <c r="H134" i="1"/>
  <c r="K134" i="1"/>
  <c r="L134" i="1"/>
  <c r="A135" i="1"/>
  <c r="B135" i="1"/>
  <c r="C135" i="1"/>
  <c r="D135" i="1"/>
  <c r="E135" i="1"/>
  <c r="F135" i="1"/>
  <c r="G135" i="1"/>
  <c r="H135" i="1"/>
  <c r="K135" i="1"/>
  <c r="L135" i="1"/>
  <c r="A136" i="1"/>
  <c r="B136" i="1"/>
  <c r="C136" i="1"/>
  <c r="D136" i="1"/>
  <c r="E136" i="1"/>
  <c r="F136" i="1"/>
  <c r="G136" i="1"/>
  <c r="H136" i="1"/>
  <c r="K136" i="1"/>
  <c r="L136" i="1"/>
  <c r="A137" i="1"/>
  <c r="B137" i="1"/>
  <c r="C137" i="1"/>
  <c r="D137" i="1"/>
  <c r="E137" i="1"/>
  <c r="F137" i="1"/>
  <c r="G137" i="1"/>
  <c r="H137" i="1"/>
  <c r="K137" i="1"/>
  <c r="L137" i="1"/>
  <c r="A138" i="1"/>
  <c r="B138" i="1"/>
  <c r="C138" i="1"/>
  <c r="D138" i="1"/>
  <c r="E138" i="1"/>
  <c r="F138" i="1"/>
  <c r="G138" i="1"/>
  <c r="H138" i="1"/>
  <c r="K138" i="1"/>
  <c r="L138" i="1"/>
  <c r="A139" i="1"/>
  <c r="B139" i="1"/>
  <c r="C139" i="1"/>
  <c r="D139" i="1"/>
  <c r="E139" i="1"/>
  <c r="F139" i="1"/>
  <c r="G139" i="1"/>
  <c r="H139" i="1"/>
  <c r="K139" i="1"/>
  <c r="L139" i="1"/>
  <c r="A140" i="1"/>
  <c r="B140" i="1"/>
  <c r="C140" i="1"/>
  <c r="D140" i="1"/>
  <c r="E140" i="1"/>
  <c r="F140" i="1"/>
  <c r="G140" i="1"/>
  <c r="H140" i="1"/>
  <c r="K140" i="1"/>
  <c r="L140" i="1"/>
  <c r="A141" i="1"/>
  <c r="B141" i="1"/>
  <c r="C141" i="1"/>
  <c r="D141" i="1"/>
  <c r="E141" i="1"/>
  <c r="F141" i="1"/>
  <c r="G141" i="1"/>
  <c r="H141" i="1"/>
  <c r="K141" i="1"/>
  <c r="L141" i="1"/>
  <c r="A142" i="1"/>
  <c r="B142" i="1"/>
  <c r="C142" i="1"/>
  <c r="D142" i="1"/>
  <c r="E142" i="1"/>
  <c r="F142" i="1"/>
  <c r="G142" i="1"/>
  <c r="H142" i="1"/>
  <c r="K142" i="1"/>
  <c r="L142" i="1"/>
  <c r="A143" i="1"/>
  <c r="B143" i="1"/>
  <c r="C143" i="1"/>
  <c r="D143" i="1"/>
  <c r="E143" i="1"/>
  <c r="F143" i="1"/>
  <c r="G143" i="1"/>
  <c r="H143" i="1"/>
  <c r="K143" i="1"/>
  <c r="L143" i="1"/>
  <c r="A144" i="1"/>
  <c r="B144" i="1"/>
  <c r="C144" i="1"/>
  <c r="D144" i="1"/>
  <c r="E144" i="1"/>
  <c r="F144" i="1"/>
  <c r="G144" i="1"/>
  <c r="H144" i="1"/>
  <c r="K144" i="1"/>
  <c r="L144" i="1"/>
  <c r="A145" i="1"/>
  <c r="B145" i="1"/>
  <c r="C145" i="1"/>
  <c r="D145" i="1"/>
  <c r="E145" i="1"/>
  <c r="F145" i="1"/>
  <c r="G145" i="1"/>
  <c r="H145" i="1"/>
  <c r="K145" i="1"/>
  <c r="L145" i="1"/>
  <c r="A146" i="1"/>
  <c r="B146" i="1"/>
  <c r="C146" i="1"/>
  <c r="D146" i="1"/>
  <c r="E146" i="1"/>
  <c r="F146" i="1"/>
  <c r="G146" i="1"/>
  <c r="H146" i="1"/>
  <c r="K146" i="1"/>
  <c r="L146" i="1"/>
  <c r="A147" i="1"/>
  <c r="B147" i="1"/>
  <c r="C147" i="1"/>
  <c r="D147" i="1"/>
  <c r="E147" i="1"/>
  <c r="F147" i="1"/>
  <c r="G147" i="1"/>
  <c r="H147" i="1"/>
  <c r="K147" i="1"/>
  <c r="L147" i="1"/>
  <c r="A148" i="1"/>
  <c r="B148" i="1"/>
  <c r="C148" i="1"/>
  <c r="D148" i="1"/>
  <c r="E148" i="1"/>
  <c r="F148" i="1"/>
  <c r="G148" i="1"/>
  <c r="H148" i="1"/>
  <c r="K148" i="1"/>
  <c r="L148" i="1"/>
  <c r="A149" i="1"/>
  <c r="B149" i="1"/>
  <c r="C149" i="1"/>
  <c r="D149" i="1"/>
  <c r="E149" i="1"/>
  <c r="F149" i="1"/>
  <c r="G149" i="1"/>
  <c r="H149" i="1"/>
  <c r="K149" i="1"/>
  <c r="L149" i="1"/>
  <c r="A150" i="1"/>
  <c r="B150" i="1"/>
  <c r="C150" i="1"/>
  <c r="D150" i="1"/>
  <c r="E150" i="1"/>
  <c r="F150" i="1"/>
  <c r="G150" i="1"/>
  <c r="H150" i="1"/>
  <c r="K150" i="1"/>
  <c r="L150" i="1"/>
  <c r="A151" i="1"/>
  <c r="B151" i="1"/>
  <c r="C151" i="1"/>
  <c r="D151" i="1"/>
  <c r="E151" i="1"/>
  <c r="F151" i="1"/>
  <c r="G151" i="1"/>
  <c r="H151" i="1"/>
  <c r="K151" i="1"/>
  <c r="L151" i="1"/>
  <c r="A152" i="1"/>
  <c r="B152" i="1"/>
  <c r="C152" i="1"/>
  <c r="D152" i="1"/>
  <c r="E152" i="1"/>
  <c r="F152" i="1"/>
  <c r="G152" i="1"/>
  <c r="H152" i="1"/>
  <c r="K152" i="1"/>
  <c r="L152" i="1"/>
  <c r="A153" i="1"/>
  <c r="B153" i="1"/>
  <c r="C153" i="1"/>
  <c r="D153" i="1"/>
  <c r="E153" i="1"/>
  <c r="F153" i="1"/>
  <c r="G153" i="1"/>
  <c r="H153" i="1"/>
  <c r="K153" i="1"/>
  <c r="L153" i="1"/>
  <c r="A154" i="1"/>
  <c r="B154" i="1"/>
  <c r="C154" i="1"/>
  <c r="D154" i="1"/>
  <c r="E154" i="1"/>
  <c r="F154" i="1"/>
  <c r="G154" i="1"/>
  <c r="H154" i="1"/>
  <c r="K154" i="1"/>
  <c r="L154" i="1"/>
  <c r="A155" i="1"/>
  <c r="B155" i="1"/>
  <c r="C155" i="1"/>
  <c r="D155" i="1"/>
  <c r="E155" i="1"/>
  <c r="F155" i="1"/>
  <c r="G155" i="1"/>
  <c r="H155" i="1"/>
  <c r="K155" i="1"/>
  <c r="L155" i="1"/>
  <c r="A156" i="1"/>
  <c r="B156" i="1"/>
  <c r="C156" i="1"/>
  <c r="D156" i="1"/>
  <c r="E156" i="1"/>
  <c r="F156" i="1"/>
  <c r="G156" i="1"/>
  <c r="H156" i="1"/>
  <c r="K156" i="1"/>
  <c r="L156" i="1"/>
  <c r="A157" i="1"/>
  <c r="B157" i="1"/>
  <c r="C157" i="1"/>
  <c r="D157" i="1"/>
  <c r="E157" i="1"/>
  <c r="F157" i="1"/>
  <c r="G157" i="1"/>
  <c r="H157" i="1"/>
  <c r="K157" i="1"/>
  <c r="L157" i="1"/>
  <c r="A158" i="1"/>
  <c r="B158" i="1"/>
  <c r="C158" i="1"/>
  <c r="D158" i="1"/>
  <c r="E158" i="1"/>
  <c r="F158" i="1"/>
  <c r="G158" i="1"/>
  <c r="H158" i="1"/>
  <c r="K158" i="1"/>
  <c r="L158" i="1"/>
  <c r="A159" i="1"/>
  <c r="B159" i="1"/>
  <c r="C159" i="1"/>
  <c r="D159" i="1"/>
  <c r="E159" i="1"/>
  <c r="F159" i="1"/>
  <c r="G159" i="1"/>
  <c r="H159" i="1"/>
  <c r="K159" i="1"/>
  <c r="L159" i="1"/>
  <c r="A160" i="1"/>
  <c r="B160" i="1"/>
  <c r="C160" i="1"/>
  <c r="D160" i="1"/>
  <c r="E160" i="1"/>
  <c r="F160" i="1"/>
  <c r="G160" i="1"/>
  <c r="H160" i="1"/>
  <c r="K160" i="1"/>
  <c r="L160" i="1"/>
  <c r="A161" i="1"/>
  <c r="B161" i="1"/>
  <c r="C161" i="1"/>
  <c r="D161" i="1"/>
  <c r="E161" i="1"/>
  <c r="F161" i="1"/>
  <c r="G161" i="1"/>
  <c r="H161" i="1"/>
  <c r="K161" i="1"/>
  <c r="L161" i="1"/>
  <c r="A162" i="1"/>
  <c r="B162" i="1"/>
  <c r="C162" i="1"/>
  <c r="D162" i="1"/>
  <c r="E162" i="1"/>
  <c r="F162" i="1"/>
  <c r="G162" i="1"/>
  <c r="H162" i="1"/>
  <c r="K162" i="1"/>
  <c r="L162" i="1"/>
  <c r="A163" i="1"/>
  <c r="B163" i="1"/>
  <c r="C163" i="1"/>
  <c r="D163" i="1"/>
  <c r="E163" i="1"/>
  <c r="F163" i="1"/>
  <c r="G163" i="1"/>
  <c r="H163" i="1"/>
  <c r="K163" i="1"/>
  <c r="L163" i="1"/>
  <c r="A164" i="1"/>
  <c r="B164" i="1"/>
  <c r="C164" i="1"/>
  <c r="D164" i="1"/>
  <c r="E164" i="1"/>
  <c r="F164" i="1"/>
  <c r="G164" i="1"/>
  <c r="H164" i="1"/>
  <c r="K164" i="1"/>
  <c r="L164" i="1"/>
  <c r="A165" i="1"/>
  <c r="B165" i="1"/>
  <c r="C165" i="1"/>
  <c r="D165" i="1"/>
  <c r="E165" i="1"/>
  <c r="F165" i="1"/>
  <c r="G165" i="1"/>
  <c r="H165" i="1"/>
  <c r="K165" i="1"/>
  <c r="L165" i="1"/>
  <c r="A166" i="1"/>
  <c r="B166" i="1"/>
  <c r="C166" i="1"/>
  <c r="D166" i="1"/>
  <c r="E166" i="1"/>
  <c r="F166" i="1"/>
  <c r="G166" i="1"/>
  <c r="H166" i="1"/>
  <c r="K166" i="1"/>
  <c r="L166" i="1"/>
  <c r="A167" i="1"/>
  <c r="B167" i="1"/>
  <c r="C167" i="1"/>
  <c r="D167" i="1"/>
  <c r="E167" i="1"/>
  <c r="F167" i="1"/>
  <c r="G167" i="1"/>
  <c r="H167" i="1"/>
  <c r="K167" i="1"/>
  <c r="L167" i="1"/>
  <c r="A168" i="1"/>
  <c r="B168" i="1"/>
  <c r="C168" i="1"/>
  <c r="D168" i="1"/>
  <c r="E168" i="1"/>
  <c r="F168" i="1"/>
  <c r="G168" i="1"/>
  <c r="H168" i="1"/>
  <c r="K168" i="1"/>
  <c r="L168" i="1"/>
  <c r="A169" i="1"/>
  <c r="B169" i="1"/>
  <c r="C169" i="1"/>
  <c r="D169" i="1"/>
  <c r="E169" i="1"/>
  <c r="F169" i="1"/>
  <c r="G169" i="1"/>
  <c r="H169" i="1"/>
  <c r="K169" i="1"/>
  <c r="L169" i="1"/>
  <c r="A170" i="1"/>
  <c r="B170" i="1"/>
  <c r="C170" i="1"/>
  <c r="D170" i="1"/>
  <c r="E170" i="1"/>
  <c r="F170" i="1"/>
  <c r="G170" i="1"/>
  <c r="H170" i="1"/>
  <c r="K170" i="1"/>
  <c r="L170" i="1"/>
  <c r="A171" i="1"/>
  <c r="B171" i="1"/>
  <c r="C171" i="1"/>
  <c r="N171" i="1" s="1"/>
  <c r="D171" i="1"/>
  <c r="E171" i="1"/>
  <c r="F171" i="1"/>
  <c r="G171" i="1"/>
  <c r="H171" i="1"/>
  <c r="K171" i="1"/>
  <c r="L171" i="1"/>
  <c r="A172" i="1"/>
  <c r="B172" i="1"/>
  <c r="C172" i="1"/>
  <c r="D172" i="1"/>
  <c r="E172" i="1"/>
  <c r="F172" i="1"/>
  <c r="G172" i="1"/>
  <c r="H172" i="1"/>
  <c r="K172" i="1"/>
  <c r="L172" i="1"/>
  <c r="A173" i="1"/>
  <c r="B173" i="1"/>
  <c r="C173" i="1"/>
  <c r="D173" i="1"/>
  <c r="E173" i="1"/>
  <c r="F173" i="1"/>
  <c r="G173" i="1"/>
  <c r="H173" i="1"/>
  <c r="K173" i="1"/>
  <c r="L173" i="1"/>
  <c r="A174" i="1"/>
  <c r="B174" i="1"/>
  <c r="C174" i="1"/>
  <c r="D174" i="1"/>
  <c r="E174" i="1"/>
  <c r="F174" i="1"/>
  <c r="G174" i="1"/>
  <c r="H174" i="1"/>
  <c r="K174" i="1"/>
  <c r="L174" i="1"/>
  <c r="A175" i="1"/>
  <c r="B175" i="1"/>
  <c r="C175" i="1"/>
  <c r="D175" i="1"/>
  <c r="E175" i="1"/>
  <c r="F175" i="1"/>
  <c r="G175" i="1"/>
  <c r="H175" i="1"/>
  <c r="K175" i="1"/>
  <c r="L175" i="1"/>
  <c r="A176" i="1"/>
  <c r="B176" i="1"/>
  <c r="C176" i="1"/>
  <c r="D176" i="1"/>
  <c r="E176" i="1"/>
  <c r="F176" i="1"/>
  <c r="G176" i="1"/>
  <c r="H176" i="1"/>
  <c r="K176" i="1"/>
  <c r="L176" i="1"/>
  <c r="A177" i="1"/>
  <c r="B177" i="1"/>
  <c r="C177" i="1"/>
  <c r="D177" i="1"/>
  <c r="E177" i="1"/>
  <c r="F177" i="1"/>
  <c r="G177" i="1"/>
  <c r="H177" i="1"/>
  <c r="K177" i="1"/>
  <c r="L177" i="1"/>
  <c r="A178" i="1"/>
  <c r="B178" i="1"/>
  <c r="C178" i="1"/>
  <c r="D178" i="1"/>
  <c r="E178" i="1"/>
  <c r="F178" i="1"/>
  <c r="G178" i="1"/>
  <c r="H178" i="1"/>
  <c r="K178" i="1"/>
  <c r="L178" i="1"/>
  <c r="A179" i="1"/>
  <c r="B179" i="1"/>
  <c r="C179" i="1"/>
  <c r="D179" i="1"/>
  <c r="E179" i="1"/>
  <c r="F179" i="1"/>
  <c r="G179" i="1"/>
  <c r="H179" i="1"/>
  <c r="K179" i="1"/>
  <c r="L179" i="1"/>
  <c r="A180" i="1"/>
  <c r="B180" i="1"/>
  <c r="C180" i="1"/>
  <c r="D180" i="1"/>
  <c r="E180" i="1"/>
  <c r="F180" i="1"/>
  <c r="G180" i="1"/>
  <c r="H180" i="1"/>
  <c r="K180" i="1"/>
  <c r="L180" i="1"/>
  <c r="A181" i="1"/>
  <c r="B181" i="1"/>
  <c r="C181" i="1"/>
  <c r="D181" i="1"/>
  <c r="E181" i="1"/>
  <c r="F181" i="1"/>
  <c r="G181" i="1"/>
  <c r="H181" i="1"/>
  <c r="K181" i="1"/>
  <c r="L181" i="1"/>
  <c r="A182" i="1"/>
  <c r="B182" i="1"/>
  <c r="C182" i="1"/>
  <c r="D182" i="1"/>
  <c r="E182" i="1"/>
  <c r="F182" i="1"/>
  <c r="G182" i="1"/>
  <c r="H182" i="1"/>
  <c r="K182" i="1"/>
  <c r="L182" i="1"/>
  <c r="A183" i="1"/>
  <c r="B183" i="1"/>
  <c r="C183" i="1"/>
  <c r="D183" i="1"/>
  <c r="E183" i="1"/>
  <c r="F183" i="1"/>
  <c r="G183" i="1"/>
  <c r="H183" i="1"/>
  <c r="K183" i="1"/>
  <c r="L183" i="1"/>
  <c r="A184" i="1"/>
  <c r="B184" i="1"/>
  <c r="C184" i="1"/>
  <c r="D184" i="1"/>
  <c r="E184" i="1"/>
  <c r="F184" i="1"/>
  <c r="G184" i="1"/>
  <c r="H184" i="1"/>
  <c r="K184" i="1"/>
  <c r="L184" i="1"/>
  <c r="A185" i="1"/>
  <c r="B185" i="1"/>
  <c r="C185" i="1"/>
  <c r="D185" i="1"/>
  <c r="E185" i="1"/>
  <c r="F185" i="1"/>
  <c r="G185" i="1"/>
  <c r="H185" i="1"/>
  <c r="K185" i="1"/>
  <c r="L185" i="1"/>
  <c r="A186" i="1"/>
  <c r="B186" i="1"/>
  <c r="C186" i="1"/>
  <c r="D186" i="1"/>
  <c r="E186" i="1"/>
  <c r="F186" i="1"/>
  <c r="G186" i="1"/>
  <c r="H186" i="1"/>
  <c r="K186" i="1"/>
  <c r="L186" i="1"/>
  <c r="A187" i="1"/>
  <c r="B187" i="1"/>
  <c r="C187" i="1"/>
  <c r="D187" i="1"/>
  <c r="E187" i="1"/>
  <c r="F187" i="1"/>
  <c r="G187" i="1"/>
  <c r="H187" i="1"/>
  <c r="K187" i="1"/>
  <c r="L187" i="1"/>
  <c r="A188" i="1"/>
  <c r="B188" i="1"/>
  <c r="C188" i="1"/>
  <c r="D188" i="1"/>
  <c r="E188" i="1"/>
  <c r="F188" i="1"/>
  <c r="G188" i="1"/>
  <c r="H188" i="1"/>
  <c r="K188" i="1"/>
  <c r="L188" i="1"/>
  <c r="A189" i="1"/>
  <c r="B189" i="1"/>
  <c r="C189" i="1"/>
  <c r="D189" i="1"/>
  <c r="E189" i="1"/>
  <c r="F189" i="1"/>
  <c r="G189" i="1"/>
  <c r="H189" i="1"/>
  <c r="K189" i="1"/>
  <c r="L189" i="1"/>
  <c r="A190" i="1"/>
  <c r="B190" i="1"/>
  <c r="C190" i="1"/>
  <c r="D190" i="1"/>
  <c r="E190" i="1"/>
  <c r="F190" i="1"/>
  <c r="G190" i="1"/>
  <c r="H190" i="1"/>
  <c r="K190" i="1"/>
  <c r="L190" i="1"/>
  <c r="A191" i="1"/>
  <c r="B191" i="1"/>
  <c r="C191" i="1"/>
  <c r="D191" i="1"/>
  <c r="E191" i="1"/>
  <c r="F191" i="1"/>
  <c r="G191" i="1"/>
  <c r="H191" i="1"/>
  <c r="K191" i="1"/>
  <c r="L191" i="1"/>
  <c r="A192" i="1"/>
  <c r="B192" i="1"/>
  <c r="C192" i="1"/>
  <c r="D192" i="1"/>
  <c r="E192" i="1"/>
  <c r="F192" i="1"/>
  <c r="G192" i="1"/>
  <c r="H192" i="1"/>
  <c r="K192" i="1"/>
  <c r="L192" i="1"/>
  <c r="A193" i="1"/>
  <c r="B193" i="1"/>
  <c r="C193" i="1"/>
  <c r="D193" i="1"/>
  <c r="E193" i="1"/>
  <c r="F193" i="1"/>
  <c r="G193" i="1"/>
  <c r="H193" i="1"/>
  <c r="K193" i="1"/>
  <c r="L193" i="1"/>
  <c r="A194" i="1"/>
  <c r="B194" i="1"/>
  <c r="C194" i="1"/>
  <c r="D194" i="1"/>
  <c r="E194" i="1"/>
  <c r="F194" i="1"/>
  <c r="G194" i="1"/>
  <c r="H194" i="1"/>
  <c r="K194" i="1"/>
  <c r="L194" i="1"/>
  <c r="A195" i="1"/>
  <c r="B195" i="1"/>
  <c r="C195" i="1"/>
  <c r="D195" i="1"/>
  <c r="E195" i="1"/>
  <c r="F195" i="1"/>
  <c r="G195" i="1"/>
  <c r="H195" i="1"/>
  <c r="K195" i="1"/>
  <c r="L195" i="1"/>
  <c r="A196" i="1"/>
  <c r="B196" i="1"/>
  <c r="C196" i="1"/>
  <c r="D196" i="1"/>
  <c r="E196" i="1"/>
  <c r="F196" i="1"/>
  <c r="G196" i="1"/>
  <c r="H196" i="1"/>
  <c r="K196" i="1"/>
  <c r="L196" i="1"/>
  <c r="A197" i="1"/>
  <c r="B197" i="1"/>
  <c r="C197" i="1"/>
  <c r="D197" i="1"/>
  <c r="E197" i="1"/>
  <c r="F197" i="1"/>
  <c r="G197" i="1"/>
  <c r="H197" i="1"/>
  <c r="K197" i="1"/>
  <c r="L197" i="1"/>
  <c r="A198" i="1"/>
  <c r="B198" i="1"/>
  <c r="C198" i="1"/>
  <c r="D198" i="1"/>
  <c r="E198" i="1"/>
  <c r="F198" i="1"/>
  <c r="G198" i="1"/>
  <c r="H198" i="1"/>
  <c r="K198" i="1"/>
  <c r="L198" i="1"/>
  <c r="A199" i="1"/>
  <c r="B199" i="1"/>
  <c r="C199" i="1"/>
  <c r="D199" i="1"/>
  <c r="E199" i="1"/>
  <c r="F199" i="1"/>
  <c r="G199" i="1"/>
  <c r="H199" i="1"/>
  <c r="K199" i="1"/>
  <c r="L199" i="1"/>
  <c r="A200" i="1"/>
  <c r="B200" i="1"/>
  <c r="C200" i="1"/>
  <c r="D200" i="1"/>
  <c r="E200" i="1"/>
  <c r="F200" i="1"/>
  <c r="G200" i="1"/>
  <c r="H200" i="1"/>
  <c r="K200" i="1"/>
  <c r="L200" i="1"/>
  <c r="A201" i="1"/>
  <c r="B201" i="1"/>
  <c r="C201" i="1"/>
  <c r="D201" i="1"/>
  <c r="E201" i="1"/>
  <c r="F201" i="1"/>
  <c r="G201" i="1"/>
  <c r="H201" i="1"/>
  <c r="K201" i="1"/>
  <c r="L201" i="1"/>
  <c r="A202" i="1"/>
  <c r="B202" i="1"/>
  <c r="C202" i="1"/>
  <c r="D202" i="1"/>
  <c r="E202" i="1"/>
  <c r="F202" i="1"/>
  <c r="G202" i="1"/>
  <c r="H202" i="1"/>
  <c r="K202" i="1"/>
  <c r="L202" i="1"/>
  <c r="A203" i="1"/>
  <c r="B203" i="1"/>
  <c r="C203" i="1"/>
  <c r="D203" i="1"/>
  <c r="E203" i="1"/>
  <c r="F203" i="1"/>
  <c r="G203" i="1"/>
  <c r="H203" i="1"/>
  <c r="K203" i="1"/>
  <c r="L203" i="1"/>
  <c r="A204" i="1"/>
  <c r="B204" i="1"/>
  <c r="C204" i="1"/>
  <c r="D204" i="1"/>
  <c r="E204" i="1"/>
  <c r="F204" i="1"/>
  <c r="G204" i="1"/>
  <c r="H204" i="1"/>
  <c r="K204" i="1"/>
  <c r="L204" i="1"/>
  <c r="A205" i="1"/>
  <c r="B205" i="1"/>
  <c r="C205" i="1"/>
  <c r="D205" i="1"/>
  <c r="E205" i="1"/>
  <c r="F205" i="1"/>
  <c r="G205" i="1"/>
  <c r="H205" i="1"/>
  <c r="K205" i="1"/>
  <c r="L205" i="1"/>
  <c r="A206" i="1"/>
  <c r="B206" i="1"/>
  <c r="C206" i="1"/>
  <c r="D206" i="1"/>
  <c r="E206" i="1"/>
  <c r="F206" i="1"/>
  <c r="G206" i="1"/>
  <c r="H206" i="1"/>
  <c r="K206" i="1"/>
  <c r="L206" i="1"/>
  <c r="A207" i="1"/>
  <c r="B207" i="1"/>
  <c r="C207" i="1"/>
  <c r="D207" i="1"/>
  <c r="E207" i="1"/>
  <c r="F207" i="1"/>
  <c r="G207" i="1"/>
  <c r="H207" i="1"/>
  <c r="K207" i="1"/>
  <c r="L207" i="1"/>
  <c r="A208" i="1"/>
  <c r="B208" i="1"/>
  <c r="C208" i="1"/>
  <c r="D208" i="1"/>
  <c r="E208" i="1"/>
  <c r="F208" i="1"/>
  <c r="G208" i="1"/>
  <c r="H208" i="1"/>
  <c r="K208" i="1"/>
  <c r="L208" i="1"/>
  <c r="A209" i="1"/>
  <c r="B209" i="1"/>
  <c r="C209" i="1"/>
  <c r="D209" i="1"/>
  <c r="E209" i="1"/>
  <c r="F209" i="1"/>
  <c r="G209" i="1"/>
  <c r="H209" i="1"/>
  <c r="K209" i="1"/>
  <c r="L209" i="1"/>
  <c r="A210" i="1"/>
  <c r="B210" i="1"/>
  <c r="C210" i="1"/>
  <c r="D210" i="1"/>
  <c r="E210" i="1"/>
  <c r="F210" i="1"/>
  <c r="G210" i="1"/>
  <c r="H210" i="1"/>
  <c r="K210" i="1"/>
  <c r="L210" i="1"/>
  <c r="A211" i="1"/>
  <c r="B211" i="1"/>
  <c r="C211" i="1"/>
  <c r="D211" i="1"/>
  <c r="E211" i="1"/>
  <c r="F211" i="1"/>
  <c r="G211" i="1"/>
  <c r="H211" i="1"/>
  <c r="K211" i="1"/>
  <c r="L211" i="1"/>
  <c r="A212" i="1"/>
  <c r="B212" i="1"/>
  <c r="C212" i="1"/>
  <c r="D212" i="1"/>
  <c r="E212" i="1"/>
  <c r="F212" i="1"/>
  <c r="G212" i="1"/>
  <c r="H212" i="1"/>
  <c r="K212" i="1"/>
  <c r="L212" i="1"/>
  <c r="A213" i="1"/>
  <c r="B213" i="1"/>
  <c r="C213" i="1"/>
  <c r="D213" i="1"/>
  <c r="E213" i="1"/>
  <c r="F213" i="1"/>
  <c r="G213" i="1"/>
  <c r="H213" i="1"/>
  <c r="K213" i="1"/>
  <c r="L213" i="1"/>
  <c r="A214" i="1"/>
  <c r="B214" i="1"/>
  <c r="C214" i="1"/>
  <c r="D214" i="1"/>
  <c r="E214" i="1"/>
  <c r="F214" i="1"/>
  <c r="G214" i="1"/>
  <c r="H214" i="1"/>
  <c r="K214" i="1"/>
  <c r="L214" i="1"/>
  <c r="A215" i="1"/>
  <c r="B215" i="1"/>
  <c r="C215" i="1"/>
  <c r="D215" i="1"/>
  <c r="E215" i="1"/>
  <c r="F215" i="1"/>
  <c r="G215" i="1"/>
  <c r="H215" i="1"/>
  <c r="K215" i="1"/>
  <c r="L215" i="1"/>
  <c r="A216" i="1"/>
  <c r="B216" i="1"/>
  <c r="C216" i="1"/>
  <c r="D216" i="1"/>
  <c r="E216" i="1"/>
  <c r="F216" i="1"/>
  <c r="G216" i="1"/>
  <c r="H216" i="1"/>
  <c r="K216" i="1"/>
  <c r="L216" i="1"/>
  <c r="A217" i="1"/>
  <c r="B217" i="1"/>
  <c r="C217" i="1"/>
  <c r="D217" i="1"/>
  <c r="E217" i="1"/>
  <c r="F217" i="1"/>
  <c r="G217" i="1"/>
  <c r="H217" i="1"/>
  <c r="K217" i="1"/>
  <c r="L217" i="1"/>
  <c r="A218" i="1"/>
  <c r="B218" i="1"/>
  <c r="C218" i="1"/>
  <c r="D218" i="1"/>
  <c r="E218" i="1"/>
  <c r="F218" i="1"/>
  <c r="G218" i="1"/>
  <c r="H218" i="1"/>
  <c r="K218" i="1"/>
  <c r="L218" i="1"/>
  <c r="A219" i="1"/>
  <c r="B219" i="1"/>
  <c r="C219" i="1"/>
  <c r="D219" i="1"/>
  <c r="E219" i="1"/>
  <c r="F219" i="1"/>
  <c r="G219" i="1"/>
  <c r="H219" i="1"/>
  <c r="K219" i="1"/>
  <c r="L219" i="1"/>
  <c r="A220" i="1"/>
  <c r="B220" i="1"/>
  <c r="C220" i="1"/>
  <c r="D220" i="1"/>
  <c r="E220" i="1"/>
  <c r="F220" i="1"/>
  <c r="G220" i="1"/>
  <c r="H220" i="1"/>
  <c r="K220" i="1"/>
  <c r="L220" i="1"/>
  <c r="A221" i="1"/>
  <c r="B221" i="1"/>
  <c r="C221" i="1"/>
  <c r="D221" i="1"/>
  <c r="E221" i="1"/>
  <c r="F221" i="1"/>
  <c r="G221" i="1"/>
  <c r="H221" i="1"/>
  <c r="K221" i="1"/>
  <c r="L221" i="1"/>
  <c r="A222" i="1"/>
  <c r="B222" i="1"/>
  <c r="C222" i="1"/>
  <c r="D222" i="1"/>
  <c r="E222" i="1"/>
  <c r="F222" i="1"/>
  <c r="G222" i="1"/>
  <c r="H222" i="1"/>
  <c r="K222" i="1"/>
  <c r="L222" i="1"/>
  <c r="A223" i="1"/>
  <c r="B223" i="1"/>
  <c r="C223" i="1"/>
  <c r="D223" i="1"/>
  <c r="E223" i="1"/>
  <c r="F223" i="1"/>
  <c r="G223" i="1"/>
  <c r="H223" i="1"/>
  <c r="K223" i="1"/>
  <c r="L223" i="1"/>
  <c r="A224" i="1"/>
  <c r="B224" i="1"/>
  <c r="C224" i="1"/>
  <c r="D224" i="1"/>
  <c r="E224" i="1"/>
  <c r="F224" i="1"/>
  <c r="G224" i="1"/>
  <c r="H224" i="1"/>
  <c r="K224" i="1"/>
  <c r="L224" i="1"/>
  <c r="A225" i="1"/>
  <c r="B225" i="1"/>
  <c r="C225" i="1"/>
  <c r="D225" i="1"/>
  <c r="E225" i="1"/>
  <c r="F225" i="1"/>
  <c r="G225" i="1"/>
  <c r="H225" i="1"/>
  <c r="K225" i="1"/>
  <c r="L225" i="1"/>
  <c r="A226" i="1"/>
  <c r="B226" i="1"/>
  <c r="C226" i="1"/>
  <c r="D226" i="1"/>
  <c r="E226" i="1"/>
  <c r="F226" i="1"/>
  <c r="G226" i="1"/>
  <c r="H226" i="1"/>
  <c r="K226" i="1"/>
  <c r="L226" i="1"/>
  <c r="A227" i="1"/>
  <c r="B227" i="1"/>
  <c r="C227" i="1"/>
  <c r="D227" i="1"/>
  <c r="E227" i="1"/>
  <c r="F227" i="1"/>
  <c r="G227" i="1"/>
  <c r="H227" i="1"/>
  <c r="K227" i="1"/>
  <c r="L227" i="1"/>
  <c r="A228" i="1"/>
  <c r="B228" i="1"/>
  <c r="C228" i="1"/>
  <c r="D228" i="1"/>
  <c r="E228" i="1"/>
  <c r="F228" i="1"/>
  <c r="G228" i="1"/>
  <c r="H228" i="1"/>
  <c r="K228" i="1"/>
  <c r="L228" i="1"/>
  <c r="A229" i="1"/>
  <c r="B229" i="1"/>
  <c r="C229" i="1"/>
  <c r="D229" i="1"/>
  <c r="E229" i="1"/>
  <c r="F229" i="1"/>
  <c r="G229" i="1"/>
  <c r="H229" i="1"/>
  <c r="K229" i="1"/>
  <c r="L229" i="1"/>
  <c r="A230" i="1"/>
  <c r="B230" i="1"/>
  <c r="C230" i="1"/>
  <c r="D230" i="1"/>
  <c r="E230" i="1"/>
  <c r="F230" i="1"/>
  <c r="G230" i="1"/>
  <c r="H230" i="1"/>
  <c r="K230" i="1"/>
  <c r="L230" i="1"/>
  <c r="A231" i="1"/>
  <c r="B231" i="1"/>
  <c r="C231" i="1"/>
  <c r="D231" i="1"/>
  <c r="E231" i="1"/>
  <c r="F231" i="1"/>
  <c r="G231" i="1"/>
  <c r="H231" i="1"/>
  <c r="K231" i="1"/>
  <c r="L231" i="1"/>
  <c r="A232" i="1"/>
  <c r="B232" i="1"/>
  <c r="C232" i="1"/>
  <c r="D232" i="1"/>
  <c r="E232" i="1"/>
  <c r="F232" i="1"/>
  <c r="G232" i="1"/>
  <c r="H232" i="1"/>
  <c r="K232" i="1"/>
  <c r="L232" i="1"/>
  <c r="A233" i="1"/>
  <c r="B233" i="1"/>
  <c r="C233" i="1"/>
  <c r="D233" i="1"/>
  <c r="E233" i="1"/>
  <c r="F233" i="1"/>
  <c r="G233" i="1"/>
  <c r="H233" i="1"/>
  <c r="K233" i="1"/>
  <c r="L233" i="1"/>
  <c r="A234" i="1"/>
  <c r="B234" i="1"/>
  <c r="C234" i="1"/>
  <c r="D234" i="1"/>
  <c r="E234" i="1"/>
  <c r="F234" i="1"/>
  <c r="G234" i="1"/>
  <c r="H234" i="1"/>
  <c r="K234" i="1"/>
  <c r="L234" i="1"/>
  <c r="A235" i="1"/>
  <c r="B235" i="1"/>
  <c r="C235" i="1"/>
  <c r="D235" i="1"/>
  <c r="E235" i="1"/>
  <c r="F235" i="1"/>
  <c r="G235" i="1"/>
  <c r="H235" i="1"/>
  <c r="K235" i="1"/>
  <c r="L235" i="1"/>
  <c r="A236" i="1"/>
  <c r="B236" i="1"/>
  <c r="C236" i="1"/>
  <c r="D236" i="1"/>
  <c r="E236" i="1"/>
  <c r="F236" i="1"/>
  <c r="G236" i="1"/>
  <c r="H236" i="1"/>
  <c r="K236" i="1"/>
  <c r="L236" i="1"/>
  <c r="A237" i="1"/>
  <c r="B237" i="1"/>
  <c r="C237" i="1"/>
  <c r="D237" i="1"/>
  <c r="E237" i="1"/>
  <c r="F237" i="1"/>
  <c r="G237" i="1"/>
  <c r="H237" i="1"/>
  <c r="K237" i="1"/>
  <c r="L237" i="1"/>
  <c r="A238" i="1"/>
  <c r="B238" i="1"/>
  <c r="C238" i="1"/>
  <c r="D238" i="1"/>
  <c r="E238" i="1"/>
  <c r="F238" i="1"/>
  <c r="G238" i="1"/>
  <c r="H238" i="1"/>
  <c r="K238" i="1"/>
  <c r="L238" i="1"/>
  <c r="A239" i="1"/>
  <c r="B239" i="1"/>
  <c r="C239" i="1"/>
  <c r="D239" i="1"/>
  <c r="E239" i="1"/>
  <c r="F239" i="1"/>
  <c r="G239" i="1"/>
  <c r="H239" i="1"/>
  <c r="K239" i="1"/>
  <c r="L239" i="1"/>
  <c r="A240" i="1"/>
  <c r="B240" i="1"/>
  <c r="C240" i="1"/>
  <c r="D240" i="1"/>
  <c r="E240" i="1"/>
  <c r="F240" i="1"/>
  <c r="G240" i="1"/>
  <c r="H240" i="1"/>
  <c r="K240" i="1"/>
  <c r="L240" i="1"/>
  <c r="A241" i="1"/>
  <c r="B241" i="1"/>
  <c r="C241" i="1"/>
  <c r="D241" i="1"/>
  <c r="E241" i="1"/>
  <c r="F241" i="1"/>
  <c r="G241" i="1"/>
  <c r="H241" i="1"/>
  <c r="K241" i="1"/>
  <c r="L241" i="1"/>
  <c r="A242" i="1"/>
  <c r="B242" i="1"/>
  <c r="C242" i="1"/>
  <c r="D242" i="1"/>
  <c r="E242" i="1"/>
  <c r="F242" i="1"/>
  <c r="G242" i="1"/>
  <c r="H242" i="1"/>
  <c r="K242" i="1"/>
  <c r="L242" i="1"/>
  <c r="A243" i="1"/>
  <c r="B243" i="1"/>
  <c r="C243" i="1"/>
  <c r="D243" i="1"/>
  <c r="E243" i="1"/>
  <c r="F243" i="1"/>
  <c r="G243" i="1"/>
  <c r="H243" i="1"/>
  <c r="K243" i="1"/>
  <c r="L243" i="1"/>
  <c r="A244" i="1"/>
  <c r="B244" i="1"/>
  <c r="C244" i="1"/>
  <c r="D244" i="1"/>
  <c r="E244" i="1"/>
  <c r="F244" i="1"/>
  <c r="G244" i="1"/>
  <c r="H244" i="1"/>
  <c r="K244" i="1"/>
  <c r="L244" i="1"/>
  <c r="A245" i="1"/>
  <c r="B245" i="1"/>
  <c r="C245" i="1"/>
  <c r="D245" i="1"/>
  <c r="E245" i="1"/>
  <c r="F245" i="1"/>
  <c r="G245" i="1"/>
  <c r="H245" i="1"/>
  <c r="K245" i="1"/>
  <c r="L245" i="1"/>
  <c r="A246" i="1"/>
  <c r="B246" i="1"/>
  <c r="C246" i="1"/>
  <c r="D246" i="1"/>
  <c r="E246" i="1"/>
  <c r="F246" i="1"/>
  <c r="G246" i="1"/>
  <c r="H246" i="1"/>
  <c r="K246" i="1"/>
  <c r="L246" i="1"/>
  <c r="A247" i="1"/>
  <c r="B247" i="1"/>
  <c r="C247" i="1"/>
  <c r="D247" i="1"/>
  <c r="E247" i="1"/>
  <c r="F247" i="1"/>
  <c r="G247" i="1"/>
  <c r="H247" i="1"/>
  <c r="K247" i="1"/>
  <c r="L247" i="1"/>
  <c r="A248" i="1"/>
  <c r="B248" i="1"/>
  <c r="C248" i="1"/>
  <c r="D248" i="1"/>
  <c r="E248" i="1"/>
  <c r="F248" i="1"/>
  <c r="G248" i="1"/>
  <c r="H248" i="1"/>
  <c r="K248" i="1"/>
  <c r="L248" i="1"/>
  <c r="A249" i="1"/>
  <c r="B249" i="1"/>
  <c r="C249" i="1"/>
  <c r="D249" i="1"/>
  <c r="E249" i="1"/>
  <c r="F249" i="1"/>
  <c r="G249" i="1"/>
  <c r="H249" i="1"/>
  <c r="K249" i="1"/>
  <c r="L249" i="1"/>
  <c r="A250" i="1"/>
  <c r="B250" i="1"/>
  <c r="C250" i="1"/>
  <c r="D250" i="1"/>
  <c r="E250" i="1"/>
  <c r="F250" i="1"/>
  <c r="G250" i="1"/>
  <c r="H250" i="1"/>
  <c r="I250" i="1" s="1"/>
  <c r="K250" i="1"/>
  <c r="L250" i="1"/>
  <c r="A251" i="1"/>
  <c r="B251" i="1"/>
  <c r="C251" i="1"/>
  <c r="D251" i="1"/>
  <c r="E251" i="1"/>
  <c r="F251" i="1"/>
  <c r="G251" i="1"/>
  <c r="H251" i="1"/>
  <c r="K251" i="1"/>
  <c r="L251" i="1"/>
  <c r="A252" i="1"/>
  <c r="B252" i="1"/>
  <c r="C252" i="1"/>
  <c r="D252" i="1"/>
  <c r="E252" i="1"/>
  <c r="F252" i="1"/>
  <c r="G252" i="1"/>
  <c r="H252" i="1"/>
  <c r="K252" i="1"/>
  <c r="L252" i="1"/>
  <c r="A253" i="1"/>
  <c r="B253" i="1"/>
  <c r="C253" i="1"/>
  <c r="D253" i="1"/>
  <c r="E253" i="1"/>
  <c r="F253" i="1"/>
  <c r="G253" i="1"/>
  <c r="H253" i="1"/>
  <c r="K253" i="1"/>
  <c r="L253" i="1"/>
  <c r="A254" i="1"/>
  <c r="B254" i="1"/>
  <c r="C254" i="1"/>
  <c r="D254" i="1"/>
  <c r="E254" i="1"/>
  <c r="F254" i="1"/>
  <c r="G254" i="1"/>
  <c r="H254" i="1"/>
  <c r="K254" i="1"/>
  <c r="L254" i="1"/>
  <c r="A255" i="1"/>
  <c r="B255" i="1"/>
  <c r="C255" i="1"/>
  <c r="D255" i="1"/>
  <c r="E255" i="1"/>
  <c r="F255" i="1"/>
  <c r="G255" i="1"/>
  <c r="H255" i="1"/>
  <c r="K255" i="1"/>
  <c r="L255" i="1"/>
  <c r="A256" i="1"/>
  <c r="B256" i="1"/>
  <c r="C256" i="1"/>
  <c r="D256" i="1"/>
  <c r="E256" i="1"/>
  <c r="F256" i="1"/>
  <c r="G256" i="1"/>
  <c r="H256" i="1"/>
  <c r="K256" i="1"/>
  <c r="L256" i="1"/>
  <c r="A257" i="1"/>
  <c r="B257" i="1"/>
  <c r="C257" i="1"/>
  <c r="D257" i="1"/>
  <c r="E257" i="1"/>
  <c r="F257" i="1"/>
  <c r="G257" i="1"/>
  <c r="H257" i="1"/>
  <c r="K257" i="1"/>
  <c r="L257" i="1"/>
  <c r="A258" i="1"/>
  <c r="B258" i="1"/>
  <c r="C258" i="1"/>
  <c r="D258" i="1"/>
  <c r="E258" i="1"/>
  <c r="F258" i="1"/>
  <c r="G258" i="1"/>
  <c r="H258" i="1"/>
  <c r="K258" i="1"/>
  <c r="L258" i="1"/>
  <c r="A259" i="1"/>
  <c r="B259" i="1"/>
  <c r="C259" i="1"/>
  <c r="D259" i="1"/>
  <c r="E259" i="1"/>
  <c r="F259" i="1"/>
  <c r="G259" i="1"/>
  <c r="H259" i="1"/>
  <c r="K259" i="1"/>
  <c r="L259" i="1"/>
  <c r="A260" i="1"/>
  <c r="B260" i="1"/>
  <c r="C260" i="1"/>
  <c r="D260" i="1"/>
  <c r="E260" i="1"/>
  <c r="F260" i="1"/>
  <c r="G260" i="1"/>
  <c r="H260" i="1"/>
  <c r="K260" i="1"/>
  <c r="L260" i="1"/>
  <c r="A261" i="1"/>
  <c r="B261" i="1"/>
  <c r="C261" i="1"/>
  <c r="D261" i="1"/>
  <c r="E261" i="1"/>
  <c r="F261" i="1"/>
  <c r="G261" i="1"/>
  <c r="H261" i="1"/>
  <c r="K261" i="1"/>
  <c r="L261" i="1"/>
  <c r="A262" i="1"/>
  <c r="B262" i="1"/>
  <c r="C262" i="1"/>
  <c r="D262" i="1"/>
  <c r="E262" i="1"/>
  <c r="F262" i="1"/>
  <c r="G262" i="1"/>
  <c r="H262" i="1"/>
  <c r="K262" i="1"/>
  <c r="L262" i="1"/>
  <c r="A263" i="1"/>
  <c r="B263" i="1"/>
  <c r="C263" i="1"/>
  <c r="D263" i="1"/>
  <c r="E263" i="1"/>
  <c r="F263" i="1"/>
  <c r="G263" i="1"/>
  <c r="H263" i="1"/>
  <c r="K263" i="1"/>
  <c r="L263" i="1"/>
  <c r="A264" i="1"/>
  <c r="B264" i="1"/>
  <c r="C264" i="1"/>
  <c r="D264" i="1"/>
  <c r="E264" i="1"/>
  <c r="F264" i="1"/>
  <c r="G264" i="1"/>
  <c r="H264" i="1"/>
  <c r="K264" i="1"/>
  <c r="L264" i="1"/>
  <c r="A265" i="1"/>
  <c r="B265" i="1"/>
  <c r="C265" i="1"/>
  <c r="D265" i="1"/>
  <c r="E265" i="1"/>
  <c r="F265" i="1"/>
  <c r="G265" i="1"/>
  <c r="H265" i="1"/>
  <c r="K265" i="1"/>
  <c r="L265" i="1"/>
  <c r="A266" i="1"/>
  <c r="B266" i="1"/>
  <c r="C266" i="1"/>
  <c r="D266" i="1"/>
  <c r="E266" i="1"/>
  <c r="F266" i="1"/>
  <c r="G266" i="1"/>
  <c r="H266" i="1"/>
  <c r="K266" i="1"/>
  <c r="L266" i="1"/>
  <c r="A267" i="1"/>
  <c r="B267" i="1"/>
  <c r="C267" i="1"/>
  <c r="D267" i="1"/>
  <c r="E267" i="1"/>
  <c r="F267" i="1"/>
  <c r="G267" i="1"/>
  <c r="H267" i="1"/>
  <c r="K267" i="1"/>
  <c r="L267" i="1"/>
  <c r="A268" i="1"/>
  <c r="B268" i="1"/>
  <c r="C268" i="1"/>
  <c r="D268" i="1"/>
  <c r="E268" i="1"/>
  <c r="F268" i="1"/>
  <c r="G268" i="1"/>
  <c r="H268" i="1"/>
  <c r="K268" i="1"/>
  <c r="L268" i="1"/>
  <c r="A269" i="1"/>
  <c r="B269" i="1"/>
  <c r="C269" i="1"/>
  <c r="D269" i="1"/>
  <c r="E269" i="1"/>
  <c r="F269" i="1"/>
  <c r="G269" i="1"/>
  <c r="H269" i="1"/>
  <c r="K269" i="1"/>
  <c r="L269" i="1"/>
  <c r="A270" i="1"/>
  <c r="B270" i="1"/>
  <c r="C270" i="1"/>
  <c r="D270" i="1"/>
  <c r="E270" i="1"/>
  <c r="F270" i="1"/>
  <c r="G270" i="1"/>
  <c r="H270" i="1"/>
  <c r="K270" i="1"/>
  <c r="L270" i="1"/>
  <c r="A271" i="1"/>
  <c r="B271" i="1"/>
  <c r="C271" i="1"/>
  <c r="D271" i="1"/>
  <c r="E271" i="1"/>
  <c r="F271" i="1"/>
  <c r="G271" i="1"/>
  <c r="H271" i="1"/>
  <c r="K271" i="1"/>
  <c r="L271" i="1"/>
  <c r="A272" i="1"/>
  <c r="B272" i="1"/>
  <c r="C272" i="1"/>
  <c r="D272" i="1"/>
  <c r="E272" i="1"/>
  <c r="F272" i="1"/>
  <c r="G272" i="1"/>
  <c r="H272" i="1"/>
  <c r="K272" i="1"/>
  <c r="L272" i="1"/>
  <c r="A273" i="1"/>
  <c r="B273" i="1"/>
  <c r="C273" i="1"/>
  <c r="D273" i="1"/>
  <c r="E273" i="1"/>
  <c r="F273" i="1"/>
  <c r="G273" i="1"/>
  <c r="H273" i="1"/>
  <c r="K273" i="1"/>
  <c r="L273" i="1"/>
  <c r="A274" i="1"/>
  <c r="B274" i="1"/>
  <c r="C274" i="1"/>
  <c r="D274" i="1"/>
  <c r="E274" i="1"/>
  <c r="F274" i="1"/>
  <c r="G274" i="1"/>
  <c r="H274" i="1"/>
  <c r="K274" i="1"/>
  <c r="L274" i="1"/>
  <c r="A275" i="1"/>
  <c r="B275" i="1"/>
  <c r="C275" i="1"/>
  <c r="D275" i="1"/>
  <c r="E275" i="1"/>
  <c r="F275" i="1"/>
  <c r="G275" i="1"/>
  <c r="H275" i="1"/>
  <c r="K275" i="1"/>
  <c r="L275" i="1"/>
  <c r="A276" i="1"/>
  <c r="B276" i="1"/>
  <c r="C276" i="1"/>
  <c r="D276" i="1"/>
  <c r="E276" i="1"/>
  <c r="F276" i="1"/>
  <c r="G276" i="1"/>
  <c r="H276" i="1"/>
  <c r="K276" i="1"/>
  <c r="L276" i="1"/>
  <c r="A277" i="1"/>
  <c r="B277" i="1"/>
  <c r="C277" i="1"/>
  <c r="D277" i="1"/>
  <c r="E277" i="1"/>
  <c r="F277" i="1"/>
  <c r="G277" i="1"/>
  <c r="H277" i="1"/>
  <c r="K277" i="1"/>
  <c r="L277" i="1"/>
  <c r="A278" i="1"/>
  <c r="B278" i="1"/>
  <c r="C278" i="1"/>
  <c r="D278" i="1"/>
  <c r="E278" i="1"/>
  <c r="F278" i="1"/>
  <c r="G278" i="1"/>
  <c r="H278" i="1"/>
  <c r="K278" i="1"/>
  <c r="L278" i="1"/>
  <c r="A279" i="1"/>
  <c r="B279" i="1"/>
  <c r="C279" i="1"/>
  <c r="D279" i="1"/>
  <c r="E279" i="1"/>
  <c r="F279" i="1"/>
  <c r="G279" i="1"/>
  <c r="H279" i="1"/>
  <c r="K279" i="1"/>
  <c r="L279" i="1"/>
  <c r="A280" i="1"/>
  <c r="B280" i="1"/>
  <c r="C280" i="1"/>
  <c r="D280" i="1"/>
  <c r="E280" i="1"/>
  <c r="F280" i="1"/>
  <c r="G280" i="1"/>
  <c r="H280" i="1"/>
  <c r="K280" i="1"/>
  <c r="L280" i="1"/>
  <c r="A281" i="1"/>
  <c r="B281" i="1"/>
  <c r="C281" i="1"/>
  <c r="D281" i="1"/>
  <c r="E281" i="1"/>
  <c r="F281" i="1"/>
  <c r="G281" i="1"/>
  <c r="H281" i="1"/>
  <c r="K281" i="1"/>
  <c r="L281" i="1"/>
  <c r="A282" i="1"/>
  <c r="B282" i="1"/>
  <c r="C282" i="1"/>
  <c r="D282" i="1"/>
  <c r="E282" i="1"/>
  <c r="F282" i="1"/>
  <c r="G282" i="1"/>
  <c r="H282" i="1"/>
  <c r="K282" i="1"/>
  <c r="L282" i="1"/>
  <c r="A283" i="1"/>
  <c r="B283" i="1"/>
  <c r="C283" i="1"/>
  <c r="D283" i="1"/>
  <c r="E283" i="1"/>
  <c r="F283" i="1"/>
  <c r="G283" i="1"/>
  <c r="H283" i="1"/>
  <c r="K283" i="1"/>
  <c r="L283" i="1"/>
  <c r="A284" i="1"/>
  <c r="B284" i="1"/>
  <c r="C284" i="1"/>
  <c r="D284" i="1"/>
  <c r="E284" i="1"/>
  <c r="F284" i="1"/>
  <c r="G284" i="1"/>
  <c r="H284" i="1"/>
  <c r="K284" i="1"/>
  <c r="L284" i="1"/>
  <c r="A285" i="1"/>
  <c r="B285" i="1"/>
  <c r="C285" i="1"/>
  <c r="D285" i="1"/>
  <c r="E285" i="1"/>
  <c r="F285" i="1"/>
  <c r="G285" i="1"/>
  <c r="H285" i="1"/>
  <c r="K285" i="1"/>
  <c r="L285" i="1"/>
  <c r="A286" i="1"/>
  <c r="B286" i="1"/>
  <c r="C286" i="1"/>
  <c r="D286" i="1"/>
  <c r="E286" i="1"/>
  <c r="F286" i="1"/>
  <c r="G286" i="1"/>
  <c r="H286" i="1"/>
  <c r="K286" i="1"/>
  <c r="L286" i="1"/>
  <c r="A287" i="1"/>
  <c r="B287" i="1"/>
  <c r="C287" i="1"/>
  <c r="D287" i="1"/>
  <c r="E287" i="1"/>
  <c r="F287" i="1"/>
  <c r="G287" i="1"/>
  <c r="H287" i="1"/>
  <c r="K287" i="1"/>
  <c r="L287" i="1"/>
  <c r="A288" i="1"/>
  <c r="B288" i="1"/>
  <c r="C288" i="1"/>
  <c r="D288" i="1"/>
  <c r="E288" i="1"/>
  <c r="F288" i="1"/>
  <c r="G288" i="1"/>
  <c r="H288" i="1"/>
  <c r="K288" i="1"/>
  <c r="L288" i="1"/>
  <c r="A289" i="1"/>
  <c r="B289" i="1"/>
  <c r="C289" i="1"/>
  <c r="D289" i="1"/>
  <c r="E289" i="1"/>
  <c r="F289" i="1"/>
  <c r="G289" i="1"/>
  <c r="H289" i="1"/>
  <c r="K289" i="1"/>
  <c r="L289" i="1"/>
  <c r="A290" i="1"/>
  <c r="B290" i="1"/>
  <c r="C290" i="1"/>
  <c r="D290" i="1"/>
  <c r="E290" i="1"/>
  <c r="F290" i="1"/>
  <c r="G290" i="1"/>
  <c r="H290" i="1"/>
  <c r="K290" i="1"/>
  <c r="L290" i="1"/>
  <c r="A291" i="1"/>
  <c r="B291" i="1"/>
  <c r="C291" i="1"/>
  <c r="D291" i="1"/>
  <c r="E291" i="1"/>
  <c r="F291" i="1"/>
  <c r="G291" i="1"/>
  <c r="H291" i="1"/>
  <c r="K291" i="1"/>
  <c r="L291" i="1"/>
  <c r="A292" i="1"/>
  <c r="B292" i="1"/>
  <c r="C292" i="1"/>
  <c r="D292" i="1"/>
  <c r="E292" i="1"/>
  <c r="F292" i="1"/>
  <c r="G292" i="1"/>
  <c r="H292" i="1"/>
  <c r="K292" i="1"/>
  <c r="L292" i="1"/>
  <c r="A293" i="1"/>
  <c r="B293" i="1"/>
  <c r="C293" i="1"/>
  <c r="D293" i="1"/>
  <c r="E293" i="1"/>
  <c r="F293" i="1"/>
  <c r="G293" i="1"/>
  <c r="H293" i="1"/>
  <c r="K293" i="1"/>
  <c r="L293" i="1"/>
  <c r="A294" i="1"/>
  <c r="B294" i="1"/>
  <c r="C294" i="1"/>
  <c r="D294" i="1"/>
  <c r="E294" i="1"/>
  <c r="F294" i="1"/>
  <c r="G294" i="1"/>
  <c r="H294" i="1"/>
  <c r="K294" i="1"/>
  <c r="L294" i="1"/>
  <c r="A295" i="1"/>
  <c r="B295" i="1"/>
  <c r="C295" i="1"/>
  <c r="D295" i="1"/>
  <c r="E295" i="1"/>
  <c r="F295" i="1"/>
  <c r="G295" i="1"/>
  <c r="H295" i="1"/>
  <c r="K295" i="1"/>
  <c r="L295" i="1"/>
  <c r="A296" i="1"/>
  <c r="B296" i="1"/>
  <c r="C296" i="1"/>
  <c r="D296" i="1"/>
  <c r="E296" i="1"/>
  <c r="F296" i="1"/>
  <c r="G296" i="1"/>
  <c r="H296" i="1"/>
  <c r="K296" i="1"/>
  <c r="L296" i="1"/>
  <c r="A297" i="1"/>
  <c r="B297" i="1"/>
  <c r="C297" i="1"/>
  <c r="D297" i="1"/>
  <c r="E297" i="1"/>
  <c r="F297" i="1"/>
  <c r="G297" i="1"/>
  <c r="H297" i="1"/>
  <c r="K297" i="1"/>
  <c r="L297" i="1"/>
  <c r="A298" i="1"/>
  <c r="B298" i="1"/>
  <c r="C298" i="1"/>
  <c r="D298" i="1"/>
  <c r="E298" i="1"/>
  <c r="F298" i="1"/>
  <c r="G298" i="1"/>
  <c r="H298" i="1"/>
  <c r="K298" i="1"/>
  <c r="L298" i="1"/>
  <c r="A299" i="1"/>
  <c r="B299" i="1"/>
  <c r="C299" i="1"/>
  <c r="D299" i="1"/>
  <c r="E299" i="1"/>
  <c r="F299" i="1"/>
  <c r="G299" i="1"/>
  <c r="H299" i="1"/>
  <c r="K299" i="1"/>
  <c r="L299" i="1"/>
  <c r="A300" i="1"/>
  <c r="B300" i="1"/>
  <c r="C300" i="1"/>
  <c r="D300" i="1"/>
  <c r="E300" i="1"/>
  <c r="F300" i="1"/>
  <c r="G300" i="1"/>
  <c r="H300" i="1"/>
  <c r="K300" i="1"/>
  <c r="L300" i="1"/>
  <c r="A301" i="1"/>
  <c r="B301" i="1"/>
  <c r="C301" i="1"/>
  <c r="D301" i="1"/>
  <c r="E301" i="1"/>
  <c r="F301" i="1"/>
  <c r="G301" i="1"/>
  <c r="H301" i="1"/>
  <c r="K301" i="1"/>
  <c r="L301" i="1"/>
  <c r="A302" i="1"/>
  <c r="B302" i="1"/>
  <c r="C302" i="1"/>
  <c r="D302" i="1"/>
  <c r="E302" i="1"/>
  <c r="F302" i="1"/>
  <c r="G302" i="1"/>
  <c r="H302" i="1"/>
  <c r="K302" i="1"/>
  <c r="L302" i="1"/>
  <c r="A303" i="1"/>
  <c r="B303" i="1"/>
  <c r="C303" i="1"/>
  <c r="D303" i="1"/>
  <c r="E303" i="1"/>
  <c r="F303" i="1"/>
  <c r="G303" i="1"/>
  <c r="H303" i="1"/>
  <c r="K303" i="1"/>
  <c r="L303" i="1"/>
  <c r="A304" i="1"/>
  <c r="B304" i="1"/>
  <c r="C304" i="1"/>
  <c r="D304" i="1"/>
  <c r="E304" i="1"/>
  <c r="F304" i="1"/>
  <c r="G304" i="1"/>
  <c r="H304" i="1"/>
  <c r="K304" i="1"/>
  <c r="L304" i="1"/>
  <c r="A305" i="1"/>
  <c r="B305" i="1"/>
  <c r="C305" i="1"/>
  <c r="D305" i="1"/>
  <c r="E305" i="1"/>
  <c r="F305" i="1"/>
  <c r="G305" i="1"/>
  <c r="H305" i="1"/>
  <c r="K305" i="1"/>
  <c r="L305" i="1"/>
  <c r="A306" i="1"/>
  <c r="B306" i="1"/>
  <c r="C306" i="1"/>
  <c r="D306" i="1"/>
  <c r="E306" i="1"/>
  <c r="F306" i="1"/>
  <c r="G306" i="1"/>
  <c r="H306" i="1"/>
  <c r="K306" i="1"/>
  <c r="L306" i="1"/>
  <c r="A307" i="1"/>
  <c r="B307" i="1"/>
  <c r="C307" i="1"/>
  <c r="D307" i="1"/>
  <c r="E307" i="1"/>
  <c r="F307" i="1"/>
  <c r="G307" i="1"/>
  <c r="H307" i="1"/>
  <c r="K307" i="1"/>
  <c r="L307" i="1"/>
  <c r="A308" i="1"/>
  <c r="B308" i="1"/>
  <c r="C308" i="1"/>
  <c r="D308" i="1"/>
  <c r="E308" i="1"/>
  <c r="F308" i="1"/>
  <c r="G308" i="1"/>
  <c r="H308" i="1"/>
  <c r="K308" i="1"/>
  <c r="L308" i="1"/>
  <c r="A309" i="1"/>
  <c r="B309" i="1"/>
  <c r="C309" i="1"/>
  <c r="D309" i="1"/>
  <c r="E309" i="1"/>
  <c r="F309" i="1"/>
  <c r="G309" i="1"/>
  <c r="H309" i="1"/>
  <c r="K309" i="1"/>
  <c r="L309" i="1"/>
  <c r="A310" i="1"/>
  <c r="B310" i="1"/>
  <c r="C310" i="1"/>
  <c r="D310" i="1"/>
  <c r="E310" i="1"/>
  <c r="F310" i="1"/>
  <c r="G310" i="1"/>
  <c r="H310" i="1"/>
  <c r="K310" i="1"/>
  <c r="L310" i="1"/>
  <c r="A311" i="1"/>
  <c r="B311" i="1"/>
  <c r="C311" i="1"/>
  <c r="D311" i="1"/>
  <c r="E311" i="1"/>
  <c r="F311" i="1"/>
  <c r="G311" i="1"/>
  <c r="H311" i="1"/>
  <c r="K311" i="1"/>
  <c r="L311" i="1"/>
  <c r="A312" i="1"/>
  <c r="B312" i="1"/>
  <c r="C312" i="1"/>
  <c r="D312" i="1"/>
  <c r="E312" i="1"/>
  <c r="F312" i="1"/>
  <c r="G312" i="1"/>
  <c r="H312" i="1"/>
  <c r="K312" i="1"/>
  <c r="L312" i="1"/>
  <c r="A313" i="1"/>
  <c r="B313" i="1"/>
  <c r="C313" i="1"/>
  <c r="D313" i="1"/>
  <c r="E313" i="1"/>
  <c r="F313" i="1"/>
  <c r="G313" i="1"/>
  <c r="H313" i="1"/>
  <c r="K313" i="1"/>
  <c r="L313" i="1"/>
  <c r="A314" i="1"/>
  <c r="B314" i="1"/>
  <c r="C314" i="1"/>
  <c r="D314" i="1"/>
  <c r="E314" i="1"/>
  <c r="F314" i="1"/>
  <c r="G314" i="1"/>
  <c r="H314" i="1"/>
  <c r="K314" i="1"/>
  <c r="L314" i="1"/>
  <c r="A315" i="1"/>
  <c r="B315" i="1"/>
  <c r="C315" i="1"/>
  <c r="D315" i="1"/>
  <c r="E315" i="1"/>
  <c r="F315" i="1"/>
  <c r="G315" i="1"/>
  <c r="H315" i="1"/>
  <c r="K315" i="1"/>
  <c r="L315" i="1"/>
  <c r="A316" i="1"/>
  <c r="B316" i="1"/>
  <c r="C316" i="1"/>
  <c r="D316" i="1"/>
  <c r="E316" i="1"/>
  <c r="F316" i="1"/>
  <c r="G316" i="1"/>
  <c r="H316" i="1"/>
  <c r="K316" i="1"/>
  <c r="L316" i="1"/>
  <c r="A317" i="1"/>
  <c r="B317" i="1"/>
  <c r="C317" i="1"/>
  <c r="D317" i="1"/>
  <c r="E317" i="1"/>
  <c r="F317" i="1"/>
  <c r="G317" i="1"/>
  <c r="H317" i="1"/>
  <c r="K317" i="1"/>
  <c r="L317" i="1"/>
  <c r="A318" i="1"/>
  <c r="B318" i="1"/>
  <c r="C318" i="1"/>
  <c r="D318" i="1"/>
  <c r="E318" i="1"/>
  <c r="F318" i="1"/>
  <c r="G318" i="1"/>
  <c r="H318" i="1"/>
  <c r="K318" i="1"/>
  <c r="L318" i="1"/>
  <c r="A319" i="1"/>
  <c r="B319" i="1"/>
  <c r="C319" i="1"/>
  <c r="D319" i="1"/>
  <c r="E319" i="1"/>
  <c r="F319" i="1"/>
  <c r="G319" i="1"/>
  <c r="H319" i="1"/>
  <c r="K319" i="1"/>
  <c r="L319" i="1"/>
  <c r="A320" i="1"/>
  <c r="B320" i="1"/>
  <c r="C320" i="1"/>
  <c r="D320" i="1"/>
  <c r="E320" i="1"/>
  <c r="F320" i="1"/>
  <c r="G320" i="1"/>
  <c r="H320" i="1"/>
  <c r="K320" i="1"/>
  <c r="L320" i="1"/>
  <c r="A321" i="1"/>
  <c r="B321" i="1"/>
  <c r="C321" i="1"/>
  <c r="D321" i="1"/>
  <c r="E321" i="1"/>
  <c r="F321" i="1"/>
  <c r="G321" i="1"/>
  <c r="H321" i="1"/>
  <c r="K321" i="1"/>
  <c r="L321" i="1"/>
  <c r="A322" i="1"/>
  <c r="B322" i="1"/>
  <c r="C322" i="1"/>
  <c r="D322" i="1"/>
  <c r="E322" i="1"/>
  <c r="F322" i="1"/>
  <c r="G322" i="1"/>
  <c r="H322" i="1"/>
  <c r="K322" i="1"/>
  <c r="L322" i="1"/>
  <c r="A323" i="1"/>
  <c r="B323" i="1"/>
  <c r="C323" i="1"/>
  <c r="D323" i="1"/>
  <c r="E323" i="1"/>
  <c r="F323" i="1"/>
  <c r="G323" i="1"/>
  <c r="H323" i="1"/>
  <c r="K323" i="1"/>
  <c r="L323" i="1"/>
  <c r="A324" i="1"/>
  <c r="B324" i="1"/>
  <c r="C324" i="1"/>
  <c r="D324" i="1"/>
  <c r="E324" i="1"/>
  <c r="F324" i="1"/>
  <c r="G324" i="1"/>
  <c r="H324" i="1"/>
  <c r="K324" i="1"/>
  <c r="L324" i="1"/>
  <c r="A325" i="1"/>
  <c r="B325" i="1"/>
  <c r="C325" i="1"/>
  <c r="D325" i="1"/>
  <c r="E325" i="1"/>
  <c r="F325" i="1"/>
  <c r="G325" i="1"/>
  <c r="H325" i="1"/>
  <c r="K325" i="1"/>
  <c r="L325" i="1"/>
  <c r="A326" i="1"/>
  <c r="B326" i="1"/>
  <c r="C326" i="1"/>
  <c r="D326" i="1"/>
  <c r="E326" i="1"/>
  <c r="F326" i="1"/>
  <c r="G326" i="1"/>
  <c r="H326" i="1"/>
  <c r="K326" i="1"/>
  <c r="L326" i="1"/>
  <c r="A327" i="1"/>
  <c r="B327" i="1"/>
  <c r="C327" i="1"/>
  <c r="D327" i="1"/>
  <c r="E327" i="1"/>
  <c r="F327" i="1"/>
  <c r="G327" i="1"/>
  <c r="H327" i="1"/>
  <c r="K327" i="1"/>
  <c r="L327" i="1"/>
  <c r="A328" i="1"/>
  <c r="B328" i="1"/>
  <c r="C328" i="1"/>
  <c r="D328" i="1"/>
  <c r="E328" i="1"/>
  <c r="F328" i="1"/>
  <c r="G328" i="1"/>
  <c r="H328" i="1"/>
  <c r="K328" i="1"/>
  <c r="L328" i="1"/>
  <c r="A329" i="1"/>
  <c r="B329" i="1"/>
  <c r="C329" i="1"/>
  <c r="D329" i="1"/>
  <c r="E329" i="1"/>
  <c r="F329" i="1"/>
  <c r="G329" i="1"/>
  <c r="H329" i="1"/>
  <c r="K329" i="1"/>
  <c r="L329" i="1"/>
  <c r="A330" i="1"/>
  <c r="B330" i="1"/>
  <c r="C330" i="1"/>
  <c r="D330" i="1"/>
  <c r="E330" i="1"/>
  <c r="F330" i="1"/>
  <c r="G330" i="1"/>
  <c r="H330" i="1"/>
  <c r="K330" i="1"/>
  <c r="L330" i="1"/>
  <c r="A331" i="1"/>
  <c r="B331" i="1"/>
  <c r="C331" i="1"/>
  <c r="D331" i="1"/>
  <c r="E331" i="1"/>
  <c r="F331" i="1"/>
  <c r="G331" i="1"/>
  <c r="H331" i="1"/>
  <c r="K331" i="1"/>
  <c r="L331" i="1"/>
  <c r="A332" i="1"/>
  <c r="B332" i="1"/>
  <c r="C332" i="1"/>
  <c r="D332" i="1"/>
  <c r="E332" i="1"/>
  <c r="F332" i="1"/>
  <c r="G332" i="1"/>
  <c r="H332" i="1"/>
  <c r="K332" i="1"/>
  <c r="L332" i="1"/>
  <c r="A333" i="1"/>
  <c r="B333" i="1"/>
  <c r="C333" i="1"/>
  <c r="D333" i="1"/>
  <c r="E333" i="1"/>
  <c r="F333" i="1"/>
  <c r="G333" i="1"/>
  <c r="H333" i="1"/>
  <c r="K333" i="1"/>
  <c r="L333" i="1"/>
  <c r="A334" i="1"/>
  <c r="B334" i="1"/>
  <c r="C334" i="1"/>
  <c r="D334" i="1"/>
  <c r="E334" i="1"/>
  <c r="F334" i="1"/>
  <c r="G334" i="1"/>
  <c r="H334" i="1"/>
  <c r="K334" i="1"/>
  <c r="L334" i="1"/>
  <c r="A335" i="1"/>
  <c r="B335" i="1"/>
  <c r="C335" i="1"/>
  <c r="D335" i="1"/>
  <c r="E335" i="1"/>
  <c r="F335" i="1"/>
  <c r="G335" i="1"/>
  <c r="H335" i="1"/>
  <c r="K335" i="1"/>
  <c r="L335" i="1"/>
  <c r="A336" i="1"/>
  <c r="B336" i="1"/>
  <c r="C336" i="1"/>
  <c r="D336" i="1"/>
  <c r="E336" i="1"/>
  <c r="F336" i="1"/>
  <c r="G336" i="1"/>
  <c r="H336" i="1"/>
  <c r="K336" i="1"/>
  <c r="L336" i="1"/>
  <c r="A337" i="1"/>
  <c r="B337" i="1"/>
  <c r="C337" i="1"/>
  <c r="D337" i="1"/>
  <c r="E337" i="1"/>
  <c r="F337" i="1"/>
  <c r="G337" i="1"/>
  <c r="H337" i="1"/>
  <c r="K337" i="1"/>
  <c r="L337" i="1"/>
  <c r="A338" i="1"/>
  <c r="B338" i="1"/>
  <c r="C338" i="1"/>
  <c r="D338" i="1"/>
  <c r="E338" i="1"/>
  <c r="F338" i="1"/>
  <c r="G338" i="1"/>
  <c r="H338" i="1"/>
  <c r="K338" i="1"/>
  <c r="L338" i="1"/>
  <c r="A339" i="1"/>
  <c r="B339" i="1"/>
  <c r="C339" i="1"/>
  <c r="D339" i="1"/>
  <c r="E339" i="1"/>
  <c r="F339" i="1"/>
  <c r="G339" i="1"/>
  <c r="H339" i="1"/>
  <c r="K339" i="1"/>
  <c r="L339" i="1"/>
  <c r="A340" i="1"/>
  <c r="B340" i="1"/>
  <c r="C340" i="1"/>
  <c r="D340" i="1"/>
  <c r="E340" i="1"/>
  <c r="F340" i="1"/>
  <c r="G340" i="1"/>
  <c r="H340" i="1"/>
  <c r="K340" i="1"/>
  <c r="L340" i="1"/>
  <c r="A341" i="1"/>
  <c r="B341" i="1"/>
  <c r="C341" i="1"/>
  <c r="D341" i="1"/>
  <c r="E341" i="1"/>
  <c r="F341" i="1"/>
  <c r="G341" i="1"/>
  <c r="H341" i="1"/>
  <c r="K341" i="1"/>
  <c r="L341" i="1"/>
  <c r="A342" i="1"/>
  <c r="B342" i="1"/>
  <c r="C342" i="1"/>
  <c r="D342" i="1"/>
  <c r="E342" i="1"/>
  <c r="F342" i="1"/>
  <c r="G342" i="1"/>
  <c r="H342" i="1"/>
  <c r="K342" i="1"/>
  <c r="L342" i="1"/>
  <c r="A343" i="1"/>
  <c r="B343" i="1"/>
  <c r="C343" i="1"/>
  <c r="D343" i="1"/>
  <c r="E343" i="1"/>
  <c r="F343" i="1"/>
  <c r="G343" i="1"/>
  <c r="H343" i="1"/>
  <c r="K343" i="1"/>
  <c r="L343" i="1"/>
  <c r="A344" i="1"/>
  <c r="B344" i="1"/>
  <c r="C344" i="1"/>
  <c r="D344" i="1"/>
  <c r="E344" i="1"/>
  <c r="F344" i="1"/>
  <c r="G344" i="1"/>
  <c r="H344" i="1"/>
  <c r="K344" i="1"/>
  <c r="L344" i="1"/>
  <c r="A345" i="1"/>
  <c r="B345" i="1"/>
  <c r="C345" i="1"/>
  <c r="D345" i="1"/>
  <c r="E345" i="1"/>
  <c r="F345" i="1"/>
  <c r="G345" i="1"/>
  <c r="H345" i="1"/>
  <c r="K345" i="1"/>
  <c r="L345" i="1"/>
  <c r="A346" i="1"/>
  <c r="B346" i="1"/>
  <c r="C346" i="1"/>
  <c r="D346" i="1"/>
  <c r="E346" i="1"/>
  <c r="F346" i="1"/>
  <c r="G346" i="1"/>
  <c r="H346" i="1"/>
  <c r="K346" i="1"/>
  <c r="L346" i="1"/>
  <c r="A347" i="1"/>
  <c r="B347" i="1"/>
  <c r="C347" i="1"/>
  <c r="D347" i="1"/>
  <c r="E347" i="1"/>
  <c r="F347" i="1"/>
  <c r="G347" i="1"/>
  <c r="H347" i="1"/>
  <c r="K347" i="1"/>
  <c r="L347" i="1"/>
  <c r="A348" i="1"/>
  <c r="B348" i="1"/>
  <c r="C348" i="1"/>
  <c r="D348" i="1"/>
  <c r="E348" i="1"/>
  <c r="F348" i="1"/>
  <c r="G348" i="1"/>
  <c r="H348" i="1"/>
  <c r="K348" i="1"/>
  <c r="L348" i="1"/>
  <c r="A349" i="1"/>
  <c r="B349" i="1"/>
  <c r="C349" i="1"/>
  <c r="D349" i="1"/>
  <c r="E349" i="1"/>
  <c r="F349" i="1"/>
  <c r="G349" i="1"/>
  <c r="H349" i="1"/>
  <c r="K349" i="1"/>
  <c r="L349" i="1"/>
  <c r="A350" i="1"/>
  <c r="B350" i="1"/>
  <c r="C350" i="1"/>
  <c r="D350" i="1"/>
  <c r="E350" i="1"/>
  <c r="F350" i="1"/>
  <c r="G350" i="1"/>
  <c r="H350" i="1"/>
  <c r="K350" i="1"/>
  <c r="L350" i="1"/>
  <c r="A351" i="1"/>
  <c r="B351" i="1"/>
  <c r="C351" i="1"/>
  <c r="D351" i="1"/>
  <c r="E351" i="1"/>
  <c r="F351" i="1"/>
  <c r="G351" i="1"/>
  <c r="H351" i="1"/>
  <c r="K351" i="1"/>
  <c r="L351" i="1"/>
  <c r="A352" i="1"/>
  <c r="B352" i="1"/>
  <c r="C352" i="1"/>
  <c r="D352" i="1"/>
  <c r="E352" i="1"/>
  <c r="F352" i="1"/>
  <c r="G352" i="1"/>
  <c r="H352" i="1"/>
  <c r="K352" i="1"/>
  <c r="L352" i="1"/>
  <c r="A353" i="1"/>
  <c r="B353" i="1"/>
  <c r="C353" i="1"/>
  <c r="D353" i="1"/>
  <c r="E353" i="1"/>
  <c r="F353" i="1"/>
  <c r="G353" i="1"/>
  <c r="H353" i="1"/>
  <c r="K353" i="1"/>
  <c r="L353" i="1"/>
  <c r="A354" i="1"/>
  <c r="B354" i="1"/>
  <c r="C354" i="1"/>
  <c r="D354" i="1"/>
  <c r="E354" i="1"/>
  <c r="F354" i="1"/>
  <c r="G354" i="1"/>
  <c r="H354" i="1"/>
  <c r="K354" i="1"/>
  <c r="L354" i="1"/>
  <c r="A355" i="1"/>
  <c r="B355" i="1"/>
  <c r="C355" i="1"/>
  <c r="D355" i="1"/>
  <c r="E355" i="1"/>
  <c r="F355" i="1"/>
  <c r="G355" i="1"/>
  <c r="H355" i="1"/>
  <c r="K355" i="1"/>
  <c r="L355" i="1"/>
  <c r="A356" i="1"/>
  <c r="B356" i="1"/>
  <c r="C356" i="1"/>
  <c r="D356" i="1"/>
  <c r="E356" i="1"/>
  <c r="F356" i="1"/>
  <c r="G356" i="1"/>
  <c r="H356" i="1"/>
  <c r="K356" i="1"/>
  <c r="L356" i="1"/>
  <c r="A357" i="1"/>
  <c r="B357" i="1"/>
  <c r="C357" i="1"/>
  <c r="D357" i="1"/>
  <c r="E357" i="1"/>
  <c r="F357" i="1"/>
  <c r="G357" i="1"/>
  <c r="H357" i="1"/>
  <c r="K357" i="1"/>
  <c r="L357" i="1"/>
  <c r="A358" i="1"/>
  <c r="B358" i="1"/>
  <c r="C358" i="1"/>
  <c r="D358" i="1"/>
  <c r="E358" i="1"/>
  <c r="F358" i="1"/>
  <c r="G358" i="1"/>
  <c r="H358" i="1"/>
  <c r="K358" i="1"/>
  <c r="L358" i="1"/>
  <c r="A359" i="1"/>
  <c r="B359" i="1"/>
  <c r="C359" i="1"/>
  <c r="D359" i="1"/>
  <c r="E359" i="1"/>
  <c r="F359" i="1"/>
  <c r="G359" i="1"/>
  <c r="H359" i="1"/>
  <c r="K359" i="1"/>
  <c r="L359" i="1"/>
  <c r="A360" i="1"/>
  <c r="B360" i="1"/>
  <c r="C360" i="1"/>
  <c r="D360" i="1"/>
  <c r="E360" i="1"/>
  <c r="F360" i="1"/>
  <c r="G360" i="1"/>
  <c r="H360" i="1"/>
  <c r="K360" i="1"/>
  <c r="L360" i="1"/>
  <c r="A361" i="1"/>
  <c r="B361" i="1"/>
  <c r="C361" i="1"/>
  <c r="D361" i="1"/>
  <c r="E361" i="1"/>
  <c r="F361" i="1"/>
  <c r="G361" i="1"/>
  <c r="H361" i="1"/>
  <c r="K361" i="1"/>
  <c r="L361" i="1"/>
  <c r="A362" i="1"/>
  <c r="B362" i="1"/>
  <c r="C362" i="1"/>
  <c r="D362" i="1"/>
  <c r="E362" i="1"/>
  <c r="F362" i="1"/>
  <c r="G362" i="1"/>
  <c r="H362" i="1"/>
  <c r="K362" i="1"/>
  <c r="L362" i="1"/>
  <c r="A363" i="1"/>
  <c r="B363" i="1"/>
  <c r="C363" i="1"/>
  <c r="D363" i="1"/>
  <c r="E363" i="1"/>
  <c r="F363" i="1"/>
  <c r="G363" i="1"/>
  <c r="H363" i="1"/>
  <c r="K363" i="1"/>
  <c r="L363" i="1"/>
  <c r="M363" i="1" s="1"/>
  <c r="A364" i="1"/>
  <c r="B364" i="1"/>
  <c r="C364" i="1"/>
  <c r="D364" i="1"/>
  <c r="E364" i="1"/>
  <c r="F364" i="1"/>
  <c r="G364" i="1"/>
  <c r="H364" i="1"/>
  <c r="K364" i="1"/>
  <c r="L364" i="1"/>
  <c r="A365" i="1"/>
  <c r="B365" i="1"/>
  <c r="C365" i="1"/>
  <c r="D365" i="1"/>
  <c r="E365" i="1"/>
  <c r="F365" i="1"/>
  <c r="G365" i="1"/>
  <c r="H365" i="1"/>
  <c r="K365" i="1"/>
  <c r="L365" i="1"/>
  <c r="A366" i="1"/>
  <c r="B366" i="1"/>
  <c r="C366" i="1"/>
  <c r="D366" i="1"/>
  <c r="E366" i="1"/>
  <c r="F366" i="1"/>
  <c r="G366" i="1"/>
  <c r="H366" i="1"/>
  <c r="K366" i="1"/>
  <c r="L366" i="1"/>
  <c r="A367" i="1"/>
  <c r="B367" i="1"/>
  <c r="C367" i="1"/>
  <c r="D367" i="1"/>
  <c r="E367" i="1"/>
  <c r="F367" i="1"/>
  <c r="G367" i="1"/>
  <c r="H367" i="1"/>
  <c r="K367" i="1"/>
  <c r="L367" i="1"/>
  <c r="A368" i="1"/>
  <c r="B368" i="1"/>
  <c r="C368" i="1"/>
  <c r="D368" i="1"/>
  <c r="E368" i="1"/>
  <c r="F368" i="1"/>
  <c r="G368" i="1"/>
  <c r="H368" i="1"/>
  <c r="K368" i="1"/>
  <c r="L368" i="1"/>
  <c r="A369" i="1"/>
  <c r="B369" i="1"/>
  <c r="C369" i="1"/>
  <c r="D369" i="1"/>
  <c r="E369" i="1"/>
  <c r="F369" i="1"/>
  <c r="G369" i="1"/>
  <c r="H369" i="1"/>
  <c r="K369" i="1"/>
  <c r="L369" i="1"/>
  <c r="A370" i="1"/>
  <c r="B370" i="1"/>
  <c r="C370" i="1"/>
  <c r="D370" i="1"/>
  <c r="E370" i="1"/>
  <c r="F370" i="1"/>
  <c r="G370" i="1"/>
  <c r="H370" i="1"/>
  <c r="K370" i="1"/>
  <c r="L370" i="1"/>
  <c r="A371" i="1"/>
  <c r="B371" i="1"/>
  <c r="C371" i="1"/>
  <c r="D371" i="1"/>
  <c r="E371" i="1"/>
  <c r="F371" i="1"/>
  <c r="G371" i="1"/>
  <c r="H371" i="1"/>
  <c r="K371" i="1"/>
  <c r="L371" i="1"/>
  <c r="A372" i="1"/>
  <c r="B372" i="1"/>
  <c r="C372" i="1"/>
  <c r="D372" i="1"/>
  <c r="E372" i="1"/>
  <c r="F372" i="1"/>
  <c r="G372" i="1"/>
  <c r="H372" i="1"/>
  <c r="K372" i="1"/>
  <c r="L372" i="1"/>
  <c r="A373" i="1"/>
  <c r="B373" i="1"/>
  <c r="C373" i="1"/>
  <c r="D373" i="1"/>
  <c r="E373" i="1"/>
  <c r="F373" i="1"/>
  <c r="G373" i="1"/>
  <c r="H373" i="1"/>
  <c r="K373" i="1"/>
  <c r="L373" i="1"/>
  <c r="A374" i="1"/>
  <c r="B374" i="1"/>
  <c r="C374" i="1"/>
  <c r="D374" i="1"/>
  <c r="E374" i="1"/>
  <c r="F374" i="1"/>
  <c r="G374" i="1"/>
  <c r="H374" i="1"/>
  <c r="K374" i="1"/>
  <c r="L374" i="1"/>
  <c r="A375" i="1"/>
  <c r="B375" i="1"/>
  <c r="C375" i="1"/>
  <c r="D375" i="1"/>
  <c r="E375" i="1"/>
  <c r="F375" i="1"/>
  <c r="G375" i="1"/>
  <c r="H375" i="1"/>
  <c r="K375" i="1"/>
  <c r="L375" i="1"/>
  <c r="A376" i="1"/>
  <c r="B376" i="1"/>
  <c r="C376" i="1"/>
  <c r="D376" i="1"/>
  <c r="E376" i="1"/>
  <c r="F376" i="1"/>
  <c r="G376" i="1"/>
  <c r="H376" i="1"/>
  <c r="K376" i="1"/>
  <c r="L376" i="1"/>
  <c r="A377" i="1"/>
  <c r="B377" i="1"/>
  <c r="C377" i="1"/>
  <c r="D377" i="1"/>
  <c r="E377" i="1"/>
  <c r="F377" i="1"/>
  <c r="G377" i="1"/>
  <c r="H377" i="1"/>
  <c r="K377" i="1"/>
  <c r="L377" i="1"/>
  <c r="A378" i="1"/>
  <c r="B378" i="1"/>
  <c r="C378" i="1"/>
  <c r="D378" i="1"/>
  <c r="E378" i="1"/>
  <c r="F378" i="1"/>
  <c r="G378" i="1"/>
  <c r="H378" i="1"/>
  <c r="K378" i="1"/>
  <c r="L378" i="1"/>
  <c r="A379" i="1"/>
  <c r="B379" i="1"/>
  <c r="C379" i="1"/>
  <c r="D379" i="1"/>
  <c r="E379" i="1"/>
  <c r="F379" i="1"/>
  <c r="G379" i="1"/>
  <c r="H379" i="1"/>
  <c r="K379" i="1"/>
  <c r="L379" i="1"/>
  <c r="A380" i="1"/>
  <c r="B380" i="1"/>
  <c r="C380" i="1"/>
  <c r="D380" i="1"/>
  <c r="E380" i="1"/>
  <c r="F380" i="1"/>
  <c r="G380" i="1"/>
  <c r="H380" i="1"/>
  <c r="K380" i="1"/>
  <c r="L380" i="1"/>
  <c r="A381" i="1"/>
  <c r="B381" i="1"/>
  <c r="C381" i="1"/>
  <c r="D381" i="1"/>
  <c r="E381" i="1"/>
  <c r="F381" i="1"/>
  <c r="G381" i="1"/>
  <c r="H381" i="1"/>
  <c r="K381" i="1"/>
  <c r="L381" i="1"/>
  <c r="M381" i="1" s="1"/>
  <c r="A382" i="1"/>
  <c r="B382" i="1"/>
  <c r="C382" i="1"/>
  <c r="D382" i="1"/>
  <c r="E382" i="1"/>
  <c r="F382" i="1"/>
  <c r="G382" i="1"/>
  <c r="H382" i="1"/>
  <c r="K382" i="1"/>
  <c r="L382" i="1"/>
  <c r="A383" i="1"/>
  <c r="B383" i="1"/>
  <c r="C383" i="1"/>
  <c r="D383" i="1"/>
  <c r="E383" i="1"/>
  <c r="F383" i="1"/>
  <c r="G383" i="1"/>
  <c r="H383" i="1"/>
  <c r="K383" i="1"/>
  <c r="L383" i="1"/>
  <c r="A384" i="1"/>
  <c r="B384" i="1"/>
  <c r="C384" i="1"/>
  <c r="D384" i="1"/>
  <c r="E384" i="1"/>
  <c r="F384" i="1"/>
  <c r="G384" i="1"/>
  <c r="H384" i="1"/>
  <c r="K384" i="1"/>
  <c r="L384" i="1"/>
  <c r="A385" i="1"/>
  <c r="B385" i="1"/>
  <c r="C385" i="1"/>
  <c r="D385" i="1"/>
  <c r="E385" i="1"/>
  <c r="F385" i="1"/>
  <c r="G385" i="1"/>
  <c r="H385" i="1"/>
  <c r="K385" i="1"/>
  <c r="L385" i="1"/>
  <c r="A386" i="1"/>
  <c r="B386" i="1"/>
  <c r="C386" i="1"/>
  <c r="D386" i="1"/>
  <c r="E386" i="1"/>
  <c r="F386" i="1"/>
  <c r="G386" i="1"/>
  <c r="H386" i="1"/>
  <c r="K386" i="1"/>
  <c r="L386" i="1"/>
  <c r="A387" i="1"/>
  <c r="B387" i="1"/>
  <c r="C387" i="1"/>
  <c r="D387" i="1"/>
  <c r="E387" i="1"/>
  <c r="F387" i="1"/>
  <c r="G387" i="1"/>
  <c r="H387" i="1"/>
  <c r="K387" i="1"/>
  <c r="L387" i="1"/>
  <c r="A388" i="1"/>
  <c r="B388" i="1"/>
  <c r="C388" i="1"/>
  <c r="D388" i="1"/>
  <c r="E388" i="1"/>
  <c r="F388" i="1"/>
  <c r="G388" i="1"/>
  <c r="H388" i="1"/>
  <c r="K388" i="1"/>
  <c r="L388" i="1"/>
  <c r="A389" i="1"/>
  <c r="B389" i="1"/>
  <c r="C389" i="1"/>
  <c r="D389" i="1"/>
  <c r="E389" i="1"/>
  <c r="F389" i="1"/>
  <c r="G389" i="1"/>
  <c r="H389" i="1"/>
  <c r="K389" i="1"/>
  <c r="L389" i="1"/>
  <c r="A390" i="1"/>
  <c r="B390" i="1"/>
  <c r="C390" i="1"/>
  <c r="D390" i="1"/>
  <c r="E390" i="1"/>
  <c r="F390" i="1"/>
  <c r="G390" i="1"/>
  <c r="H390" i="1"/>
  <c r="K390" i="1"/>
  <c r="L390" i="1"/>
  <c r="A391" i="1"/>
  <c r="B391" i="1"/>
  <c r="C391" i="1"/>
  <c r="D391" i="1"/>
  <c r="E391" i="1"/>
  <c r="F391" i="1"/>
  <c r="G391" i="1"/>
  <c r="H391" i="1"/>
  <c r="K391" i="1"/>
  <c r="L391" i="1"/>
  <c r="A392" i="1"/>
  <c r="B392" i="1"/>
  <c r="C392" i="1"/>
  <c r="D392" i="1"/>
  <c r="E392" i="1"/>
  <c r="F392" i="1"/>
  <c r="G392" i="1"/>
  <c r="H392" i="1"/>
  <c r="K392" i="1"/>
  <c r="L392" i="1"/>
  <c r="A393" i="1"/>
  <c r="B393" i="1"/>
  <c r="C393" i="1"/>
  <c r="D393" i="1"/>
  <c r="E393" i="1"/>
  <c r="F393" i="1"/>
  <c r="G393" i="1"/>
  <c r="H393" i="1"/>
  <c r="K393" i="1"/>
  <c r="L393" i="1"/>
  <c r="A394" i="1"/>
  <c r="B394" i="1"/>
  <c r="C394" i="1"/>
  <c r="D394" i="1"/>
  <c r="E394" i="1"/>
  <c r="F394" i="1"/>
  <c r="G394" i="1"/>
  <c r="H394" i="1"/>
  <c r="K394" i="1"/>
  <c r="L394" i="1"/>
  <c r="A395" i="1"/>
  <c r="B395" i="1"/>
  <c r="C395" i="1"/>
  <c r="D395" i="1"/>
  <c r="E395" i="1"/>
  <c r="F395" i="1"/>
  <c r="G395" i="1"/>
  <c r="H395" i="1"/>
  <c r="K395" i="1"/>
  <c r="L395" i="1"/>
  <c r="A396" i="1"/>
  <c r="B396" i="1"/>
  <c r="C396" i="1"/>
  <c r="D396" i="1"/>
  <c r="E396" i="1"/>
  <c r="F396" i="1"/>
  <c r="G396" i="1"/>
  <c r="H396" i="1"/>
  <c r="K396" i="1"/>
  <c r="L396" i="1"/>
  <c r="A397" i="1"/>
  <c r="B397" i="1"/>
  <c r="C397" i="1"/>
  <c r="D397" i="1"/>
  <c r="E397" i="1"/>
  <c r="F397" i="1"/>
  <c r="G397" i="1"/>
  <c r="H397" i="1"/>
  <c r="K397" i="1"/>
  <c r="L397" i="1"/>
  <c r="A398" i="1"/>
  <c r="B398" i="1"/>
  <c r="C398" i="1"/>
  <c r="D398" i="1"/>
  <c r="E398" i="1"/>
  <c r="F398" i="1"/>
  <c r="G398" i="1"/>
  <c r="H398" i="1"/>
  <c r="K398" i="1"/>
  <c r="L398" i="1"/>
  <c r="A399" i="1"/>
  <c r="B399" i="1"/>
  <c r="C399" i="1"/>
  <c r="D399" i="1"/>
  <c r="E399" i="1"/>
  <c r="F399" i="1"/>
  <c r="G399" i="1"/>
  <c r="H399" i="1"/>
  <c r="K399" i="1"/>
  <c r="L399" i="1"/>
  <c r="A400" i="1"/>
  <c r="B400" i="1"/>
  <c r="C400" i="1"/>
  <c r="D400" i="1"/>
  <c r="E400" i="1"/>
  <c r="F400" i="1"/>
  <c r="G400" i="1"/>
  <c r="H400" i="1"/>
  <c r="K400" i="1"/>
  <c r="L400" i="1"/>
  <c r="A401" i="1"/>
  <c r="B401" i="1"/>
  <c r="C401" i="1"/>
  <c r="D401" i="1"/>
  <c r="E401" i="1"/>
  <c r="F401" i="1"/>
  <c r="G401" i="1"/>
  <c r="H401" i="1"/>
  <c r="K401" i="1"/>
  <c r="L401" i="1"/>
  <c r="A402" i="1"/>
  <c r="B402" i="1"/>
  <c r="C402" i="1"/>
  <c r="D402" i="1"/>
  <c r="E402" i="1"/>
  <c r="F402" i="1"/>
  <c r="G402" i="1"/>
  <c r="H402" i="1"/>
  <c r="K402" i="1"/>
  <c r="L402" i="1"/>
  <c r="A403" i="1"/>
  <c r="B403" i="1"/>
  <c r="C403" i="1"/>
  <c r="D403" i="1"/>
  <c r="E403" i="1"/>
  <c r="F403" i="1"/>
  <c r="G403" i="1"/>
  <c r="H403" i="1"/>
  <c r="K403" i="1"/>
  <c r="L403" i="1"/>
  <c r="A404" i="1"/>
  <c r="B404" i="1"/>
  <c r="C404" i="1"/>
  <c r="D404" i="1"/>
  <c r="E404" i="1"/>
  <c r="F404" i="1"/>
  <c r="G404" i="1"/>
  <c r="H404" i="1"/>
  <c r="K404" i="1"/>
  <c r="L404" i="1"/>
  <c r="A405" i="1"/>
  <c r="B405" i="1"/>
  <c r="C405" i="1"/>
  <c r="D405" i="1"/>
  <c r="E405" i="1"/>
  <c r="F405" i="1"/>
  <c r="G405" i="1"/>
  <c r="H405" i="1"/>
  <c r="K405" i="1"/>
  <c r="L405" i="1"/>
  <c r="A406" i="1"/>
  <c r="B406" i="1"/>
  <c r="C406" i="1"/>
  <c r="D406" i="1"/>
  <c r="E406" i="1"/>
  <c r="F406" i="1"/>
  <c r="G406" i="1"/>
  <c r="H406" i="1"/>
  <c r="K406" i="1"/>
  <c r="L406" i="1"/>
  <c r="A407" i="1"/>
  <c r="B407" i="1"/>
  <c r="C407" i="1"/>
  <c r="D407" i="1"/>
  <c r="E407" i="1"/>
  <c r="F407" i="1"/>
  <c r="G407" i="1"/>
  <c r="H407" i="1"/>
  <c r="K407" i="1"/>
  <c r="L407" i="1"/>
  <c r="A408" i="1"/>
  <c r="B408" i="1"/>
  <c r="C408" i="1"/>
  <c r="D408" i="1"/>
  <c r="E408" i="1"/>
  <c r="F408" i="1"/>
  <c r="G408" i="1"/>
  <c r="H408" i="1"/>
  <c r="K408" i="1"/>
  <c r="L408" i="1"/>
  <c r="A409" i="1"/>
  <c r="B409" i="1"/>
  <c r="C409" i="1"/>
  <c r="D409" i="1"/>
  <c r="E409" i="1"/>
  <c r="F409" i="1"/>
  <c r="G409" i="1"/>
  <c r="H409" i="1"/>
  <c r="K409" i="1"/>
  <c r="L409" i="1"/>
  <c r="A410" i="1"/>
  <c r="B410" i="1"/>
  <c r="C410" i="1"/>
  <c r="D410" i="1"/>
  <c r="E410" i="1"/>
  <c r="F410" i="1"/>
  <c r="G410" i="1"/>
  <c r="H410" i="1"/>
  <c r="K410" i="1"/>
  <c r="L410" i="1"/>
  <c r="A411" i="1"/>
  <c r="B411" i="1"/>
  <c r="C411" i="1"/>
  <c r="D411" i="1"/>
  <c r="E411" i="1"/>
  <c r="F411" i="1"/>
  <c r="G411" i="1"/>
  <c r="H411" i="1"/>
  <c r="K411" i="1"/>
  <c r="L411" i="1"/>
  <c r="A412" i="1"/>
  <c r="B412" i="1"/>
  <c r="C412" i="1"/>
  <c r="D412" i="1"/>
  <c r="E412" i="1"/>
  <c r="F412" i="1"/>
  <c r="G412" i="1"/>
  <c r="H412" i="1"/>
  <c r="K412" i="1"/>
  <c r="L412" i="1"/>
  <c r="A413" i="1"/>
  <c r="B413" i="1"/>
  <c r="C413" i="1"/>
  <c r="D413" i="1"/>
  <c r="E413" i="1"/>
  <c r="F413" i="1"/>
  <c r="G413" i="1"/>
  <c r="H413" i="1"/>
  <c r="K413" i="1"/>
  <c r="L413" i="1"/>
  <c r="A414" i="1"/>
  <c r="B414" i="1"/>
  <c r="C414" i="1"/>
  <c r="D414" i="1"/>
  <c r="E414" i="1"/>
  <c r="F414" i="1"/>
  <c r="G414" i="1"/>
  <c r="H414" i="1"/>
  <c r="K414" i="1"/>
  <c r="L414" i="1"/>
  <c r="A415" i="1"/>
  <c r="B415" i="1"/>
  <c r="C415" i="1"/>
  <c r="D415" i="1"/>
  <c r="E415" i="1"/>
  <c r="F415" i="1"/>
  <c r="G415" i="1"/>
  <c r="H415" i="1"/>
  <c r="K415" i="1"/>
  <c r="L415" i="1"/>
  <c r="A416" i="1"/>
  <c r="B416" i="1"/>
  <c r="C416" i="1"/>
  <c r="D416" i="1"/>
  <c r="E416" i="1"/>
  <c r="F416" i="1"/>
  <c r="G416" i="1"/>
  <c r="H416" i="1"/>
  <c r="K416" i="1"/>
  <c r="L416" i="1"/>
  <c r="A417" i="1"/>
  <c r="B417" i="1"/>
  <c r="C417" i="1"/>
  <c r="D417" i="1"/>
  <c r="E417" i="1"/>
  <c r="F417" i="1"/>
  <c r="G417" i="1"/>
  <c r="H417" i="1"/>
  <c r="K417" i="1"/>
  <c r="L417" i="1"/>
  <c r="A418" i="1"/>
  <c r="B418" i="1"/>
  <c r="C418" i="1"/>
  <c r="D418" i="1"/>
  <c r="E418" i="1"/>
  <c r="F418" i="1"/>
  <c r="G418" i="1"/>
  <c r="H418" i="1"/>
  <c r="K418" i="1"/>
  <c r="L418" i="1"/>
  <c r="A419" i="1"/>
  <c r="B419" i="1"/>
  <c r="C419" i="1"/>
  <c r="D419" i="1"/>
  <c r="E419" i="1"/>
  <c r="F419" i="1"/>
  <c r="G419" i="1"/>
  <c r="H419" i="1"/>
  <c r="K419" i="1"/>
  <c r="L419" i="1"/>
  <c r="A420" i="1"/>
  <c r="B420" i="1"/>
  <c r="C420" i="1"/>
  <c r="D420" i="1"/>
  <c r="E420" i="1"/>
  <c r="F420" i="1"/>
  <c r="G420" i="1"/>
  <c r="H420" i="1"/>
  <c r="K420" i="1"/>
  <c r="L420" i="1"/>
  <c r="A421" i="1"/>
  <c r="B421" i="1"/>
  <c r="C421" i="1"/>
  <c r="D421" i="1"/>
  <c r="E421" i="1"/>
  <c r="F421" i="1"/>
  <c r="G421" i="1"/>
  <c r="H421" i="1"/>
  <c r="K421" i="1"/>
  <c r="L421" i="1"/>
  <c r="A422" i="1"/>
  <c r="B422" i="1"/>
  <c r="C422" i="1"/>
  <c r="D422" i="1"/>
  <c r="E422" i="1"/>
  <c r="F422" i="1"/>
  <c r="G422" i="1"/>
  <c r="H422" i="1"/>
  <c r="K422" i="1"/>
  <c r="L422" i="1"/>
  <c r="A423" i="1"/>
  <c r="B423" i="1"/>
  <c r="C423" i="1"/>
  <c r="D423" i="1"/>
  <c r="E423" i="1"/>
  <c r="F423" i="1"/>
  <c r="G423" i="1"/>
  <c r="H423" i="1"/>
  <c r="K423" i="1"/>
  <c r="L423" i="1"/>
  <c r="A424" i="1"/>
  <c r="B424" i="1"/>
  <c r="C424" i="1"/>
  <c r="D424" i="1"/>
  <c r="E424" i="1"/>
  <c r="F424" i="1"/>
  <c r="G424" i="1"/>
  <c r="H424" i="1"/>
  <c r="K424" i="1"/>
  <c r="L424" i="1"/>
  <c r="A425" i="1"/>
  <c r="B425" i="1"/>
  <c r="C425" i="1"/>
  <c r="D425" i="1"/>
  <c r="E425" i="1"/>
  <c r="F425" i="1"/>
  <c r="G425" i="1"/>
  <c r="H425" i="1"/>
  <c r="K425" i="1"/>
  <c r="L425" i="1"/>
  <c r="A426" i="1"/>
  <c r="B426" i="1"/>
  <c r="C426" i="1"/>
  <c r="D426" i="1"/>
  <c r="E426" i="1"/>
  <c r="F426" i="1"/>
  <c r="G426" i="1"/>
  <c r="H426" i="1"/>
  <c r="K426" i="1"/>
  <c r="L426" i="1"/>
  <c r="A427" i="1"/>
  <c r="B427" i="1"/>
  <c r="C427" i="1"/>
  <c r="D427" i="1"/>
  <c r="E427" i="1"/>
  <c r="F427" i="1"/>
  <c r="G427" i="1"/>
  <c r="H427" i="1"/>
  <c r="K427" i="1"/>
  <c r="L427" i="1"/>
  <c r="A428" i="1"/>
  <c r="B428" i="1"/>
  <c r="C428" i="1"/>
  <c r="D428" i="1"/>
  <c r="E428" i="1"/>
  <c r="F428" i="1"/>
  <c r="G428" i="1"/>
  <c r="H428" i="1"/>
  <c r="K428" i="1"/>
  <c r="L428" i="1"/>
  <c r="A429" i="1"/>
  <c r="B429" i="1"/>
  <c r="C429" i="1"/>
  <c r="D429" i="1"/>
  <c r="E429" i="1"/>
  <c r="F429" i="1"/>
  <c r="G429" i="1"/>
  <c r="H429" i="1"/>
  <c r="K429" i="1"/>
  <c r="L429" i="1"/>
  <c r="A430" i="1"/>
  <c r="B430" i="1"/>
  <c r="C430" i="1"/>
  <c r="D430" i="1"/>
  <c r="E430" i="1"/>
  <c r="F430" i="1"/>
  <c r="G430" i="1"/>
  <c r="H430" i="1"/>
  <c r="K430" i="1"/>
  <c r="L430" i="1"/>
  <c r="A431" i="1"/>
  <c r="B431" i="1"/>
  <c r="C431" i="1"/>
  <c r="D431" i="1"/>
  <c r="E431" i="1"/>
  <c r="F431" i="1"/>
  <c r="G431" i="1"/>
  <c r="H431" i="1"/>
  <c r="K431" i="1"/>
  <c r="L431" i="1"/>
  <c r="A432" i="1"/>
  <c r="B432" i="1"/>
  <c r="C432" i="1"/>
  <c r="D432" i="1"/>
  <c r="E432" i="1"/>
  <c r="F432" i="1"/>
  <c r="G432" i="1"/>
  <c r="H432" i="1"/>
  <c r="K432" i="1"/>
  <c r="L432" i="1"/>
  <c r="A433" i="1"/>
  <c r="B433" i="1"/>
  <c r="C433" i="1"/>
  <c r="D433" i="1"/>
  <c r="E433" i="1"/>
  <c r="F433" i="1"/>
  <c r="G433" i="1"/>
  <c r="H433" i="1"/>
  <c r="K433" i="1"/>
  <c r="L433" i="1"/>
  <c r="A434" i="1"/>
  <c r="B434" i="1"/>
  <c r="C434" i="1"/>
  <c r="D434" i="1"/>
  <c r="E434" i="1"/>
  <c r="F434" i="1"/>
  <c r="G434" i="1"/>
  <c r="H434" i="1"/>
  <c r="K434" i="1"/>
  <c r="L434" i="1"/>
  <c r="A435" i="1"/>
  <c r="B435" i="1"/>
  <c r="C435" i="1"/>
  <c r="D435" i="1"/>
  <c r="E435" i="1"/>
  <c r="F435" i="1"/>
  <c r="G435" i="1"/>
  <c r="H435" i="1"/>
  <c r="K435" i="1"/>
  <c r="L435" i="1"/>
  <c r="A436" i="1"/>
  <c r="B436" i="1"/>
  <c r="C436" i="1"/>
  <c r="D436" i="1"/>
  <c r="E436" i="1"/>
  <c r="F436" i="1"/>
  <c r="G436" i="1"/>
  <c r="H436" i="1"/>
  <c r="K436" i="1"/>
  <c r="L436" i="1"/>
  <c r="A437" i="1"/>
  <c r="B437" i="1"/>
  <c r="C437" i="1"/>
  <c r="D437" i="1"/>
  <c r="E437" i="1"/>
  <c r="F437" i="1"/>
  <c r="G437" i="1"/>
  <c r="H437" i="1"/>
  <c r="K437" i="1"/>
  <c r="L437" i="1"/>
  <c r="A438" i="1"/>
  <c r="B438" i="1"/>
  <c r="C438" i="1"/>
  <c r="D438" i="1"/>
  <c r="E438" i="1"/>
  <c r="F438" i="1"/>
  <c r="G438" i="1"/>
  <c r="H438" i="1"/>
  <c r="K438" i="1"/>
  <c r="L438" i="1"/>
  <c r="A439" i="1"/>
  <c r="B439" i="1"/>
  <c r="C439" i="1"/>
  <c r="D439" i="1"/>
  <c r="E439" i="1"/>
  <c r="F439" i="1"/>
  <c r="G439" i="1"/>
  <c r="H439" i="1"/>
  <c r="K439" i="1"/>
  <c r="L439" i="1"/>
  <c r="A440" i="1"/>
  <c r="B440" i="1"/>
  <c r="C440" i="1"/>
  <c r="D440" i="1"/>
  <c r="E440" i="1"/>
  <c r="F440" i="1"/>
  <c r="G440" i="1"/>
  <c r="H440" i="1"/>
  <c r="K440" i="1"/>
  <c r="L440" i="1"/>
  <c r="A441" i="1"/>
  <c r="B441" i="1"/>
  <c r="C441" i="1"/>
  <c r="D441" i="1"/>
  <c r="E441" i="1"/>
  <c r="F441" i="1"/>
  <c r="G441" i="1"/>
  <c r="H441" i="1"/>
  <c r="K441" i="1"/>
  <c r="L441" i="1"/>
  <c r="A442" i="1"/>
  <c r="B442" i="1"/>
  <c r="C442" i="1"/>
  <c r="D442" i="1"/>
  <c r="E442" i="1"/>
  <c r="F442" i="1"/>
  <c r="G442" i="1"/>
  <c r="H442" i="1"/>
  <c r="K442" i="1"/>
  <c r="L442" i="1"/>
  <c r="A443" i="1"/>
  <c r="B443" i="1"/>
  <c r="C443" i="1"/>
  <c r="D443" i="1"/>
  <c r="E443" i="1"/>
  <c r="F443" i="1"/>
  <c r="G443" i="1"/>
  <c r="H443" i="1"/>
  <c r="K443" i="1"/>
  <c r="L443" i="1"/>
  <c r="A444" i="1"/>
  <c r="B444" i="1"/>
  <c r="C444" i="1"/>
  <c r="D444" i="1"/>
  <c r="E444" i="1"/>
  <c r="F444" i="1"/>
  <c r="G444" i="1"/>
  <c r="H444" i="1"/>
  <c r="K444" i="1"/>
  <c r="L444" i="1"/>
  <c r="A445" i="1"/>
  <c r="B445" i="1"/>
  <c r="C445" i="1"/>
  <c r="D445" i="1"/>
  <c r="E445" i="1"/>
  <c r="F445" i="1"/>
  <c r="G445" i="1"/>
  <c r="H445" i="1"/>
  <c r="K445" i="1"/>
  <c r="L445" i="1"/>
  <c r="A446" i="1"/>
  <c r="B446" i="1"/>
  <c r="C446" i="1"/>
  <c r="D446" i="1"/>
  <c r="E446" i="1"/>
  <c r="F446" i="1"/>
  <c r="G446" i="1"/>
  <c r="H446" i="1"/>
  <c r="K446" i="1"/>
  <c r="L446" i="1"/>
  <c r="A447" i="1"/>
  <c r="B447" i="1"/>
  <c r="C447" i="1"/>
  <c r="D447" i="1"/>
  <c r="E447" i="1"/>
  <c r="F447" i="1"/>
  <c r="G447" i="1"/>
  <c r="H447" i="1"/>
  <c r="K447" i="1"/>
  <c r="L447" i="1"/>
  <c r="A448" i="1"/>
  <c r="B448" i="1"/>
  <c r="C448" i="1"/>
  <c r="D448" i="1"/>
  <c r="E448" i="1"/>
  <c r="F448" i="1"/>
  <c r="G448" i="1"/>
  <c r="H448" i="1"/>
  <c r="K448" i="1"/>
  <c r="L448" i="1"/>
  <c r="A449" i="1"/>
  <c r="B449" i="1"/>
  <c r="C449" i="1"/>
  <c r="D449" i="1"/>
  <c r="E449" i="1"/>
  <c r="F449" i="1"/>
  <c r="G449" i="1"/>
  <c r="H449" i="1"/>
  <c r="K449" i="1"/>
  <c r="L449" i="1"/>
  <c r="A450" i="1"/>
  <c r="B450" i="1"/>
  <c r="C450" i="1"/>
  <c r="D450" i="1"/>
  <c r="E450" i="1"/>
  <c r="F450" i="1"/>
  <c r="G450" i="1"/>
  <c r="H450" i="1"/>
  <c r="K450" i="1"/>
  <c r="L450" i="1"/>
  <c r="A451" i="1"/>
  <c r="B451" i="1"/>
  <c r="C451" i="1"/>
  <c r="D451" i="1"/>
  <c r="E451" i="1"/>
  <c r="F451" i="1"/>
  <c r="G451" i="1"/>
  <c r="H451" i="1"/>
  <c r="K451" i="1"/>
  <c r="L451" i="1"/>
  <c r="M451" i="1" s="1"/>
  <c r="A452" i="1"/>
  <c r="B452" i="1"/>
  <c r="C452" i="1"/>
  <c r="D452" i="1"/>
  <c r="E452" i="1"/>
  <c r="F452" i="1"/>
  <c r="G452" i="1"/>
  <c r="H452" i="1"/>
  <c r="K452" i="1"/>
  <c r="L452" i="1"/>
  <c r="A453" i="1"/>
  <c r="B453" i="1"/>
  <c r="C453" i="1"/>
  <c r="D453" i="1"/>
  <c r="E453" i="1"/>
  <c r="F453" i="1"/>
  <c r="G453" i="1"/>
  <c r="H453" i="1"/>
  <c r="K453" i="1"/>
  <c r="L453" i="1"/>
  <c r="A454" i="1"/>
  <c r="B454" i="1"/>
  <c r="C454" i="1"/>
  <c r="D454" i="1"/>
  <c r="E454" i="1"/>
  <c r="F454" i="1"/>
  <c r="G454" i="1"/>
  <c r="H454" i="1"/>
  <c r="K454" i="1"/>
  <c r="L454" i="1"/>
  <c r="A455" i="1"/>
  <c r="B455" i="1"/>
  <c r="C455" i="1"/>
  <c r="D455" i="1"/>
  <c r="E455" i="1"/>
  <c r="F455" i="1"/>
  <c r="G455" i="1"/>
  <c r="H455" i="1"/>
  <c r="K455" i="1"/>
  <c r="L455" i="1"/>
  <c r="A456" i="1"/>
  <c r="B456" i="1"/>
  <c r="C456" i="1"/>
  <c r="D456" i="1"/>
  <c r="E456" i="1"/>
  <c r="F456" i="1"/>
  <c r="G456" i="1"/>
  <c r="H456" i="1"/>
  <c r="I456" i="1" s="1"/>
  <c r="K456" i="1"/>
  <c r="L456" i="1"/>
  <c r="A457" i="1"/>
  <c r="B457" i="1"/>
  <c r="C457" i="1"/>
  <c r="D457" i="1"/>
  <c r="E457" i="1"/>
  <c r="F457" i="1"/>
  <c r="G457" i="1"/>
  <c r="H457" i="1"/>
  <c r="K457" i="1"/>
  <c r="L457" i="1"/>
  <c r="A458" i="1"/>
  <c r="B458" i="1"/>
  <c r="C458" i="1"/>
  <c r="D458" i="1"/>
  <c r="E458" i="1"/>
  <c r="F458" i="1"/>
  <c r="G458" i="1"/>
  <c r="H458" i="1"/>
  <c r="K458" i="1"/>
  <c r="L458" i="1"/>
  <c r="A459" i="1"/>
  <c r="B459" i="1"/>
  <c r="C459" i="1"/>
  <c r="D459" i="1"/>
  <c r="E459" i="1"/>
  <c r="F459" i="1"/>
  <c r="G459" i="1"/>
  <c r="H459" i="1"/>
  <c r="K459" i="1"/>
  <c r="L459" i="1"/>
  <c r="A460" i="1"/>
  <c r="B460" i="1"/>
  <c r="C460" i="1"/>
  <c r="D460" i="1"/>
  <c r="E460" i="1"/>
  <c r="F460" i="1"/>
  <c r="G460" i="1"/>
  <c r="H460" i="1"/>
  <c r="K460" i="1"/>
  <c r="L460" i="1"/>
  <c r="A461" i="1"/>
  <c r="B461" i="1"/>
  <c r="C461" i="1"/>
  <c r="D461" i="1"/>
  <c r="E461" i="1"/>
  <c r="F461" i="1"/>
  <c r="G461" i="1"/>
  <c r="H461" i="1"/>
  <c r="K461" i="1"/>
  <c r="L461" i="1"/>
  <c r="A462" i="1"/>
  <c r="B462" i="1"/>
  <c r="C462" i="1"/>
  <c r="D462" i="1"/>
  <c r="E462" i="1"/>
  <c r="F462" i="1"/>
  <c r="G462" i="1"/>
  <c r="H462" i="1"/>
  <c r="K462" i="1"/>
  <c r="L462" i="1"/>
  <c r="A463" i="1"/>
  <c r="B463" i="1"/>
  <c r="C463" i="1"/>
  <c r="D463" i="1"/>
  <c r="E463" i="1"/>
  <c r="F463" i="1"/>
  <c r="G463" i="1"/>
  <c r="H463" i="1"/>
  <c r="K463" i="1"/>
  <c r="L463" i="1"/>
  <c r="M463" i="1" s="1"/>
  <c r="A464" i="1"/>
  <c r="B464" i="1"/>
  <c r="C464" i="1"/>
  <c r="D464" i="1"/>
  <c r="E464" i="1"/>
  <c r="F464" i="1"/>
  <c r="G464" i="1"/>
  <c r="H464" i="1"/>
  <c r="K464" i="1"/>
  <c r="L464" i="1"/>
  <c r="A465" i="1"/>
  <c r="B465" i="1"/>
  <c r="C465" i="1"/>
  <c r="D465" i="1"/>
  <c r="E465" i="1"/>
  <c r="F465" i="1"/>
  <c r="G465" i="1"/>
  <c r="H465" i="1"/>
  <c r="K465" i="1"/>
  <c r="L465" i="1"/>
  <c r="A466" i="1"/>
  <c r="B466" i="1"/>
  <c r="C466" i="1"/>
  <c r="D466" i="1"/>
  <c r="E466" i="1"/>
  <c r="F466" i="1"/>
  <c r="G466" i="1"/>
  <c r="H466" i="1"/>
  <c r="K466" i="1"/>
  <c r="L466" i="1"/>
  <c r="A467" i="1"/>
  <c r="B467" i="1"/>
  <c r="C467" i="1"/>
  <c r="D467" i="1"/>
  <c r="E467" i="1"/>
  <c r="F467" i="1"/>
  <c r="G467" i="1"/>
  <c r="H467" i="1"/>
  <c r="K467" i="1"/>
  <c r="L467" i="1"/>
  <c r="A468" i="1"/>
  <c r="B468" i="1"/>
  <c r="C468" i="1"/>
  <c r="D468" i="1"/>
  <c r="E468" i="1"/>
  <c r="F468" i="1"/>
  <c r="G468" i="1"/>
  <c r="H468" i="1"/>
  <c r="K468" i="1"/>
  <c r="L468" i="1"/>
  <c r="A469" i="1"/>
  <c r="B469" i="1"/>
  <c r="C469" i="1"/>
  <c r="D469" i="1"/>
  <c r="E469" i="1"/>
  <c r="F469" i="1"/>
  <c r="G469" i="1"/>
  <c r="H469" i="1"/>
  <c r="K469" i="1"/>
  <c r="L469" i="1"/>
  <c r="A470" i="1"/>
  <c r="B470" i="1"/>
  <c r="C470" i="1"/>
  <c r="D470" i="1"/>
  <c r="E470" i="1"/>
  <c r="F470" i="1"/>
  <c r="G470" i="1"/>
  <c r="H470" i="1"/>
  <c r="K470" i="1"/>
  <c r="L470" i="1"/>
  <c r="A471" i="1"/>
  <c r="B471" i="1"/>
  <c r="C471" i="1"/>
  <c r="D471" i="1"/>
  <c r="E471" i="1"/>
  <c r="F471" i="1"/>
  <c r="G471" i="1"/>
  <c r="H471" i="1"/>
  <c r="K471" i="1"/>
  <c r="L471" i="1"/>
  <c r="A472" i="1"/>
  <c r="B472" i="1"/>
  <c r="C472" i="1"/>
  <c r="D472" i="1"/>
  <c r="E472" i="1"/>
  <c r="F472" i="1"/>
  <c r="G472" i="1"/>
  <c r="H472" i="1"/>
  <c r="K472" i="1"/>
  <c r="L472" i="1"/>
  <c r="A473" i="1"/>
  <c r="B473" i="1"/>
  <c r="C473" i="1"/>
  <c r="D473" i="1"/>
  <c r="E473" i="1"/>
  <c r="F473" i="1"/>
  <c r="G473" i="1"/>
  <c r="H473" i="1"/>
  <c r="K473" i="1"/>
  <c r="L473" i="1"/>
  <c r="A474" i="1"/>
  <c r="B474" i="1"/>
  <c r="C474" i="1"/>
  <c r="D474" i="1"/>
  <c r="E474" i="1"/>
  <c r="F474" i="1"/>
  <c r="G474" i="1"/>
  <c r="H474" i="1"/>
  <c r="K474" i="1"/>
  <c r="L474" i="1"/>
  <c r="A475" i="1"/>
  <c r="B475" i="1"/>
  <c r="C475" i="1"/>
  <c r="D475" i="1"/>
  <c r="E475" i="1"/>
  <c r="F475" i="1"/>
  <c r="G475" i="1"/>
  <c r="H475" i="1"/>
  <c r="K475" i="1"/>
  <c r="L475" i="1"/>
  <c r="A476" i="1"/>
  <c r="B476" i="1"/>
  <c r="C476" i="1"/>
  <c r="D476" i="1"/>
  <c r="E476" i="1"/>
  <c r="F476" i="1"/>
  <c r="G476" i="1"/>
  <c r="H476" i="1"/>
  <c r="K476" i="1"/>
  <c r="L476" i="1"/>
  <c r="A477" i="1"/>
  <c r="B477" i="1"/>
  <c r="C477" i="1"/>
  <c r="D477" i="1"/>
  <c r="E477" i="1"/>
  <c r="F477" i="1"/>
  <c r="G477" i="1"/>
  <c r="H477" i="1"/>
  <c r="K477" i="1"/>
  <c r="L477" i="1"/>
  <c r="A478" i="1"/>
  <c r="B478" i="1"/>
  <c r="C478" i="1"/>
  <c r="D478" i="1"/>
  <c r="E478" i="1"/>
  <c r="F478" i="1"/>
  <c r="G478" i="1"/>
  <c r="H478" i="1"/>
  <c r="K478" i="1"/>
  <c r="L478" i="1"/>
  <c r="A479" i="1"/>
  <c r="B479" i="1"/>
  <c r="C479" i="1"/>
  <c r="D479" i="1"/>
  <c r="E479" i="1"/>
  <c r="F479" i="1"/>
  <c r="G479" i="1"/>
  <c r="H479" i="1"/>
  <c r="K479" i="1"/>
  <c r="L479" i="1"/>
  <c r="A480" i="1"/>
  <c r="B480" i="1"/>
  <c r="C480" i="1"/>
  <c r="D480" i="1"/>
  <c r="E480" i="1"/>
  <c r="F480" i="1"/>
  <c r="G480" i="1"/>
  <c r="H480" i="1"/>
  <c r="K480" i="1"/>
  <c r="L480" i="1"/>
  <c r="A481" i="1"/>
  <c r="B481" i="1"/>
  <c r="C481" i="1"/>
  <c r="D481" i="1"/>
  <c r="E481" i="1"/>
  <c r="F481" i="1"/>
  <c r="G481" i="1"/>
  <c r="H481" i="1"/>
  <c r="K481" i="1"/>
  <c r="L481" i="1"/>
  <c r="A482" i="1"/>
  <c r="B482" i="1"/>
  <c r="C482" i="1"/>
  <c r="D482" i="1"/>
  <c r="E482" i="1"/>
  <c r="F482" i="1"/>
  <c r="G482" i="1"/>
  <c r="H482" i="1"/>
  <c r="K482" i="1"/>
  <c r="L482" i="1"/>
  <c r="A483" i="1"/>
  <c r="B483" i="1"/>
  <c r="C483" i="1"/>
  <c r="D483" i="1"/>
  <c r="E483" i="1"/>
  <c r="F483" i="1"/>
  <c r="G483" i="1"/>
  <c r="H483" i="1"/>
  <c r="K483" i="1"/>
  <c r="L483" i="1"/>
  <c r="A484" i="1"/>
  <c r="B484" i="1"/>
  <c r="C484" i="1"/>
  <c r="D484" i="1"/>
  <c r="E484" i="1"/>
  <c r="F484" i="1"/>
  <c r="G484" i="1"/>
  <c r="H484" i="1"/>
  <c r="K484" i="1"/>
  <c r="L484" i="1"/>
  <c r="A485" i="1"/>
  <c r="B485" i="1"/>
  <c r="C485" i="1"/>
  <c r="D485" i="1"/>
  <c r="E485" i="1"/>
  <c r="F485" i="1"/>
  <c r="G485" i="1"/>
  <c r="H485" i="1"/>
  <c r="K485" i="1"/>
  <c r="L485" i="1"/>
  <c r="A486" i="1"/>
  <c r="B486" i="1"/>
  <c r="C486" i="1"/>
  <c r="D486" i="1"/>
  <c r="E486" i="1"/>
  <c r="F486" i="1"/>
  <c r="G486" i="1"/>
  <c r="H486" i="1"/>
  <c r="K486" i="1"/>
  <c r="L486" i="1"/>
  <c r="A487" i="1"/>
  <c r="B487" i="1"/>
  <c r="C487" i="1"/>
  <c r="D487" i="1"/>
  <c r="E487" i="1"/>
  <c r="F487" i="1"/>
  <c r="G487" i="1"/>
  <c r="H487" i="1"/>
  <c r="K487" i="1"/>
  <c r="L487" i="1"/>
  <c r="A488" i="1"/>
  <c r="B488" i="1"/>
  <c r="C488" i="1"/>
  <c r="D488" i="1"/>
  <c r="E488" i="1"/>
  <c r="F488" i="1"/>
  <c r="G488" i="1"/>
  <c r="H488" i="1"/>
  <c r="K488" i="1"/>
  <c r="L488" i="1"/>
  <c r="A489" i="1"/>
  <c r="B489" i="1"/>
  <c r="C489" i="1"/>
  <c r="D489" i="1"/>
  <c r="E489" i="1"/>
  <c r="F489" i="1"/>
  <c r="G489" i="1"/>
  <c r="H489" i="1"/>
  <c r="K489" i="1"/>
  <c r="L489" i="1"/>
  <c r="A490" i="1"/>
  <c r="B490" i="1"/>
  <c r="C490" i="1"/>
  <c r="D490" i="1"/>
  <c r="E490" i="1"/>
  <c r="F490" i="1"/>
  <c r="G490" i="1"/>
  <c r="H490" i="1"/>
  <c r="K490" i="1"/>
  <c r="L490" i="1"/>
  <c r="A491" i="1"/>
  <c r="B491" i="1"/>
  <c r="C491" i="1"/>
  <c r="D491" i="1"/>
  <c r="E491" i="1"/>
  <c r="F491" i="1"/>
  <c r="G491" i="1"/>
  <c r="H491" i="1"/>
  <c r="K491" i="1"/>
  <c r="L491" i="1"/>
  <c r="A492" i="1"/>
  <c r="B492" i="1"/>
  <c r="C492" i="1"/>
  <c r="D492" i="1"/>
  <c r="E492" i="1"/>
  <c r="F492" i="1"/>
  <c r="G492" i="1"/>
  <c r="H492" i="1"/>
  <c r="K492" i="1"/>
  <c r="L492" i="1"/>
  <c r="A493" i="1"/>
  <c r="B493" i="1"/>
  <c r="C493" i="1"/>
  <c r="D493" i="1"/>
  <c r="E493" i="1"/>
  <c r="F493" i="1"/>
  <c r="G493" i="1"/>
  <c r="H493" i="1"/>
  <c r="K493" i="1"/>
  <c r="L493" i="1"/>
  <c r="A494" i="1"/>
  <c r="B494" i="1"/>
  <c r="C494" i="1"/>
  <c r="D494" i="1"/>
  <c r="E494" i="1"/>
  <c r="F494" i="1"/>
  <c r="G494" i="1"/>
  <c r="H494" i="1"/>
  <c r="K494" i="1"/>
  <c r="L494" i="1"/>
  <c r="A495" i="1"/>
  <c r="B495" i="1"/>
  <c r="C495" i="1"/>
  <c r="D495" i="1"/>
  <c r="E495" i="1"/>
  <c r="F495" i="1"/>
  <c r="G495" i="1"/>
  <c r="H495" i="1"/>
  <c r="K495" i="1"/>
  <c r="L495" i="1"/>
  <c r="A496" i="1"/>
  <c r="B496" i="1"/>
  <c r="C496" i="1"/>
  <c r="D496" i="1"/>
  <c r="E496" i="1"/>
  <c r="F496" i="1"/>
  <c r="G496" i="1"/>
  <c r="H496" i="1"/>
  <c r="K496" i="1"/>
  <c r="L496" i="1"/>
  <c r="A497" i="1"/>
  <c r="B497" i="1"/>
  <c r="C497" i="1"/>
  <c r="D497" i="1"/>
  <c r="E497" i="1"/>
  <c r="F497" i="1"/>
  <c r="G497" i="1"/>
  <c r="H497" i="1"/>
  <c r="K497" i="1"/>
  <c r="L497" i="1"/>
  <c r="A498" i="1"/>
  <c r="B498" i="1"/>
  <c r="C498" i="1"/>
  <c r="D498" i="1"/>
  <c r="E498" i="1"/>
  <c r="F498" i="1"/>
  <c r="G498" i="1"/>
  <c r="H498" i="1"/>
  <c r="K498" i="1"/>
  <c r="L498" i="1"/>
  <c r="A499" i="1"/>
  <c r="B499" i="1"/>
  <c r="C499" i="1"/>
  <c r="D499" i="1"/>
  <c r="E499" i="1"/>
  <c r="F499" i="1"/>
  <c r="G499" i="1"/>
  <c r="H499" i="1"/>
  <c r="K499" i="1"/>
  <c r="L499" i="1"/>
  <c r="A500" i="1"/>
  <c r="B500" i="1"/>
  <c r="C500" i="1"/>
  <c r="D500" i="1"/>
  <c r="E500" i="1"/>
  <c r="F500" i="1"/>
  <c r="G500" i="1"/>
  <c r="H500" i="1"/>
  <c r="K500" i="1"/>
  <c r="L500" i="1"/>
  <c r="A501" i="1"/>
  <c r="B501" i="1"/>
  <c r="C501" i="1"/>
  <c r="D501" i="1"/>
  <c r="E501" i="1"/>
  <c r="F501" i="1"/>
  <c r="G501" i="1"/>
  <c r="H501" i="1"/>
  <c r="K501" i="1"/>
  <c r="L501" i="1"/>
  <c r="A502" i="1"/>
  <c r="B502" i="1"/>
  <c r="C502" i="1"/>
  <c r="D502" i="1"/>
  <c r="E502" i="1"/>
  <c r="F502" i="1"/>
  <c r="G502" i="1"/>
  <c r="H502" i="1"/>
  <c r="K502" i="1"/>
  <c r="L502" i="1"/>
  <c r="A503" i="1"/>
  <c r="B503" i="1"/>
  <c r="C503" i="1"/>
  <c r="D503" i="1"/>
  <c r="E503" i="1"/>
  <c r="F503" i="1"/>
  <c r="G503" i="1"/>
  <c r="H503" i="1"/>
  <c r="K503" i="1"/>
  <c r="L503" i="1"/>
  <c r="A504" i="1"/>
  <c r="B504" i="1"/>
  <c r="C504" i="1"/>
  <c r="D504" i="1"/>
  <c r="E504" i="1"/>
  <c r="F504" i="1"/>
  <c r="G504" i="1"/>
  <c r="H504" i="1"/>
  <c r="K504" i="1"/>
  <c r="L504" i="1"/>
  <c r="M504" i="1" s="1"/>
  <c r="A505" i="1"/>
  <c r="B505" i="1"/>
  <c r="C505" i="1"/>
  <c r="D505" i="1"/>
  <c r="E505" i="1"/>
  <c r="F505" i="1"/>
  <c r="G505" i="1"/>
  <c r="H505" i="1"/>
  <c r="K505" i="1"/>
  <c r="L505" i="1"/>
  <c r="A506" i="1"/>
  <c r="B506" i="1"/>
  <c r="C506" i="1"/>
  <c r="D506" i="1"/>
  <c r="E506" i="1"/>
  <c r="F506" i="1"/>
  <c r="G506" i="1"/>
  <c r="H506" i="1"/>
  <c r="K506" i="1"/>
  <c r="L506" i="1"/>
  <c r="A507" i="1"/>
  <c r="B507" i="1"/>
  <c r="C507" i="1"/>
  <c r="D507" i="1"/>
  <c r="E507" i="1"/>
  <c r="F507" i="1"/>
  <c r="G507" i="1"/>
  <c r="H507" i="1"/>
  <c r="K507" i="1"/>
  <c r="L507" i="1"/>
  <c r="A508" i="1"/>
  <c r="B508" i="1"/>
  <c r="C508" i="1"/>
  <c r="D508" i="1"/>
  <c r="E508" i="1"/>
  <c r="F508" i="1"/>
  <c r="G508" i="1"/>
  <c r="H508" i="1"/>
  <c r="K508" i="1"/>
  <c r="L508" i="1"/>
  <c r="M508" i="1" s="1"/>
  <c r="A509" i="1"/>
  <c r="B509" i="1"/>
  <c r="C509" i="1"/>
  <c r="D509" i="1"/>
  <c r="E509" i="1"/>
  <c r="F509" i="1"/>
  <c r="G509" i="1"/>
  <c r="H509" i="1"/>
  <c r="K509" i="1"/>
  <c r="L509" i="1"/>
  <c r="A510" i="1"/>
  <c r="B510" i="1"/>
  <c r="C510" i="1"/>
  <c r="D510" i="1"/>
  <c r="E510" i="1"/>
  <c r="F510" i="1"/>
  <c r="G510" i="1"/>
  <c r="H510" i="1"/>
  <c r="K510" i="1"/>
  <c r="L510" i="1"/>
  <c r="A511" i="1"/>
  <c r="B511" i="1"/>
  <c r="C511" i="1"/>
  <c r="D511" i="1"/>
  <c r="E511" i="1"/>
  <c r="F511" i="1"/>
  <c r="G511" i="1"/>
  <c r="H511" i="1"/>
  <c r="K511" i="1"/>
  <c r="L511" i="1"/>
  <c r="A512" i="1"/>
  <c r="B512" i="1"/>
  <c r="C512" i="1"/>
  <c r="D512" i="1"/>
  <c r="E512" i="1"/>
  <c r="F512" i="1"/>
  <c r="G512" i="1"/>
  <c r="H512" i="1"/>
  <c r="K512" i="1"/>
  <c r="L512" i="1"/>
  <c r="A513" i="1"/>
  <c r="B513" i="1"/>
  <c r="C513" i="1"/>
  <c r="D513" i="1"/>
  <c r="E513" i="1"/>
  <c r="F513" i="1"/>
  <c r="G513" i="1"/>
  <c r="H513" i="1"/>
  <c r="I513" i="1" s="1"/>
  <c r="K513" i="1"/>
  <c r="L513" i="1"/>
  <c r="A514" i="1"/>
  <c r="B514" i="1"/>
  <c r="C514" i="1"/>
  <c r="D514" i="1"/>
  <c r="E514" i="1"/>
  <c r="F514" i="1"/>
  <c r="G514" i="1"/>
  <c r="H514" i="1"/>
  <c r="K514" i="1"/>
  <c r="L514" i="1"/>
  <c r="A515" i="1"/>
  <c r="B515" i="1"/>
  <c r="C515" i="1"/>
  <c r="D515" i="1"/>
  <c r="E515" i="1"/>
  <c r="F515" i="1"/>
  <c r="G515" i="1"/>
  <c r="H515" i="1"/>
  <c r="K515" i="1"/>
  <c r="L515" i="1"/>
  <c r="A516" i="1"/>
  <c r="B516" i="1"/>
  <c r="C516" i="1"/>
  <c r="D516" i="1"/>
  <c r="E516" i="1"/>
  <c r="F516" i="1"/>
  <c r="G516" i="1"/>
  <c r="H516" i="1"/>
  <c r="K516" i="1"/>
  <c r="L516" i="1"/>
  <c r="M516" i="1" s="1"/>
  <c r="A517" i="1"/>
  <c r="B517" i="1"/>
  <c r="C517" i="1"/>
  <c r="D517" i="1"/>
  <c r="E517" i="1"/>
  <c r="F517" i="1"/>
  <c r="G517" i="1"/>
  <c r="H517" i="1"/>
  <c r="K517" i="1"/>
  <c r="L517" i="1"/>
  <c r="A518" i="1"/>
  <c r="B518" i="1"/>
  <c r="C518" i="1"/>
  <c r="D518" i="1"/>
  <c r="E518" i="1"/>
  <c r="F518" i="1"/>
  <c r="G518" i="1"/>
  <c r="H518" i="1"/>
  <c r="K518" i="1"/>
  <c r="L518" i="1"/>
  <c r="A519" i="1"/>
  <c r="B519" i="1"/>
  <c r="C519" i="1"/>
  <c r="D519" i="1"/>
  <c r="E519" i="1"/>
  <c r="F519" i="1"/>
  <c r="G519" i="1"/>
  <c r="H519" i="1"/>
  <c r="I519" i="1" s="1"/>
  <c r="K519" i="1"/>
  <c r="L519" i="1"/>
  <c r="A520" i="1"/>
  <c r="B520" i="1"/>
  <c r="C520" i="1"/>
  <c r="D520" i="1"/>
  <c r="E520" i="1"/>
  <c r="F520" i="1"/>
  <c r="G520" i="1"/>
  <c r="H520" i="1"/>
  <c r="K520" i="1"/>
  <c r="L520" i="1"/>
  <c r="A521" i="1"/>
  <c r="B521" i="1"/>
  <c r="C521" i="1"/>
  <c r="D521" i="1"/>
  <c r="E521" i="1"/>
  <c r="F521" i="1"/>
  <c r="G521" i="1"/>
  <c r="H521" i="1"/>
  <c r="K521" i="1"/>
  <c r="L521" i="1"/>
  <c r="A522" i="1"/>
  <c r="B522" i="1"/>
  <c r="C522" i="1"/>
  <c r="D522" i="1"/>
  <c r="E522" i="1"/>
  <c r="F522" i="1"/>
  <c r="G522" i="1"/>
  <c r="H522" i="1"/>
  <c r="K522" i="1"/>
  <c r="L522" i="1"/>
  <c r="A523" i="1"/>
  <c r="B523" i="1"/>
  <c r="C523" i="1"/>
  <c r="D523" i="1"/>
  <c r="E523" i="1"/>
  <c r="F523" i="1"/>
  <c r="G523" i="1"/>
  <c r="H523" i="1"/>
  <c r="K523" i="1"/>
  <c r="L523" i="1"/>
  <c r="A524" i="1"/>
  <c r="B524" i="1"/>
  <c r="C524" i="1"/>
  <c r="D524" i="1"/>
  <c r="E524" i="1"/>
  <c r="F524" i="1"/>
  <c r="G524" i="1"/>
  <c r="H524" i="1"/>
  <c r="K524" i="1"/>
  <c r="L524" i="1"/>
  <c r="A525" i="1"/>
  <c r="B525" i="1"/>
  <c r="C525" i="1"/>
  <c r="D525" i="1"/>
  <c r="E525" i="1"/>
  <c r="F525" i="1"/>
  <c r="G525" i="1"/>
  <c r="H525" i="1"/>
  <c r="K525" i="1"/>
  <c r="L525" i="1"/>
  <c r="A526" i="1"/>
  <c r="B526" i="1"/>
  <c r="C526" i="1"/>
  <c r="D526" i="1"/>
  <c r="E526" i="1"/>
  <c r="F526" i="1"/>
  <c r="G526" i="1"/>
  <c r="H526" i="1"/>
  <c r="K526" i="1"/>
  <c r="L526" i="1"/>
  <c r="A527" i="1"/>
  <c r="B527" i="1"/>
  <c r="C527" i="1"/>
  <c r="D527" i="1"/>
  <c r="E527" i="1"/>
  <c r="F527" i="1"/>
  <c r="G527" i="1"/>
  <c r="H527" i="1"/>
  <c r="K527" i="1"/>
  <c r="L527" i="1"/>
  <c r="A528" i="1"/>
  <c r="B528" i="1"/>
  <c r="C528" i="1"/>
  <c r="D528" i="1"/>
  <c r="E528" i="1"/>
  <c r="F528" i="1"/>
  <c r="G528" i="1"/>
  <c r="H528" i="1"/>
  <c r="K528" i="1"/>
  <c r="L528" i="1"/>
  <c r="A529" i="1"/>
  <c r="B529" i="1"/>
  <c r="C529" i="1"/>
  <c r="D529" i="1"/>
  <c r="E529" i="1"/>
  <c r="F529" i="1"/>
  <c r="G529" i="1"/>
  <c r="H529" i="1"/>
  <c r="K529" i="1"/>
  <c r="L529" i="1"/>
  <c r="A530" i="1"/>
  <c r="B530" i="1"/>
  <c r="C530" i="1"/>
  <c r="D530" i="1"/>
  <c r="E530" i="1"/>
  <c r="F530" i="1"/>
  <c r="G530" i="1"/>
  <c r="H530" i="1"/>
  <c r="K530" i="1"/>
  <c r="L530" i="1"/>
  <c r="A531" i="1"/>
  <c r="B531" i="1"/>
  <c r="C531" i="1"/>
  <c r="D531" i="1"/>
  <c r="E531" i="1"/>
  <c r="F531" i="1"/>
  <c r="G531" i="1"/>
  <c r="H531" i="1"/>
  <c r="K531" i="1"/>
  <c r="L531" i="1"/>
  <c r="A532" i="1"/>
  <c r="B532" i="1"/>
  <c r="C532" i="1"/>
  <c r="D532" i="1"/>
  <c r="E532" i="1"/>
  <c r="F532" i="1"/>
  <c r="G532" i="1"/>
  <c r="H532" i="1"/>
  <c r="K532" i="1"/>
  <c r="L532" i="1"/>
  <c r="A533" i="1"/>
  <c r="B533" i="1"/>
  <c r="C533" i="1"/>
  <c r="D533" i="1"/>
  <c r="E533" i="1"/>
  <c r="F533" i="1"/>
  <c r="G533" i="1"/>
  <c r="H533" i="1"/>
  <c r="K533" i="1"/>
  <c r="L533" i="1"/>
  <c r="A534" i="1"/>
  <c r="B534" i="1"/>
  <c r="C534" i="1"/>
  <c r="D534" i="1"/>
  <c r="E534" i="1"/>
  <c r="F534" i="1"/>
  <c r="G534" i="1"/>
  <c r="H534" i="1"/>
  <c r="K534" i="1"/>
  <c r="L534" i="1"/>
  <c r="A535" i="1"/>
  <c r="B535" i="1"/>
  <c r="C535" i="1"/>
  <c r="D535" i="1"/>
  <c r="E535" i="1"/>
  <c r="F535" i="1"/>
  <c r="G535" i="1"/>
  <c r="H535" i="1"/>
  <c r="K535" i="1"/>
  <c r="L535" i="1"/>
  <c r="A536" i="1"/>
  <c r="B536" i="1"/>
  <c r="C536" i="1"/>
  <c r="D536" i="1"/>
  <c r="E536" i="1"/>
  <c r="F536" i="1"/>
  <c r="G536" i="1"/>
  <c r="H536" i="1"/>
  <c r="K536" i="1"/>
  <c r="L536" i="1"/>
  <c r="A537" i="1"/>
  <c r="B537" i="1"/>
  <c r="C537" i="1"/>
  <c r="D537" i="1"/>
  <c r="E537" i="1"/>
  <c r="F537" i="1"/>
  <c r="G537" i="1"/>
  <c r="H537" i="1"/>
  <c r="K537" i="1"/>
  <c r="L537" i="1"/>
  <c r="A538" i="1"/>
  <c r="B538" i="1"/>
  <c r="C538" i="1"/>
  <c r="D538" i="1"/>
  <c r="E538" i="1"/>
  <c r="F538" i="1"/>
  <c r="G538" i="1"/>
  <c r="H538" i="1"/>
  <c r="K538" i="1"/>
  <c r="L538" i="1"/>
  <c r="A539" i="1"/>
  <c r="B539" i="1"/>
  <c r="C539" i="1"/>
  <c r="D539" i="1"/>
  <c r="E539" i="1"/>
  <c r="F539" i="1"/>
  <c r="G539" i="1"/>
  <c r="H539" i="1"/>
  <c r="K539" i="1"/>
  <c r="L539" i="1"/>
  <c r="A540" i="1"/>
  <c r="B540" i="1"/>
  <c r="C540" i="1"/>
  <c r="D540" i="1"/>
  <c r="E540" i="1"/>
  <c r="F540" i="1"/>
  <c r="G540" i="1"/>
  <c r="H540" i="1"/>
  <c r="K540" i="1"/>
  <c r="L540" i="1"/>
  <c r="A541" i="1"/>
  <c r="B541" i="1"/>
  <c r="C541" i="1"/>
  <c r="D541" i="1"/>
  <c r="E541" i="1"/>
  <c r="F541" i="1"/>
  <c r="G541" i="1"/>
  <c r="H541" i="1"/>
  <c r="K541" i="1"/>
  <c r="L541" i="1"/>
  <c r="A542" i="1"/>
  <c r="B542" i="1"/>
  <c r="C542" i="1"/>
  <c r="D542" i="1"/>
  <c r="E542" i="1"/>
  <c r="F542" i="1"/>
  <c r="G542" i="1"/>
  <c r="H542" i="1"/>
  <c r="K542" i="1"/>
  <c r="L542" i="1"/>
  <c r="A543" i="1"/>
  <c r="B543" i="1"/>
  <c r="C543" i="1"/>
  <c r="D543" i="1"/>
  <c r="E543" i="1"/>
  <c r="F543" i="1"/>
  <c r="G543" i="1"/>
  <c r="H543" i="1"/>
  <c r="K543" i="1"/>
  <c r="L543" i="1"/>
  <c r="A544" i="1"/>
  <c r="B544" i="1"/>
  <c r="C544" i="1"/>
  <c r="D544" i="1"/>
  <c r="E544" i="1"/>
  <c r="F544" i="1"/>
  <c r="G544" i="1"/>
  <c r="H544" i="1"/>
  <c r="K544" i="1"/>
  <c r="L544" i="1"/>
  <c r="A545" i="1"/>
  <c r="B545" i="1"/>
  <c r="C545" i="1"/>
  <c r="D545" i="1"/>
  <c r="E545" i="1"/>
  <c r="F545" i="1"/>
  <c r="G545" i="1"/>
  <c r="H545" i="1"/>
  <c r="K545" i="1"/>
  <c r="L545" i="1"/>
  <c r="A546" i="1"/>
  <c r="B546" i="1"/>
  <c r="C546" i="1"/>
  <c r="D546" i="1"/>
  <c r="E546" i="1"/>
  <c r="F546" i="1"/>
  <c r="G546" i="1"/>
  <c r="H546" i="1"/>
  <c r="K546" i="1"/>
  <c r="L546" i="1"/>
  <c r="A547" i="1"/>
  <c r="B547" i="1"/>
  <c r="C547" i="1"/>
  <c r="D547" i="1"/>
  <c r="E547" i="1"/>
  <c r="F547" i="1"/>
  <c r="G547" i="1"/>
  <c r="H547" i="1"/>
  <c r="K547" i="1"/>
  <c r="L547" i="1"/>
  <c r="A548" i="1"/>
  <c r="B548" i="1"/>
  <c r="C548" i="1"/>
  <c r="D548" i="1"/>
  <c r="E548" i="1"/>
  <c r="F548" i="1"/>
  <c r="G548" i="1"/>
  <c r="H548" i="1"/>
  <c r="K548" i="1"/>
  <c r="L548" i="1"/>
  <c r="A549" i="1"/>
  <c r="B549" i="1"/>
  <c r="C549" i="1"/>
  <c r="D549" i="1"/>
  <c r="E549" i="1"/>
  <c r="F549" i="1"/>
  <c r="G549" i="1"/>
  <c r="H549" i="1"/>
  <c r="K549" i="1"/>
  <c r="L549" i="1"/>
  <c r="A550" i="1"/>
  <c r="B550" i="1"/>
  <c r="C550" i="1"/>
  <c r="D550" i="1"/>
  <c r="E550" i="1"/>
  <c r="F550" i="1"/>
  <c r="G550" i="1"/>
  <c r="H550" i="1"/>
  <c r="K550" i="1"/>
  <c r="L550" i="1"/>
  <c r="A551" i="1"/>
  <c r="B551" i="1"/>
  <c r="C551" i="1"/>
  <c r="D551" i="1"/>
  <c r="E551" i="1"/>
  <c r="F551" i="1"/>
  <c r="G551" i="1"/>
  <c r="H551" i="1"/>
  <c r="K551" i="1"/>
  <c r="L551" i="1"/>
  <c r="A552" i="1"/>
  <c r="B552" i="1"/>
  <c r="C552" i="1"/>
  <c r="D552" i="1"/>
  <c r="E552" i="1"/>
  <c r="F552" i="1"/>
  <c r="G552" i="1"/>
  <c r="H552" i="1"/>
  <c r="K552" i="1"/>
  <c r="L552" i="1"/>
  <c r="A553" i="1"/>
  <c r="B553" i="1"/>
  <c r="C553" i="1"/>
  <c r="D553" i="1"/>
  <c r="E553" i="1"/>
  <c r="F553" i="1"/>
  <c r="G553" i="1"/>
  <c r="H553" i="1"/>
  <c r="K553" i="1"/>
  <c r="L553" i="1"/>
  <c r="A554" i="1"/>
  <c r="B554" i="1"/>
  <c r="C554" i="1"/>
  <c r="D554" i="1"/>
  <c r="E554" i="1"/>
  <c r="F554" i="1"/>
  <c r="G554" i="1"/>
  <c r="H554" i="1"/>
  <c r="K554" i="1"/>
  <c r="L554" i="1"/>
  <c r="A555" i="1"/>
  <c r="B555" i="1"/>
  <c r="C555" i="1"/>
  <c r="D555" i="1"/>
  <c r="E555" i="1"/>
  <c r="F555" i="1"/>
  <c r="G555" i="1"/>
  <c r="H555" i="1"/>
  <c r="K555" i="1"/>
  <c r="L555" i="1"/>
  <c r="A556" i="1"/>
  <c r="B556" i="1"/>
  <c r="C556" i="1"/>
  <c r="D556" i="1"/>
  <c r="E556" i="1"/>
  <c r="F556" i="1"/>
  <c r="G556" i="1"/>
  <c r="H556" i="1"/>
  <c r="K556" i="1"/>
  <c r="L556" i="1"/>
  <c r="A557" i="1"/>
  <c r="B557" i="1"/>
  <c r="C557" i="1"/>
  <c r="D557" i="1"/>
  <c r="E557" i="1"/>
  <c r="F557" i="1"/>
  <c r="G557" i="1"/>
  <c r="H557" i="1"/>
  <c r="K557" i="1"/>
  <c r="L557" i="1"/>
  <c r="A558" i="1"/>
  <c r="B558" i="1"/>
  <c r="C558" i="1"/>
  <c r="D558" i="1"/>
  <c r="E558" i="1"/>
  <c r="F558" i="1"/>
  <c r="G558" i="1"/>
  <c r="H558" i="1"/>
  <c r="K558" i="1"/>
  <c r="L558" i="1"/>
  <c r="A559" i="1"/>
  <c r="B559" i="1"/>
  <c r="C559" i="1"/>
  <c r="D559" i="1"/>
  <c r="E559" i="1"/>
  <c r="F559" i="1"/>
  <c r="G559" i="1"/>
  <c r="H559" i="1"/>
  <c r="K559" i="1"/>
  <c r="L559" i="1"/>
  <c r="A560" i="1"/>
  <c r="B560" i="1"/>
  <c r="C560" i="1"/>
  <c r="D560" i="1"/>
  <c r="E560" i="1"/>
  <c r="F560" i="1"/>
  <c r="G560" i="1"/>
  <c r="H560" i="1"/>
  <c r="K560" i="1"/>
  <c r="L560" i="1"/>
  <c r="A561" i="1"/>
  <c r="B561" i="1"/>
  <c r="C561" i="1"/>
  <c r="D561" i="1"/>
  <c r="E561" i="1"/>
  <c r="F561" i="1"/>
  <c r="G561" i="1"/>
  <c r="H561" i="1"/>
  <c r="K561" i="1"/>
  <c r="L561" i="1"/>
  <c r="A562" i="1"/>
  <c r="B562" i="1"/>
  <c r="C562" i="1"/>
  <c r="D562" i="1"/>
  <c r="E562" i="1"/>
  <c r="F562" i="1"/>
  <c r="G562" i="1"/>
  <c r="H562" i="1"/>
  <c r="K562" i="1"/>
  <c r="L562" i="1"/>
  <c r="A563" i="1"/>
  <c r="B563" i="1"/>
  <c r="C563" i="1"/>
  <c r="D563" i="1"/>
  <c r="E563" i="1"/>
  <c r="F563" i="1"/>
  <c r="G563" i="1"/>
  <c r="H563" i="1"/>
  <c r="K563" i="1"/>
  <c r="L563" i="1"/>
  <c r="A564" i="1"/>
  <c r="B564" i="1"/>
  <c r="C564" i="1"/>
  <c r="D564" i="1"/>
  <c r="E564" i="1"/>
  <c r="F564" i="1"/>
  <c r="G564" i="1"/>
  <c r="H564" i="1"/>
  <c r="K564" i="1"/>
  <c r="L564" i="1"/>
  <c r="A565" i="1"/>
  <c r="B565" i="1"/>
  <c r="C565" i="1"/>
  <c r="D565" i="1"/>
  <c r="E565" i="1"/>
  <c r="F565" i="1"/>
  <c r="G565" i="1"/>
  <c r="H565" i="1"/>
  <c r="K565" i="1"/>
  <c r="L565" i="1"/>
  <c r="A566" i="1"/>
  <c r="B566" i="1"/>
  <c r="C566" i="1"/>
  <c r="D566" i="1"/>
  <c r="E566" i="1"/>
  <c r="F566" i="1"/>
  <c r="G566" i="1"/>
  <c r="H566" i="1"/>
  <c r="K566" i="1"/>
  <c r="L566" i="1"/>
  <c r="A567" i="1"/>
  <c r="B567" i="1"/>
  <c r="C567" i="1"/>
  <c r="D567" i="1"/>
  <c r="E567" i="1"/>
  <c r="F567" i="1"/>
  <c r="G567" i="1"/>
  <c r="H567" i="1"/>
  <c r="K567" i="1"/>
  <c r="L567" i="1"/>
  <c r="A568" i="1"/>
  <c r="B568" i="1"/>
  <c r="C568" i="1"/>
  <c r="D568" i="1"/>
  <c r="E568" i="1"/>
  <c r="F568" i="1"/>
  <c r="G568" i="1"/>
  <c r="H568" i="1"/>
  <c r="K568" i="1"/>
  <c r="L568" i="1"/>
  <c r="A569" i="1"/>
  <c r="B569" i="1"/>
  <c r="C569" i="1"/>
  <c r="D569" i="1"/>
  <c r="E569" i="1"/>
  <c r="F569" i="1"/>
  <c r="G569" i="1"/>
  <c r="H569" i="1"/>
  <c r="K569" i="1"/>
  <c r="L569" i="1"/>
  <c r="A570" i="1"/>
  <c r="B570" i="1"/>
  <c r="C570" i="1"/>
  <c r="D570" i="1"/>
  <c r="E570" i="1"/>
  <c r="F570" i="1"/>
  <c r="G570" i="1"/>
  <c r="H570" i="1"/>
  <c r="K570" i="1"/>
  <c r="L570" i="1"/>
  <c r="A571" i="1"/>
  <c r="B571" i="1"/>
  <c r="C571" i="1"/>
  <c r="D571" i="1"/>
  <c r="E571" i="1"/>
  <c r="F571" i="1"/>
  <c r="G571" i="1"/>
  <c r="H571" i="1"/>
  <c r="K571" i="1"/>
  <c r="L571" i="1"/>
  <c r="A572" i="1"/>
  <c r="B572" i="1"/>
  <c r="C572" i="1"/>
  <c r="D572" i="1"/>
  <c r="E572" i="1"/>
  <c r="F572" i="1"/>
  <c r="G572" i="1"/>
  <c r="H572" i="1"/>
  <c r="K572" i="1"/>
  <c r="L572" i="1"/>
  <c r="A573" i="1"/>
  <c r="B573" i="1"/>
  <c r="C573" i="1"/>
  <c r="N573" i="1" s="1"/>
  <c r="D573" i="1"/>
  <c r="E573" i="1"/>
  <c r="F573" i="1"/>
  <c r="G573" i="1"/>
  <c r="H573" i="1"/>
  <c r="K573" i="1"/>
  <c r="L573" i="1"/>
  <c r="A574" i="1"/>
  <c r="B574" i="1"/>
  <c r="C574" i="1"/>
  <c r="D574" i="1"/>
  <c r="E574" i="1"/>
  <c r="F574" i="1"/>
  <c r="G574" i="1"/>
  <c r="H574" i="1"/>
  <c r="K574" i="1"/>
  <c r="L574" i="1"/>
  <c r="A575" i="1"/>
  <c r="B575" i="1"/>
  <c r="C575" i="1"/>
  <c r="D575" i="1"/>
  <c r="E575" i="1"/>
  <c r="F575" i="1"/>
  <c r="G575" i="1"/>
  <c r="H575" i="1"/>
  <c r="K575" i="1"/>
  <c r="L575" i="1"/>
  <c r="A576" i="1"/>
  <c r="B576" i="1"/>
  <c r="C576" i="1"/>
  <c r="D576" i="1"/>
  <c r="E576" i="1"/>
  <c r="F576" i="1"/>
  <c r="G576" i="1"/>
  <c r="H576" i="1"/>
  <c r="K576" i="1"/>
  <c r="L576" i="1"/>
  <c r="A577" i="1"/>
  <c r="B577" i="1"/>
  <c r="C577" i="1"/>
  <c r="D577" i="1"/>
  <c r="E577" i="1"/>
  <c r="F577" i="1"/>
  <c r="G577" i="1"/>
  <c r="H577" i="1"/>
  <c r="K577" i="1"/>
  <c r="L577" i="1"/>
  <c r="A578" i="1"/>
  <c r="B578" i="1"/>
  <c r="C578" i="1"/>
  <c r="D578" i="1"/>
  <c r="E578" i="1"/>
  <c r="F578" i="1"/>
  <c r="G578" i="1"/>
  <c r="H578" i="1"/>
  <c r="K578" i="1"/>
  <c r="L578" i="1"/>
  <c r="A579" i="1"/>
  <c r="B579" i="1"/>
  <c r="C579" i="1"/>
  <c r="D579" i="1"/>
  <c r="E579" i="1"/>
  <c r="F579" i="1"/>
  <c r="G579" i="1"/>
  <c r="H579" i="1"/>
  <c r="K579" i="1"/>
  <c r="L579" i="1"/>
  <c r="A580" i="1"/>
  <c r="B580" i="1"/>
  <c r="C580" i="1"/>
  <c r="D580" i="1"/>
  <c r="E580" i="1"/>
  <c r="F580" i="1"/>
  <c r="G580" i="1"/>
  <c r="H580" i="1"/>
  <c r="K580" i="1"/>
  <c r="L580" i="1"/>
  <c r="A581" i="1"/>
  <c r="B581" i="1"/>
  <c r="C581" i="1"/>
  <c r="D581" i="1"/>
  <c r="E581" i="1"/>
  <c r="F581" i="1"/>
  <c r="G581" i="1"/>
  <c r="H581" i="1"/>
  <c r="K581" i="1"/>
  <c r="L581" i="1"/>
  <c r="A582" i="1"/>
  <c r="B582" i="1"/>
  <c r="C582" i="1"/>
  <c r="D582" i="1"/>
  <c r="E582" i="1"/>
  <c r="F582" i="1"/>
  <c r="G582" i="1"/>
  <c r="H582" i="1"/>
  <c r="K582" i="1"/>
  <c r="L582" i="1"/>
  <c r="A583" i="1"/>
  <c r="B583" i="1"/>
  <c r="C583" i="1"/>
  <c r="D583" i="1"/>
  <c r="E583" i="1"/>
  <c r="F583" i="1"/>
  <c r="G583" i="1"/>
  <c r="H583" i="1"/>
  <c r="K583" i="1"/>
  <c r="L583" i="1"/>
  <c r="A584" i="1"/>
  <c r="B584" i="1"/>
  <c r="C584" i="1"/>
  <c r="D584" i="1"/>
  <c r="E584" i="1"/>
  <c r="F584" i="1"/>
  <c r="G584" i="1"/>
  <c r="H584" i="1"/>
  <c r="K584" i="1"/>
  <c r="L584" i="1"/>
  <c r="A585" i="1"/>
  <c r="B585" i="1"/>
  <c r="C585" i="1"/>
  <c r="D585" i="1"/>
  <c r="E585" i="1"/>
  <c r="F585" i="1"/>
  <c r="G585" i="1"/>
  <c r="H585" i="1"/>
  <c r="K585" i="1"/>
  <c r="L585" i="1"/>
  <c r="A586" i="1"/>
  <c r="B586" i="1"/>
  <c r="C586" i="1"/>
  <c r="D586" i="1"/>
  <c r="E586" i="1"/>
  <c r="F586" i="1"/>
  <c r="G586" i="1"/>
  <c r="H586" i="1"/>
  <c r="K586" i="1"/>
  <c r="L586" i="1"/>
  <c r="A587" i="1"/>
  <c r="B587" i="1"/>
  <c r="C587" i="1"/>
  <c r="D587" i="1"/>
  <c r="E587" i="1"/>
  <c r="F587" i="1"/>
  <c r="G587" i="1"/>
  <c r="H587" i="1"/>
  <c r="K587" i="1"/>
  <c r="L587" i="1"/>
  <c r="A588" i="1"/>
  <c r="B588" i="1"/>
  <c r="C588" i="1"/>
  <c r="D588" i="1"/>
  <c r="E588" i="1"/>
  <c r="F588" i="1"/>
  <c r="G588" i="1"/>
  <c r="H588" i="1"/>
  <c r="K588" i="1"/>
  <c r="L588" i="1"/>
  <c r="A589" i="1"/>
  <c r="B589" i="1"/>
  <c r="C589" i="1"/>
  <c r="D589" i="1"/>
  <c r="E589" i="1"/>
  <c r="F589" i="1"/>
  <c r="G589" i="1"/>
  <c r="H589" i="1"/>
  <c r="K589" i="1"/>
  <c r="L589" i="1"/>
  <c r="A590" i="1"/>
  <c r="B590" i="1"/>
  <c r="C590" i="1"/>
  <c r="D590" i="1"/>
  <c r="E590" i="1"/>
  <c r="F590" i="1"/>
  <c r="G590" i="1"/>
  <c r="H590" i="1"/>
  <c r="K590" i="1"/>
  <c r="L590" i="1"/>
  <c r="A591" i="1"/>
  <c r="B591" i="1"/>
  <c r="C591" i="1"/>
  <c r="D591" i="1"/>
  <c r="E591" i="1"/>
  <c r="F591" i="1"/>
  <c r="G591" i="1"/>
  <c r="H591" i="1"/>
  <c r="K591" i="1"/>
  <c r="L591" i="1"/>
  <c r="M591" i="1" s="1"/>
  <c r="A592" i="1"/>
  <c r="B592" i="1"/>
  <c r="C592" i="1"/>
  <c r="D592" i="1"/>
  <c r="E592" i="1"/>
  <c r="F592" i="1"/>
  <c r="G592" i="1"/>
  <c r="H592" i="1"/>
  <c r="K592" i="1"/>
  <c r="L592" i="1"/>
  <c r="A593" i="1"/>
  <c r="B593" i="1"/>
  <c r="C593" i="1"/>
  <c r="D593" i="1"/>
  <c r="E593" i="1"/>
  <c r="F593" i="1"/>
  <c r="G593" i="1"/>
  <c r="H593" i="1"/>
  <c r="K593" i="1"/>
  <c r="L593" i="1"/>
  <c r="A594" i="1"/>
  <c r="B594" i="1"/>
  <c r="C594" i="1"/>
  <c r="D594" i="1"/>
  <c r="E594" i="1"/>
  <c r="F594" i="1"/>
  <c r="G594" i="1"/>
  <c r="H594" i="1"/>
  <c r="K594" i="1"/>
  <c r="L594" i="1"/>
  <c r="A595" i="1"/>
  <c r="B595" i="1"/>
  <c r="C595" i="1"/>
  <c r="D595" i="1"/>
  <c r="E595" i="1"/>
  <c r="F595" i="1"/>
  <c r="G595" i="1"/>
  <c r="H595" i="1"/>
  <c r="K595" i="1"/>
  <c r="L595" i="1"/>
  <c r="A596" i="1"/>
  <c r="B596" i="1"/>
  <c r="C596" i="1"/>
  <c r="D596" i="1"/>
  <c r="E596" i="1"/>
  <c r="F596" i="1"/>
  <c r="G596" i="1"/>
  <c r="H596" i="1"/>
  <c r="K596" i="1"/>
  <c r="L596" i="1"/>
  <c r="A597" i="1"/>
  <c r="B597" i="1"/>
  <c r="C597" i="1"/>
  <c r="D597" i="1"/>
  <c r="E597" i="1"/>
  <c r="F597" i="1"/>
  <c r="G597" i="1"/>
  <c r="H597" i="1"/>
  <c r="K597" i="1"/>
  <c r="L597" i="1"/>
  <c r="M597" i="1" s="1"/>
  <c r="A598" i="1"/>
  <c r="B598" i="1"/>
  <c r="C598" i="1"/>
  <c r="D598" i="1"/>
  <c r="E598" i="1"/>
  <c r="F598" i="1"/>
  <c r="G598" i="1"/>
  <c r="H598" i="1"/>
  <c r="K598" i="1"/>
  <c r="L598" i="1"/>
  <c r="A599" i="1"/>
  <c r="B599" i="1"/>
  <c r="C599" i="1"/>
  <c r="D599" i="1"/>
  <c r="E599" i="1"/>
  <c r="F599" i="1"/>
  <c r="G599" i="1"/>
  <c r="H599" i="1"/>
  <c r="K599" i="1"/>
  <c r="L599" i="1"/>
  <c r="A600" i="1"/>
  <c r="B600" i="1"/>
  <c r="C600" i="1"/>
  <c r="D600" i="1"/>
  <c r="E600" i="1"/>
  <c r="F600" i="1"/>
  <c r="G600" i="1"/>
  <c r="H600" i="1"/>
  <c r="K600" i="1"/>
  <c r="L600" i="1"/>
  <c r="A601" i="1"/>
  <c r="B601" i="1"/>
  <c r="C601" i="1"/>
  <c r="D601" i="1"/>
  <c r="E601" i="1"/>
  <c r="F601" i="1"/>
  <c r="G601" i="1"/>
  <c r="H601" i="1"/>
  <c r="K601" i="1"/>
  <c r="L601" i="1"/>
  <c r="A602" i="1"/>
  <c r="B602" i="1"/>
  <c r="C602" i="1"/>
  <c r="D602" i="1"/>
  <c r="E602" i="1"/>
  <c r="F602" i="1"/>
  <c r="G602" i="1"/>
  <c r="H602" i="1"/>
  <c r="K602" i="1"/>
  <c r="L602" i="1"/>
  <c r="A603" i="1"/>
  <c r="B603" i="1"/>
  <c r="C603" i="1"/>
  <c r="D603" i="1"/>
  <c r="E603" i="1"/>
  <c r="F603" i="1"/>
  <c r="G603" i="1"/>
  <c r="H603" i="1"/>
  <c r="K603" i="1"/>
  <c r="L603" i="1"/>
  <c r="A604" i="1"/>
  <c r="B604" i="1"/>
  <c r="C604" i="1"/>
  <c r="D604" i="1"/>
  <c r="E604" i="1"/>
  <c r="F604" i="1"/>
  <c r="G604" i="1"/>
  <c r="H604" i="1"/>
  <c r="K604" i="1"/>
  <c r="L604" i="1"/>
  <c r="A605" i="1"/>
  <c r="B605" i="1"/>
  <c r="C605" i="1"/>
  <c r="D605" i="1"/>
  <c r="E605" i="1"/>
  <c r="F605" i="1"/>
  <c r="G605" i="1"/>
  <c r="H605" i="1"/>
  <c r="K605" i="1"/>
  <c r="L605" i="1"/>
  <c r="A606" i="1"/>
  <c r="B606" i="1"/>
  <c r="C606" i="1"/>
  <c r="D606" i="1"/>
  <c r="E606" i="1"/>
  <c r="F606" i="1"/>
  <c r="G606" i="1"/>
  <c r="H606" i="1"/>
  <c r="K606" i="1"/>
  <c r="L606" i="1"/>
  <c r="A607" i="1"/>
  <c r="B607" i="1"/>
  <c r="C607" i="1"/>
  <c r="D607" i="1"/>
  <c r="E607" i="1"/>
  <c r="F607" i="1"/>
  <c r="G607" i="1"/>
  <c r="H607" i="1"/>
  <c r="K607" i="1"/>
  <c r="L607" i="1"/>
  <c r="M607" i="1" s="1"/>
  <c r="A608" i="1"/>
  <c r="B608" i="1"/>
  <c r="C608" i="1"/>
  <c r="D608" i="1"/>
  <c r="E608" i="1"/>
  <c r="F608" i="1"/>
  <c r="G608" i="1"/>
  <c r="H608" i="1"/>
  <c r="K608" i="1"/>
  <c r="L608" i="1"/>
  <c r="A609" i="1"/>
  <c r="B609" i="1"/>
  <c r="C609" i="1"/>
  <c r="D609" i="1"/>
  <c r="E609" i="1"/>
  <c r="F609" i="1"/>
  <c r="G609" i="1"/>
  <c r="H609" i="1"/>
  <c r="K609" i="1"/>
  <c r="L609" i="1"/>
  <c r="A610" i="1"/>
  <c r="B610" i="1"/>
  <c r="C610" i="1"/>
  <c r="D610" i="1"/>
  <c r="E610" i="1"/>
  <c r="F610" i="1"/>
  <c r="G610" i="1"/>
  <c r="H610" i="1"/>
  <c r="K610" i="1"/>
  <c r="L610" i="1"/>
  <c r="A611" i="1"/>
  <c r="B611" i="1"/>
  <c r="C611" i="1"/>
  <c r="D611" i="1"/>
  <c r="E611" i="1"/>
  <c r="F611" i="1"/>
  <c r="G611" i="1"/>
  <c r="H611" i="1"/>
  <c r="K611" i="1"/>
  <c r="L611" i="1"/>
  <c r="A612" i="1"/>
  <c r="B612" i="1"/>
  <c r="C612" i="1"/>
  <c r="D612" i="1"/>
  <c r="E612" i="1"/>
  <c r="F612" i="1"/>
  <c r="G612" i="1"/>
  <c r="H612" i="1"/>
  <c r="K612" i="1"/>
  <c r="L612" i="1"/>
  <c r="A613" i="1"/>
  <c r="B613" i="1"/>
  <c r="C613" i="1"/>
  <c r="D613" i="1"/>
  <c r="E613" i="1"/>
  <c r="F613" i="1"/>
  <c r="G613" i="1"/>
  <c r="H613" i="1"/>
  <c r="K613" i="1"/>
  <c r="L613" i="1"/>
  <c r="A614" i="1"/>
  <c r="B614" i="1"/>
  <c r="C614" i="1"/>
  <c r="D614" i="1"/>
  <c r="E614" i="1"/>
  <c r="F614" i="1"/>
  <c r="G614" i="1"/>
  <c r="H614" i="1"/>
  <c r="K614" i="1"/>
  <c r="L614" i="1"/>
  <c r="A615" i="1"/>
  <c r="B615" i="1"/>
  <c r="C615" i="1"/>
  <c r="D615" i="1"/>
  <c r="E615" i="1"/>
  <c r="F615" i="1"/>
  <c r="G615" i="1"/>
  <c r="H615" i="1"/>
  <c r="K615" i="1"/>
  <c r="L615" i="1"/>
  <c r="A616" i="1"/>
  <c r="B616" i="1"/>
  <c r="C616" i="1"/>
  <c r="D616" i="1"/>
  <c r="E616" i="1"/>
  <c r="F616" i="1"/>
  <c r="G616" i="1"/>
  <c r="H616" i="1"/>
  <c r="K616" i="1"/>
  <c r="L616" i="1"/>
  <c r="A617" i="1"/>
  <c r="B617" i="1"/>
  <c r="C617" i="1"/>
  <c r="D617" i="1"/>
  <c r="E617" i="1"/>
  <c r="F617" i="1"/>
  <c r="G617" i="1"/>
  <c r="H617" i="1"/>
  <c r="K617" i="1"/>
  <c r="L617" i="1"/>
  <c r="A618" i="1"/>
  <c r="B618" i="1"/>
  <c r="C618" i="1"/>
  <c r="D618" i="1"/>
  <c r="E618" i="1"/>
  <c r="F618" i="1"/>
  <c r="G618" i="1"/>
  <c r="H618" i="1"/>
  <c r="K618" i="1"/>
  <c r="L618" i="1"/>
  <c r="A619" i="1"/>
  <c r="B619" i="1"/>
  <c r="C619" i="1"/>
  <c r="D619" i="1"/>
  <c r="E619" i="1"/>
  <c r="F619" i="1"/>
  <c r="G619" i="1"/>
  <c r="H619" i="1"/>
  <c r="K619" i="1"/>
  <c r="L619" i="1"/>
  <c r="A620" i="1"/>
  <c r="B620" i="1"/>
  <c r="C620" i="1"/>
  <c r="D620" i="1"/>
  <c r="E620" i="1"/>
  <c r="F620" i="1"/>
  <c r="G620" i="1"/>
  <c r="H620" i="1"/>
  <c r="K620" i="1"/>
  <c r="L620" i="1"/>
  <c r="A621" i="1"/>
  <c r="B621" i="1"/>
  <c r="C621" i="1"/>
  <c r="D621" i="1"/>
  <c r="E621" i="1"/>
  <c r="F621" i="1"/>
  <c r="G621" i="1"/>
  <c r="H621" i="1"/>
  <c r="K621" i="1"/>
  <c r="L621" i="1"/>
  <c r="A622" i="1"/>
  <c r="B622" i="1"/>
  <c r="C622" i="1"/>
  <c r="D622" i="1"/>
  <c r="E622" i="1"/>
  <c r="F622" i="1"/>
  <c r="G622" i="1"/>
  <c r="H622" i="1"/>
  <c r="K622" i="1"/>
  <c r="L622" i="1"/>
  <c r="A623" i="1"/>
  <c r="B623" i="1"/>
  <c r="C623" i="1"/>
  <c r="D623" i="1"/>
  <c r="E623" i="1"/>
  <c r="F623" i="1"/>
  <c r="G623" i="1"/>
  <c r="H623" i="1"/>
  <c r="K623" i="1"/>
  <c r="L623" i="1"/>
  <c r="A624" i="1"/>
  <c r="B624" i="1"/>
  <c r="C624" i="1"/>
  <c r="D624" i="1"/>
  <c r="E624" i="1"/>
  <c r="F624" i="1"/>
  <c r="G624" i="1"/>
  <c r="H624" i="1"/>
  <c r="K624" i="1"/>
  <c r="L624" i="1"/>
  <c r="A625" i="1"/>
  <c r="B625" i="1"/>
  <c r="C625" i="1"/>
  <c r="D625" i="1"/>
  <c r="E625" i="1"/>
  <c r="F625" i="1"/>
  <c r="G625" i="1"/>
  <c r="H625" i="1"/>
  <c r="K625" i="1"/>
  <c r="L625" i="1"/>
  <c r="A626" i="1"/>
  <c r="B626" i="1"/>
  <c r="C626" i="1"/>
  <c r="D626" i="1"/>
  <c r="E626" i="1"/>
  <c r="F626" i="1"/>
  <c r="G626" i="1"/>
  <c r="H626" i="1"/>
  <c r="I626" i="1" s="1"/>
  <c r="K626" i="1"/>
  <c r="L626" i="1"/>
  <c r="A627" i="1"/>
  <c r="B627" i="1"/>
  <c r="C627" i="1"/>
  <c r="D627" i="1"/>
  <c r="E627" i="1"/>
  <c r="F627" i="1"/>
  <c r="G627" i="1"/>
  <c r="H627" i="1"/>
  <c r="K627" i="1"/>
  <c r="L627" i="1"/>
  <c r="A628" i="1"/>
  <c r="B628" i="1"/>
  <c r="C628" i="1"/>
  <c r="D628" i="1"/>
  <c r="E628" i="1"/>
  <c r="F628" i="1"/>
  <c r="G628" i="1"/>
  <c r="H628" i="1"/>
  <c r="K628" i="1"/>
  <c r="L628" i="1"/>
  <c r="A629" i="1"/>
  <c r="B629" i="1"/>
  <c r="C629" i="1"/>
  <c r="D629" i="1"/>
  <c r="E629" i="1"/>
  <c r="F629" i="1"/>
  <c r="G629" i="1"/>
  <c r="H629" i="1"/>
  <c r="K629" i="1"/>
  <c r="L629" i="1"/>
  <c r="A630" i="1"/>
  <c r="B630" i="1"/>
  <c r="C630" i="1"/>
  <c r="D630" i="1"/>
  <c r="E630" i="1"/>
  <c r="F630" i="1"/>
  <c r="G630" i="1"/>
  <c r="H630" i="1"/>
  <c r="K630" i="1"/>
  <c r="L630" i="1"/>
  <c r="A631" i="1"/>
  <c r="B631" i="1"/>
  <c r="C631" i="1"/>
  <c r="D631" i="1"/>
  <c r="E631" i="1"/>
  <c r="F631" i="1"/>
  <c r="G631" i="1"/>
  <c r="H631" i="1"/>
  <c r="K631" i="1"/>
  <c r="L631" i="1"/>
  <c r="A632" i="1"/>
  <c r="B632" i="1"/>
  <c r="C632" i="1"/>
  <c r="D632" i="1"/>
  <c r="E632" i="1"/>
  <c r="F632" i="1"/>
  <c r="G632" i="1"/>
  <c r="H632" i="1"/>
  <c r="K632" i="1"/>
  <c r="L632" i="1"/>
  <c r="A633" i="1"/>
  <c r="B633" i="1"/>
  <c r="C633" i="1"/>
  <c r="D633" i="1"/>
  <c r="E633" i="1"/>
  <c r="F633" i="1"/>
  <c r="G633" i="1"/>
  <c r="H633" i="1"/>
  <c r="K633" i="1"/>
  <c r="L633" i="1"/>
  <c r="A634" i="1"/>
  <c r="B634" i="1"/>
  <c r="C634" i="1"/>
  <c r="D634" i="1"/>
  <c r="E634" i="1"/>
  <c r="F634" i="1"/>
  <c r="G634" i="1"/>
  <c r="H634" i="1"/>
  <c r="K634" i="1"/>
  <c r="L634" i="1"/>
  <c r="A635" i="1"/>
  <c r="B635" i="1"/>
  <c r="C635" i="1"/>
  <c r="D635" i="1"/>
  <c r="E635" i="1"/>
  <c r="F635" i="1"/>
  <c r="G635" i="1"/>
  <c r="H635" i="1"/>
  <c r="K635" i="1"/>
  <c r="L635" i="1"/>
  <c r="A636" i="1"/>
  <c r="B636" i="1"/>
  <c r="C636" i="1"/>
  <c r="D636" i="1"/>
  <c r="E636" i="1"/>
  <c r="F636" i="1"/>
  <c r="G636" i="1"/>
  <c r="H636" i="1"/>
  <c r="K636" i="1"/>
  <c r="L636" i="1"/>
  <c r="A637" i="1"/>
  <c r="B637" i="1"/>
  <c r="C637" i="1"/>
  <c r="D637" i="1"/>
  <c r="E637" i="1"/>
  <c r="F637" i="1"/>
  <c r="G637" i="1"/>
  <c r="H637" i="1"/>
  <c r="K637" i="1"/>
  <c r="L637" i="1"/>
  <c r="A638" i="1"/>
  <c r="B638" i="1"/>
  <c r="C638" i="1"/>
  <c r="D638" i="1"/>
  <c r="E638" i="1"/>
  <c r="F638" i="1"/>
  <c r="G638" i="1"/>
  <c r="H638" i="1"/>
  <c r="K638" i="1"/>
  <c r="L638" i="1"/>
  <c r="A639" i="1"/>
  <c r="B639" i="1"/>
  <c r="C639" i="1"/>
  <c r="D639" i="1"/>
  <c r="E639" i="1"/>
  <c r="F639" i="1"/>
  <c r="G639" i="1"/>
  <c r="H639" i="1"/>
  <c r="K639" i="1"/>
  <c r="L639" i="1"/>
  <c r="A640" i="1"/>
  <c r="B640" i="1"/>
  <c r="C640" i="1"/>
  <c r="D640" i="1"/>
  <c r="E640" i="1"/>
  <c r="F640" i="1"/>
  <c r="G640" i="1"/>
  <c r="H640" i="1"/>
  <c r="K640" i="1"/>
  <c r="L640" i="1"/>
  <c r="A641" i="1"/>
  <c r="B641" i="1"/>
  <c r="C641" i="1"/>
  <c r="D641" i="1"/>
  <c r="E641" i="1"/>
  <c r="F641" i="1"/>
  <c r="G641" i="1"/>
  <c r="H641" i="1"/>
  <c r="K641" i="1"/>
  <c r="L641" i="1"/>
  <c r="A642" i="1"/>
  <c r="B642" i="1"/>
  <c r="C642" i="1"/>
  <c r="D642" i="1"/>
  <c r="E642" i="1"/>
  <c r="F642" i="1"/>
  <c r="G642" i="1"/>
  <c r="H642" i="1"/>
  <c r="K642" i="1"/>
  <c r="L642" i="1"/>
  <c r="A643" i="1"/>
  <c r="B643" i="1"/>
  <c r="C643" i="1"/>
  <c r="D643" i="1"/>
  <c r="E643" i="1"/>
  <c r="F643" i="1"/>
  <c r="G643" i="1"/>
  <c r="H643" i="1"/>
  <c r="K643" i="1"/>
  <c r="L643" i="1"/>
  <c r="A644" i="1"/>
  <c r="B644" i="1"/>
  <c r="C644" i="1"/>
  <c r="D644" i="1"/>
  <c r="E644" i="1"/>
  <c r="F644" i="1"/>
  <c r="G644" i="1"/>
  <c r="H644" i="1"/>
  <c r="K644" i="1"/>
  <c r="L644" i="1"/>
  <c r="A645" i="1"/>
  <c r="B645" i="1"/>
  <c r="C645" i="1"/>
  <c r="D645" i="1"/>
  <c r="E645" i="1"/>
  <c r="F645" i="1"/>
  <c r="G645" i="1"/>
  <c r="H645" i="1"/>
  <c r="K645" i="1"/>
  <c r="L645" i="1"/>
  <c r="A646" i="1"/>
  <c r="B646" i="1"/>
  <c r="C646" i="1"/>
  <c r="D646" i="1"/>
  <c r="E646" i="1"/>
  <c r="F646" i="1"/>
  <c r="G646" i="1"/>
  <c r="H646" i="1"/>
  <c r="K646" i="1"/>
  <c r="L646" i="1"/>
  <c r="A647" i="1"/>
  <c r="B647" i="1"/>
  <c r="C647" i="1"/>
  <c r="D647" i="1"/>
  <c r="E647" i="1"/>
  <c r="F647" i="1"/>
  <c r="G647" i="1"/>
  <c r="H647" i="1"/>
  <c r="K647" i="1"/>
  <c r="L647" i="1"/>
  <c r="A648" i="1"/>
  <c r="B648" i="1"/>
  <c r="C648" i="1"/>
  <c r="D648" i="1"/>
  <c r="E648" i="1"/>
  <c r="F648" i="1"/>
  <c r="G648" i="1"/>
  <c r="H648" i="1"/>
  <c r="K648" i="1"/>
  <c r="L648" i="1"/>
  <c r="A649" i="1"/>
  <c r="B649" i="1"/>
  <c r="C649" i="1"/>
  <c r="D649" i="1"/>
  <c r="E649" i="1"/>
  <c r="F649" i="1"/>
  <c r="G649" i="1"/>
  <c r="H649" i="1"/>
  <c r="K649" i="1"/>
  <c r="L649" i="1"/>
  <c r="A650" i="1"/>
  <c r="B650" i="1"/>
  <c r="C650" i="1"/>
  <c r="D650" i="1"/>
  <c r="E650" i="1"/>
  <c r="F650" i="1"/>
  <c r="G650" i="1"/>
  <c r="H650" i="1"/>
  <c r="K650" i="1"/>
  <c r="L650" i="1"/>
  <c r="A651" i="1"/>
  <c r="B651" i="1"/>
  <c r="C651" i="1"/>
  <c r="D651" i="1"/>
  <c r="E651" i="1"/>
  <c r="F651" i="1"/>
  <c r="G651" i="1"/>
  <c r="H651" i="1"/>
  <c r="K651" i="1"/>
  <c r="L651" i="1"/>
  <c r="A652" i="1"/>
  <c r="B652" i="1"/>
  <c r="C652" i="1"/>
  <c r="D652" i="1"/>
  <c r="E652" i="1"/>
  <c r="F652" i="1"/>
  <c r="G652" i="1"/>
  <c r="H652" i="1"/>
  <c r="K652" i="1"/>
  <c r="L652" i="1"/>
  <c r="A653" i="1"/>
  <c r="B653" i="1"/>
  <c r="C653" i="1"/>
  <c r="D653" i="1"/>
  <c r="E653" i="1"/>
  <c r="F653" i="1"/>
  <c r="G653" i="1"/>
  <c r="H653" i="1"/>
  <c r="K653" i="1"/>
  <c r="L653" i="1"/>
  <c r="A654" i="1"/>
  <c r="B654" i="1"/>
  <c r="C654" i="1"/>
  <c r="D654" i="1"/>
  <c r="E654" i="1"/>
  <c r="F654" i="1"/>
  <c r="G654" i="1"/>
  <c r="H654" i="1"/>
  <c r="K654" i="1"/>
  <c r="L654" i="1"/>
  <c r="A655" i="1"/>
  <c r="B655" i="1"/>
  <c r="C655" i="1"/>
  <c r="D655" i="1"/>
  <c r="E655" i="1"/>
  <c r="F655" i="1"/>
  <c r="G655" i="1"/>
  <c r="H655" i="1"/>
  <c r="K655" i="1"/>
  <c r="L655" i="1"/>
  <c r="M655" i="1" s="1"/>
  <c r="A656" i="1"/>
  <c r="B656" i="1"/>
  <c r="C656" i="1"/>
  <c r="D656" i="1"/>
  <c r="E656" i="1"/>
  <c r="F656" i="1"/>
  <c r="G656" i="1"/>
  <c r="H656" i="1"/>
  <c r="K656" i="1"/>
  <c r="L656" i="1"/>
  <c r="A657" i="1"/>
  <c r="B657" i="1"/>
  <c r="C657" i="1"/>
  <c r="D657" i="1"/>
  <c r="E657" i="1"/>
  <c r="F657" i="1"/>
  <c r="G657" i="1"/>
  <c r="H657" i="1"/>
  <c r="K657" i="1"/>
  <c r="L657" i="1"/>
  <c r="A658" i="1"/>
  <c r="B658" i="1"/>
  <c r="C658" i="1"/>
  <c r="D658" i="1"/>
  <c r="E658" i="1"/>
  <c r="F658" i="1"/>
  <c r="G658" i="1"/>
  <c r="H658" i="1"/>
  <c r="K658" i="1"/>
  <c r="L658" i="1"/>
  <c r="A659" i="1"/>
  <c r="B659" i="1"/>
  <c r="C659" i="1"/>
  <c r="D659" i="1"/>
  <c r="E659" i="1"/>
  <c r="F659" i="1"/>
  <c r="G659" i="1"/>
  <c r="H659" i="1"/>
  <c r="K659" i="1"/>
  <c r="L659" i="1"/>
  <c r="A660" i="1"/>
  <c r="B660" i="1"/>
  <c r="C660" i="1"/>
  <c r="D660" i="1"/>
  <c r="E660" i="1"/>
  <c r="F660" i="1"/>
  <c r="G660" i="1"/>
  <c r="H660" i="1"/>
  <c r="K660" i="1"/>
  <c r="L660" i="1"/>
  <c r="A661" i="1"/>
  <c r="B661" i="1"/>
  <c r="C661" i="1"/>
  <c r="D661" i="1"/>
  <c r="E661" i="1"/>
  <c r="F661" i="1"/>
  <c r="G661" i="1"/>
  <c r="H661" i="1"/>
  <c r="K661" i="1"/>
  <c r="L661" i="1"/>
  <c r="M661" i="1" s="1"/>
  <c r="A662" i="1"/>
  <c r="B662" i="1"/>
  <c r="C662" i="1"/>
  <c r="D662" i="1"/>
  <c r="E662" i="1"/>
  <c r="F662" i="1"/>
  <c r="G662" i="1"/>
  <c r="H662" i="1"/>
  <c r="K662" i="1"/>
  <c r="L662" i="1"/>
  <c r="A663" i="1"/>
  <c r="B663" i="1"/>
  <c r="C663" i="1"/>
  <c r="D663" i="1"/>
  <c r="E663" i="1"/>
  <c r="F663" i="1"/>
  <c r="G663" i="1"/>
  <c r="H663" i="1"/>
  <c r="K663" i="1"/>
  <c r="L663" i="1"/>
  <c r="A664" i="1"/>
  <c r="B664" i="1"/>
  <c r="C664" i="1"/>
  <c r="D664" i="1"/>
  <c r="E664" i="1"/>
  <c r="F664" i="1"/>
  <c r="G664" i="1"/>
  <c r="H664" i="1"/>
  <c r="K664" i="1"/>
  <c r="L664" i="1"/>
  <c r="A665" i="1"/>
  <c r="B665" i="1"/>
  <c r="C665" i="1"/>
  <c r="D665" i="1"/>
  <c r="E665" i="1"/>
  <c r="F665" i="1"/>
  <c r="G665" i="1"/>
  <c r="H665" i="1"/>
  <c r="K665" i="1"/>
  <c r="L665" i="1"/>
  <c r="A666" i="1"/>
  <c r="B666" i="1"/>
  <c r="C666" i="1"/>
  <c r="D666" i="1"/>
  <c r="E666" i="1"/>
  <c r="F666" i="1"/>
  <c r="G666" i="1"/>
  <c r="H666" i="1"/>
  <c r="K666" i="1"/>
  <c r="L666" i="1"/>
  <c r="A667" i="1"/>
  <c r="B667" i="1"/>
  <c r="C667" i="1"/>
  <c r="D667" i="1"/>
  <c r="E667" i="1"/>
  <c r="F667" i="1"/>
  <c r="G667" i="1"/>
  <c r="H667" i="1"/>
  <c r="K667" i="1"/>
  <c r="L667" i="1"/>
  <c r="A668" i="1"/>
  <c r="B668" i="1"/>
  <c r="C668" i="1"/>
  <c r="D668" i="1"/>
  <c r="E668" i="1"/>
  <c r="F668" i="1"/>
  <c r="G668" i="1"/>
  <c r="H668" i="1"/>
  <c r="K668" i="1"/>
  <c r="L668" i="1"/>
  <c r="A669" i="1"/>
  <c r="B669" i="1"/>
  <c r="C669" i="1"/>
  <c r="D669" i="1"/>
  <c r="E669" i="1"/>
  <c r="F669" i="1"/>
  <c r="G669" i="1"/>
  <c r="H669" i="1"/>
  <c r="K669" i="1"/>
  <c r="L669" i="1"/>
  <c r="A670" i="1"/>
  <c r="B670" i="1"/>
  <c r="C670" i="1"/>
  <c r="D670" i="1"/>
  <c r="E670" i="1"/>
  <c r="F670" i="1"/>
  <c r="G670" i="1"/>
  <c r="H670" i="1"/>
  <c r="K670" i="1"/>
  <c r="L670" i="1"/>
  <c r="A671" i="1"/>
  <c r="B671" i="1"/>
  <c r="C671" i="1"/>
  <c r="D671" i="1"/>
  <c r="E671" i="1"/>
  <c r="F671" i="1"/>
  <c r="G671" i="1"/>
  <c r="H671" i="1"/>
  <c r="K671" i="1"/>
  <c r="L671" i="1"/>
  <c r="A672" i="1"/>
  <c r="B672" i="1"/>
  <c r="C672" i="1"/>
  <c r="D672" i="1"/>
  <c r="E672" i="1"/>
  <c r="F672" i="1"/>
  <c r="G672" i="1"/>
  <c r="H672" i="1"/>
  <c r="K672" i="1"/>
  <c r="L672" i="1"/>
  <c r="A673" i="1"/>
  <c r="B673" i="1"/>
  <c r="C673" i="1"/>
  <c r="D673" i="1"/>
  <c r="E673" i="1"/>
  <c r="F673" i="1"/>
  <c r="G673" i="1"/>
  <c r="H673" i="1"/>
  <c r="K673" i="1"/>
  <c r="L673" i="1"/>
  <c r="A674" i="1"/>
  <c r="B674" i="1"/>
  <c r="C674" i="1"/>
  <c r="D674" i="1"/>
  <c r="E674" i="1"/>
  <c r="F674" i="1"/>
  <c r="G674" i="1"/>
  <c r="H674" i="1"/>
  <c r="K674" i="1"/>
  <c r="L674" i="1"/>
  <c r="A675" i="1"/>
  <c r="B675" i="1"/>
  <c r="C675" i="1"/>
  <c r="D675" i="1"/>
  <c r="E675" i="1"/>
  <c r="F675" i="1"/>
  <c r="G675" i="1"/>
  <c r="H675" i="1"/>
  <c r="K675" i="1"/>
  <c r="L675" i="1"/>
  <c r="A676" i="1"/>
  <c r="B676" i="1"/>
  <c r="C676" i="1"/>
  <c r="D676" i="1"/>
  <c r="E676" i="1"/>
  <c r="F676" i="1"/>
  <c r="G676" i="1"/>
  <c r="H676" i="1"/>
  <c r="K676" i="1"/>
  <c r="L676" i="1"/>
  <c r="A677" i="1"/>
  <c r="B677" i="1"/>
  <c r="C677" i="1"/>
  <c r="D677" i="1"/>
  <c r="E677" i="1"/>
  <c r="F677" i="1"/>
  <c r="G677" i="1"/>
  <c r="H677" i="1"/>
  <c r="K677" i="1"/>
  <c r="L677" i="1"/>
  <c r="A678" i="1"/>
  <c r="B678" i="1"/>
  <c r="C678" i="1"/>
  <c r="D678" i="1"/>
  <c r="E678" i="1"/>
  <c r="F678" i="1"/>
  <c r="G678" i="1"/>
  <c r="H678" i="1"/>
  <c r="K678" i="1"/>
  <c r="L678" i="1"/>
  <c r="A679" i="1"/>
  <c r="B679" i="1"/>
  <c r="C679" i="1"/>
  <c r="D679" i="1"/>
  <c r="E679" i="1"/>
  <c r="F679" i="1"/>
  <c r="G679" i="1"/>
  <c r="H679" i="1"/>
  <c r="K679" i="1"/>
  <c r="L679" i="1"/>
  <c r="A680" i="1"/>
  <c r="B680" i="1"/>
  <c r="C680" i="1"/>
  <c r="D680" i="1"/>
  <c r="E680" i="1"/>
  <c r="F680" i="1"/>
  <c r="G680" i="1"/>
  <c r="H680" i="1"/>
  <c r="K680" i="1"/>
  <c r="L680" i="1"/>
  <c r="A681" i="1"/>
  <c r="B681" i="1"/>
  <c r="C681" i="1"/>
  <c r="D681" i="1"/>
  <c r="E681" i="1"/>
  <c r="F681" i="1"/>
  <c r="G681" i="1"/>
  <c r="H681" i="1"/>
  <c r="K681" i="1"/>
  <c r="L681" i="1"/>
  <c r="A682" i="1"/>
  <c r="B682" i="1"/>
  <c r="C682" i="1"/>
  <c r="D682" i="1"/>
  <c r="E682" i="1"/>
  <c r="F682" i="1"/>
  <c r="G682" i="1"/>
  <c r="H682" i="1"/>
  <c r="K682" i="1"/>
  <c r="L682" i="1"/>
  <c r="A683" i="1"/>
  <c r="B683" i="1"/>
  <c r="C683" i="1"/>
  <c r="D683" i="1"/>
  <c r="E683" i="1"/>
  <c r="F683" i="1"/>
  <c r="G683" i="1"/>
  <c r="H683" i="1"/>
  <c r="K683" i="1"/>
  <c r="L683" i="1"/>
  <c r="A684" i="1"/>
  <c r="B684" i="1"/>
  <c r="C684" i="1"/>
  <c r="D684" i="1"/>
  <c r="E684" i="1"/>
  <c r="F684" i="1"/>
  <c r="G684" i="1"/>
  <c r="H684" i="1"/>
  <c r="K684" i="1"/>
  <c r="L684" i="1"/>
  <c r="A685" i="1"/>
  <c r="B685" i="1"/>
  <c r="C685" i="1"/>
  <c r="D685" i="1"/>
  <c r="E685" i="1"/>
  <c r="F685" i="1"/>
  <c r="G685" i="1"/>
  <c r="H685" i="1"/>
  <c r="K685" i="1"/>
  <c r="L685" i="1"/>
  <c r="A686" i="1"/>
  <c r="B686" i="1"/>
  <c r="C686" i="1"/>
  <c r="D686" i="1"/>
  <c r="E686" i="1"/>
  <c r="F686" i="1"/>
  <c r="G686" i="1"/>
  <c r="H686" i="1"/>
  <c r="K686" i="1"/>
  <c r="L686" i="1"/>
  <c r="A687" i="1"/>
  <c r="B687" i="1"/>
  <c r="C687" i="1"/>
  <c r="D687" i="1"/>
  <c r="E687" i="1"/>
  <c r="F687" i="1"/>
  <c r="G687" i="1"/>
  <c r="H687" i="1"/>
  <c r="K687" i="1"/>
  <c r="L687" i="1"/>
  <c r="A688" i="1"/>
  <c r="B688" i="1"/>
  <c r="C688" i="1"/>
  <c r="D688" i="1"/>
  <c r="E688" i="1"/>
  <c r="F688" i="1"/>
  <c r="G688" i="1"/>
  <c r="H688" i="1"/>
  <c r="K688" i="1"/>
  <c r="L688" i="1"/>
  <c r="A689" i="1"/>
  <c r="B689" i="1"/>
  <c r="C689" i="1"/>
  <c r="D689" i="1"/>
  <c r="E689" i="1"/>
  <c r="F689" i="1"/>
  <c r="G689" i="1"/>
  <c r="H689" i="1"/>
  <c r="K689" i="1"/>
  <c r="L689" i="1"/>
  <c r="A690" i="1"/>
  <c r="B690" i="1"/>
  <c r="C690" i="1"/>
  <c r="D690" i="1"/>
  <c r="E690" i="1"/>
  <c r="F690" i="1"/>
  <c r="G690" i="1"/>
  <c r="H690" i="1"/>
  <c r="K690" i="1"/>
  <c r="L690" i="1"/>
  <c r="A691" i="1"/>
  <c r="B691" i="1"/>
  <c r="C691" i="1"/>
  <c r="D691" i="1"/>
  <c r="E691" i="1"/>
  <c r="F691" i="1"/>
  <c r="G691" i="1"/>
  <c r="H691" i="1"/>
  <c r="K691" i="1"/>
  <c r="L691" i="1"/>
  <c r="A692" i="1"/>
  <c r="B692" i="1"/>
  <c r="C692" i="1"/>
  <c r="D692" i="1"/>
  <c r="E692" i="1"/>
  <c r="F692" i="1"/>
  <c r="G692" i="1"/>
  <c r="H692" i="1"/>
  <c r="K692" i="1"/>
  <c r="L692" i="1"/>
  <c r="A693" i="1"/>
  <c r="B693" i="1"/>
  <c r="C693" i="1"/>
  <c r="D693" i="1"/>
  <c r="E693" i="1"/>
  <c r="F693" i="1"/>
  <c r="G693" i="1"/>
  <c r="H693" i="1"/>
  <c r="K693" i="1"/>
  <c r="L693" i="1"/>
  <c r="A694" i="1"/>
  <c r="B694" i="1"/>
  <c r="C694" i="1"/>
  <c r="D694" i="1"/>
  <c r="E694" i="1"/>
  <c r="F694" i="1"/>
  <c r="G694" i="1"/>
  <c r="H694" i="1"/>
  <c r="K694" i="1"/>
  <c r="L694" i="1"/>
  <c r="A695" i="1"/>
  <c r="B695" i="1"/>
  <c r="C695" i="1"/>
  <c r="D695" i="1"/>
  <c r="E695" i="1"/>
  <c r="F695" i="1"/>
  <c r="G695" i="1"/>
  <c r="H695" i="1"/>
  <c r="K695" i="1"/>
  <c r="L695" i="1"/>
  <c r="A696" i="1"/>
  <c r="B696" i="1"/>
  <c r="C696" i="1"/>
  <c r="D696" i="1"/>
  <c r="E696" i="1"/>
  <c r="F696" i="1"/>
  <c r="G696" i="1"/>
  <c r="H696" i="1"/>
  <c r="K696" i="1"/>
  <c r="L696" i="1"/>
  <c r="A697" i="1"/>
  <c r="B697" i="1"/>
  <c r="C697" i="1"/>
  <c r="D697" i="1"/>
  <c r="E697" i="1"/>
  <c r="F697" i="1"/>
  <c r="G697" i="1"/>
  <c r="H697" i="1"/>
  <c r="K697" i="1"/>
  <c r="L697" i="1"/>
  <c r="A698" i="1"/>
  <c r="B698" i="1"/>
  <c r="C698" i="1"/>
  <c r="D698" i="1"/>
  <c r="E698" i="1"/>
  <c r="F698" i="1"/>
  <c r="G698" i="1"/>
  <c r="H698" i="1"/>
  <c r="K698" i="1"/>
  <c r="L698" i="1"/>
  <c r="A699" i="1"/>
  <c r="B699" i="1"/>
  <c r="C699" i="1"/>
  <c r="D699" i="1"/>
  <c r="E699" i="1"/>
  <c r="F699" i="1"/>
  <c r="G699" i="1"/>
  <c r="H699" i="1"/>
  <c r="K699" i="1"/>
  <c r="L699" i="1"/>
  <c r="A700" i="1"/>
  <c r="B700" i="1"/>
  <c r="C700" i="1"/>
  <c r="D700" i="1"/>
  <c r="E700" i="1"/>
  <c r="F700" i="1"/>
  <c r="G700" i="1"/>
  <c r="H700" i="1"/>
  <c r="K700" i="1"/>
  <c r="L700" i="1"/>
  <c r="A701" i="1"/>
  <c r="B701" i="1"/>
  <c r="C701" i="1"/>
  <c r="D701" i="1"/>
  <c r="E701" i="1"/>
  <c r="F701" i="1"/>
  <c r="G701" i="1"/>
  <c r="H701" i="1"/>
  <c r="K701" i="1"/>
  <c r="L701" i="1"/>
  <c r="A702" i="1"/>
  <c r="B702" i="1"/>
  <c r="C702" i="1"/>
  <c r="D702" i="1"/>
  <c r="E702" i="1"/>
  <c r="F702" i="1"/>
  <c r="G702" i="1"/>
  <c r="H702" i="1"/>
  <c r="K702" i="1"/>
  <c r="L702" i="1"/>
  <c r="A703" i="1"/>
  <c r="B703" i="1"/>
  <c r="C703" i="1"/>
  <c r="D703" i="1"/>
  <c r="E703" i="1"/>
  <c r="F703" i="1"/>
  <c r="G703" i="1"/>
  <c r="H703" i="1"/>
  <c r="K703" i="1"/>
  <c r="L703" i="1"/>
  <c r="A704" i="1"/>
  <c r="B704" i="1"/>
  <c r="C704" i="1"/>
  <c r="D704" i="1"/>
  <c r="E704" i="1"/>
  <c r="F704" i="1"/>
  <c r="G704" i="1"/>
  <c r="H704" i="1"/>
  <c r="K704" i="1"/>
  <c r="L704" i="1"/>
  <c r="A705" i="1"/>
  <c r="B705" i="1"/>
  <c r="C705" i="1"/>
  <c r="D705" i="1"/>
  <c r="E705" i="1"/>
  <c r="F705" i="1"/>
  <c r="G705" i="1"/>
  <c r="H705" i="1"/>
  <c r="K705" i="1"/>
  <c r="L705" i="1"/>
  <c r="A706" i="1"/>
  <c r="B706" i="1"/>
  <c r="C706" i="1"/>
  <c r="D706" i="1"/>
  <c r="E706" i="1"/>
  <c r="F706" i="1"/>
  <c r="G706" i="1"/>
  <c r="H706" i="1"/>
  <c r="K706" i="1"/>
  <c r="L706" i="1"/>
  <c r="A707" i="1"/>
  <c r="B707" i="1"/>
  <c r="C707" i="1"/>
  <c r="D707" i="1"/>
  <c r="E707" i="1"/>
  <c r="F707" i="1"/>
  <c r="G707" i="1"/>
  <c r="H707" i="1"/>
  <c r="K707" i="1"/>
  <c r="L707" i="1"/>
  <c r="A708" i="1"/>
  <c r="B708" i="1"/>
  <c r="C708" i="1"/>
  <c r="D708" i="1"/>
  <c r="E708" i="1"/>
  <c r="F708" i="1"/>
  <c r="G708" i="1"/>
  <c r="H708" i="1"/>
  <c r="K708" i="1"/>
  <c r="L708" i="1"/>
  <c r="A709" i="1"/>
  <c r="B709" i="1"/>
  <c r="C709" i="1"/>
  <c r="D709" i="1"/>
  <c r="E709" i="1"/>
  <c r="F709" i="1"/>
  <c r="G709" i="1"/>
  <c r="H709" i="1"/>
  <c r="K709" i="1"/>
  <c r="L709" i="1"/>
  <c r="A710" i="1"/>
  <c r="B710" i="1"/>
  <c r="C710" i="1"/>
  <c r="D710" i="1"/>
  <c r="E710" i="1"/>
  <c r="F710" i="1"/>
  <c r="G710" i="1"/>
  <c r="H710" i="1"/>
  <c r="K710" i="1"/>
  <c r="L710" i="1"/>
  <c r="A711" i="1"/>
  <c r="B711" i="1"/>
  <c r="C711" i="1"/>
  <c r="D711" i="1"/>
  <c r="E711" i="1"/>
  <c r="F711" i="1"/>
  <c r="G711" i="1"/>
  <c r="H711" i="1"/>
  <c r="K711" i="1"/>
  <c r="L711" i="1"/>
  <c r="A712" i="1"/>
  <c r="B712" i="1"/>
  <c r="C712" i="1"/>
  <c r="D712" i="1"/>
  <c r="E712" i="1"/>
  <c r="F712" i="1"/>
  <c r="G712" i="1"/>
  <c r="H712" i="1"/>
  <c r="K712" i="1"/>
  <c r="L712" i="1"/>
  <c r="A713" i="1"/>
  <c r="B713" i="1"/>
  <c r="C713" i="1"/>
  <c r="D713" i="1"/>
  <c r="E713" i="1"/>
  <c r="F713" i="1"/>
  <c r="G713" i="1"/>
  <c r="H713" i="1"/>
  <c r="K713" i="1"/>
  <c r="L713" i="1"/>
  <c r="A714" i="1"/>
  <c r="B714" i="1"/>
  <c r="C714" i="1"/>
  <c r="D714" i="1"/>
  <c r="E714" i="1"/>
  <c r="F714" i="1"/>
  <c r="G714" i="1"/>
  <c r="H714" i="1"/>
  <c r="K714" i="1"/>
  <c r="L714" i="1"/>
  <c r="A715" i="1"/>
  <c r="B715" i="1"/>
  <c r="C715" i="1"/>
  <c r="D715" i="1"/>
  <c r="E715" i="1"/>
  <c r="F715" i="1"/>
  <c r="G715" i="1"/>
  <c r="H715" i="1"/>
  <c r="K715" i="1"/>
  <c r="L715" i="1"/>
  <c r="A716" i="1"/>
  <c r="B716" i="1"/>
  <c r="C716" i="1"/>
  <c r="D716" i="1"/>
  <c r="E716" i="1"/>
  <c r="F716" i="1"/>
  <c r="G716" i="1"/>
  <c r="H716" i="1"/>
  <c r="K716" i="1"/>
  <c r="L716" i="1"/>
  <c r="A717" i="1"/>
  <c r="B717" i="1"/>
  <c r="C717" i="1"/>
  <c r="D717" i="1"/>
  <c r="E717" i="1"/>
  <c r="F717" i="1"/>
  <c r="G717" i="1"/>
  <c r="H717" i="1"/>
  <c r="K717" i="1"/>
  <c r="L717" i="1"/>
  <c r="A718" i="1"/>
  <c r="B718" i="1"/>
  <c r="C718" i="1"/>
  <c r="D718" i="1"/>
  <c r="E718" i="1"/>
  <c r="F718" i="1"/>
  <c r="G718" i="1"/>
  <c r="H718" i="1"/>
  <c r="K718" i="1"/>
  <c r="L718" i="1"/>
  <c r="A719" i="1"/>
  <c r="B719" i="1"/>
  <c r="C719" i="1"/>
  <c r="D719" i="1"/>
  <c r="E719" i="1"/>
  <c r="F719" i="1"/>
  <c r="G719" i="1"/>
  <c r="H719" i="1"/>
  <c r="K719" i="1"/>
  <c r="L719" i="1"/>
  <c r="A720" i="1"/>
  <c r="B720" i="1"/>
  <c r="C720" i="1"/>
  <c r="D720" i="1"/>
  <c r="E720" i="1"/>
  <c r="F720" i="1"/>
  <c r="G720" i="1"/>
  <c r="H720" i="1"/>
  <c r="K720" i="1"/>
  <c r="L720" i="1"/>
  <c r="A721" i="1"/>
  <c r="B721" i="1"/>
  <c r="C721" i="1"/>
  <c r="D721" i="1"/>
  <c r="E721" i="1"/>
  <c r="F721" i="1"/>
  <c r="G721" i="1"/>
  <c r="H721" i="1"/>
  <c r="K721" i="1"/>
  <c r="L721" i="1"/>
  <c r="A722" i="1"/>
  <c r="B722" i="1"/>
  <c r="C722" i="1"/>
  <c r="D722" i="1"/>
  <c r="E722" i="1"/>
  <c r="F722" i="1"/>
  <c r="G722" i="1"/>
  <c r="H722" i="1"/>
  <c r="K722" i="1"/>
  <c r="L722" i="1"/>
  <c r="A723" i="1"/>
  <c r="B723" i="1"/>
  <c r="C723" i="1"/>
  <c r="D723" i="1"/>
  <c r="E723" i="1"/>
  <c r="F723" i="1"/>
  <c r="G723" i="1"/>
  <c r="H723" i="1"/>
  <c r="K723" i="1"/>
  <c r="L723" i="1"/>
  <c r="A724" i="1"/>
  <c r="B724" i="1"/>
  <c r="C724" i="1"/>
  <c r="D724" i="1"/>
  <c r="E724" i="1"/>
  <c r="F724" i="1"/>
  <c r="G724" i="1"/>
  <c r="H724" i="1"/>
  <c r="K724" i="1"/>
  <c r="L724" i="1"/>
  <c r="A725" i="1"/>
  <c r="B725" i="1"/>
  <c r="C725" i="1"/>
  <c r="D725" i="1"/>
  <c r="E725" i="1"/>
  <c r="F725" i="1"/>
  <c r="G725" i="1"/>
  <c r="H725" i="1"/>
  <c r="K725" i="1"/>
  <c r="L725" i="1"/>
  <c r="A726" i="1"/>
  <c r="B726" i="1"/>
  <c r="C726" i="1"/>
  <c r="D726" i="1"/>
  <c r="E726" i="1"/>
  <c r="F726" i="1"/>
  <c r="G726" i="1"/>
  <c r="H726" i="1"/>
  <c r="K726" i="1"/>
  <c r="L726" i="1"/>
  <c r="A727" i="1"/>
  <c r="B727" i="1"/>
  <c r="C727" i="1"/>
  <c r="D727" i="1"/>
  <c r="E727" i="1"/>
  <c r="F727" i="1"/>
  <c r="G727" i="1"/>
  <c r="H727" i="1"/>
  <c r="K727" i="1"/>
  <c r="L727" i="1"/>
  <c r="A728" i="1"/>
  <c r="B728" i="1"/>
  <c r="C728" i="1"/>
  <c r="D728" i="1"/>
  <c r="E728" i="1"/>
  <c r="F728" i="1"/>
  <c r="G728" i="1"/>
  <c r="H728" i="1"/>
  <c r="K728" i="1"/>
  <c r="L728" i="1"/>
  <c r="A729" i="1"/>
  <c r="B729" i="1"/>
  <c r="C729" i="1"/>
  <c r="D729" i="1"/>
  <c r="E729" i="1"/>
  <c r="F729" i="1"/>
  <c r="G729" i="1"/>
  <c r="H729" i="1"/>
  <c r="K729" i="1"/>
  <c r="L729" i="1"/>
  <c r="A730" i="1"/>
  <c r="B730" i="1"/>
  <c r="C730" i="1"/>
  <c r="D730" i="1"/>
  <c r="E730" i="1"/>
  <c r="F730" i="1"/>
  <c r="G730" i="1"/>
  <c r="H730" i="1"/>
  <c r="K730" i="1"/>
  <c r="L730" i="1"/>
  <c r="A731" i="1"/>
  <c r="B731" i="1"/>
  <c r="C731" i="1"/>
  <c r="D731" i="1"/>
  <c r="E731" i="1"/>
  <c r="F731" i="1"/>
  <c r="G731" i="1"/>
  <c r="H731" i="1"/>
  <c r="K731" i="1"/>
  <c r="L731" i="1"/>
  <c r="A732" i="1"/>
  <c r="B732" i="1"/>
  <c r="C732" i="1"/>
  <c r="D732" i="1"/>
  <c r="E732" i="1"/>
  <c r="F732" i="1"/>
  <c r="G732" i="1"/>
  <c r="H732" i="1"/>
  <c r="K732" i="1"/>
  <c r="L732" i="1"/>
  <c r="A733" i="1"/>
  <c r="B733" i="1"/>
  <c r="C733" i="1"/>
  <c r="D733" i="1"/>
  <c r="E733" i="1"/>
  <c r="F733" i="1"/>
  <c r="G733" i="1"/>
  <c r="H733" i="1"/>
  <c r="K733" i="1"/>
  <c r="L733" i="1"/>
  <c r="A734" i="1"/>
  <c r="B734" i="1"/>
  <c r="C734" i="1"/>
  <c r="D734" i="1"/>
  <c r="E734" i="1"/>
  <c r="F734" i="1"/>
  <c r="G734" i="1"/>
  <c r="H734" i="1"/>
  <c r="I734" i="1" s="1"/>
  <c r="K734" i="1"/>
  <c r="L734" i="1"/>
  <c r="A735" i="1"/>
  <c r="B735" i="1"/>
  <c r="C735" i="1"/>
  <c r="D735" i="1"/>
  <c r="E735" i="1"/>
  <c r="F735" i="1"/>
  <c r="G735" i="1"/>
  <c r="H735" i="1"/>
  <c r="K735" i="1"/>
  <c r="L735" i="1"/>
  <c r="A736" i="1"/>
  <c r="B736" i="1"/>
  <c r="C736" i="1"/>
  <c r="D736" i="1"/>
  <c r="E736" i="1"/>
  <c r="F736" i="1"/>
  <c r="G736" i="1"/>
  <c r="H736" i="1"/>
  <c r="K736" i="1"/>
  <c r="L736" i="1"/>
  <c r="A737" i="1"/>
  <c r="B737" i="1"/>
  <c r="C737" i="1"/>
  <c r="D737" i="1"/>
  <c r="E737" i="1"/>
  <c r="F737" i="1"/>
  <c r="G737" i="1"/>
  <c r="H737" i="1"/>
  <c r="K737" i="1"/>
  <c r="L737" i="1"/>
  <c r="A738" i="1"/>
  <c r="B738" i="1"/>
  <c r="C738" i="1"/>
  <c r="D738" i="1"/>
  <c r="E738" i="1"/>
  <c r="F738" i="1"/>
  <c r="G738" i="1"/>
  <c r="H738" i="1"/>
  <c r="K738" i="1"/>
  <c r="L738" i="1"/>
  <c r="A739" i="1"/>
  <c r="B739" i="1"/>
  <c r="C739" i="1"/>
  <c r="D739" i="1"/>
  <c r="E739" i="1"/>
  <c r="F739" i="1"/>
  <c r="G739" i="1"/>
  <c r="H739" i="1"/>
  <c r="K739" i="1"/>
  <c r="L739" i="1"/>
  <c r="A740" i="1"/>
  <c r="B740" i="1"/>
  <c r="C740" i="1"/>
  <c r="D740" i="1"/>
  <c r="E740" i="1"/>
  <c r="F740" i="1"/>
  <c r="G740" i="1"/>
  <c r="H740" i="1"/>
  <c r="I740" i="1" s="1"/>
  <c r="K740" i="1"/>
  <c r="L740" i="1"/>
  <c r="A741" i="1"/>
  <c r="B741" i="1"/>
  <c r="C741" i="1"/>
  <c r="D741" i="1"/>
  <c r="E741" i="1"/>
  <c r="F741" i="1"/>
  <c r="G741" i="1"/>
  <c r="H741" i="1"/>
  <c r="K741" i="1"/>
  <c r="L741" i="1"/>
  <c r="A742" i="1"/>
  <c r="B742" i="1"/>
  <c r="C742" i="1"/>
  <c r="D742" i="1"/>
  <c r="E742" i="1"/>
  <c r="F742" i="1"/>
  <c r="G742" i="1"/>
  <c r="H742" i="1"/>
  <c r="K742" i="1"/>
  <c r="L742" i="1"/>
  <c r="A743" i="1"/>
  <c r="B743" i="1"/>
  <c r="C743" i="1"/>
  <c r="D743" i="1"/>
  <c r="E743" i="1"/>
  <c r="F743" i="1"/>
  <c r="G743" i="1"/>
  <c r="H743" i="1"/>
  <c r="K743" i="1"/>
  <c r="L743" i="1"/>
  <c r="A744" i="1"/>
  <c r="B744" i="1"/>
  <c r="C744" i="1"/>
  <c r="D744" i="1"/>
  <c r="E744" i="1"/>
  <c r="F744" i="1"/>
  <c r="G744" i="1"/>
  <c r="H744" i="1"/>
  <c r="K744" i="1"/>
  <c r="L744" i="1"/>
  <c r="A745" i="1"/>
  <c r="B745" i="1"/>
  <c r="C745" i="1"/>
  <c r="D745" i="1"/>
  <c r="E745" i="1"/>
  <c r="F745" i="1"/>
  <c r="G745" i="1"/>
  <c r="H745" i="1"/>
  <c r="K745" i="1"/>
  <c r="L745" i="1"/>
  <c r="A746" i="1"/>
  <c r="B746" i="1"/>
  <c r="C746" i="1"/>
  <c r="D746" i="1"/>
  <c r="E746" i="1"/>
  <c r="F746" i="1"/>
  <c r="G746" i="1"/>
  <c r="H746" i="1"/>
  <c r="K746" i="1"/>
  <c r="L746" i="1"/>
  <c r="A747" i="1"/>
  <c r="B747" i="1"/>
  <c r="C747" i="1"/>
  <c r="D747" i="1"/>
  <c r="E747" i="1"/>
  <c r="F747" i="1"/>
  <c r="G747" i="1"/>
  <c r="H747" i="1"/>
  <c r="K747" i="1"/>
  <c r="L747" i="1"/>
  <c r="A748" i="1"/>
  <c r="B748" i="1"/>
  <c r="C748" i="1"/>
  <c r="D748" i="1"/>
  <c r="E748" i="1"/>
  <c r="F748" i="1"/>
  <c r="G748" i="1"/>
  <c r="H748" i="1"/>
  <c r="K748" i="1"/>
  <c r="L748" i="1"/>
  <c r="A749" i="1"/>
  <c r="B749" i="1"/>
  <c r="C749" i="1"/>
  <c r="D749" i="1"/>
  <c r="E749" i="1"/>
  <c r="F749" i="1"/>
  <c r="G749" i="1"/>
  <c r="H749" i="1"/>
  <c r="K749" i="1"/>
  <c r="L749" i="1"/>
  <c r="A750" i="1"/>
  <c r="B750" i="1"/>
  <c r="C750" i="1"/>
  <c r="D750" i="1"/>
  <c r="E750" i="1"/>
  <c r="F750" i="1"/>
  <c r="G750" i="1"/>
  <c r="H750" i="1"/>
  <c r="K750" i="1"/>
  <c r="L750" i="1"/>
  <c r="M750" i="1" s="1"/>
  <c r="A751" i="1"/>
  <c r="B751" i="1"/>
  <c r="C751" i="1"/>
  <c r="D751" i="1"/>
  <c r="E751" i="1"/>
  <c r="F751" i="1"/>
  <c r="G751" i="1"/>
  <c r="H751" i="1"/>
  <c r="K751" i="1"/>
  <c r="L751" i="1"/>
  <c r="A752" i="1"/>
  <c r="B752" i="1"/>
  <c r="C752" i="1"/>
  <c r="D752" i="1"/>
  <c r="E752" i="1"/>
  <c r="F752" i="1"/>
  <c r="G752" i="1"/>
  <c r="H752" i="1"/>
  <c r="K752" i="1"/>
  <c r="L752" i="1"/>
  <c r="A753" i="1"/>
  <c r="B753" i="1"/>
  <c r="C753" i="1"/>
  <c r="D753" i="1"/>
  <c r="E753" i="1"/>
  <c r="F753" i="1"/>
  <c r="G753" i="1"/>
  <c r="H753" i="1"/>
  <c r="K753" i="1"/>
  <c r="L753" i="1"/>
  <c r="L2" i="1"/>
  <c r="K2" i="1"/>
  <c r="H2" i="1"/>
  <c r="G2" i="1"/>
  <c r="F2" i="1"/>
  <c r="E2" i="1"/>
  <c r="D2" i="1"/>
  <c r="C2" i="1"/>
  <c r="B2" i="1"/>
  <c r="A2" i="1"/>
  <c r="N103" i="1" l="1"/>
  <c r="N79" i="1"/>
  <c r="N25" i="1"/>
  <c r="I15" i="1"/>
  <c r="I9" i="1"/>
  <c r="I3" i="1"/>
  <c r="J47" i="1"/>
  <c r="N694" i="1"/>
  <c r="N530" i="1"/>
  <c r="N254" i="1"/>
  <c r="J392" i="1"/>
  <c r="J8" i="1"/>
  <c r="M612" i="1"/>
  <c r="M266" i="1"/>
  <c r="M242" i="1"/>
  <c r="I176" i="1"/>
  <c r="I170" i="1"/>
  <c r="J4" i="1"/>
  <c r="I729" i="1"/>
  <c r="I295" i="1"/>
  <c r="I281" i="1"/>
  <c r="I269" i="1"/>
  <c r="I263" i="1"/>
  <c r="I257" i="1"/>
  <c r="J227" i="1"/>
  <c r="N607" i="1"/>
  <c r="J359" i="1"/>
  <c r="N95" i="1"/>
  <c r="N71" i="1"/>
  <c r="M163" i="1"/>
  <c r="N509" i="1"/>
  <c r="N225" i="1"/>
  <c r="N227" i="1"/>
  <c r="J133" i="1"/>
  <c r="I662" i="1"/>
  <c r="I674" i="1"/>
  <c r="M585" i="1"/>
  <c r="M561" i="1"/>
  <c r="I560" i="1"/>
  <c r="N540" i="1"/>
  <c r="N534" i="1"/>
  <c r="N420" i="1"/>
  <c r="N294" i="1"/>
  <c r="M412" i="1"/>
  <c r="I279" i="1"/>
  <c r="M610" i="1"/>
  <c r="I573" i="1"/>
  <c r="I555" i="1"/>
  <c r="M719" i="1"/>
  <c r="M683" i="1"/>
  <c r="N635" i="1"/>
  <c r="M707" i="1"/>
  <c r="M677" i="1"/>
  <c r="N614" i="1"/>
  <c r="M618" i="1"/>
  <c r="J610" i="1"/>
  <c r="I346" i="1"/>
  <c r="M305" i="1"/>
  <c r="I292" i="1"/>
  <c r="I359" i="1"/>
  <c r="N309" i="1"/>
  <c r="N75" i="1"/>
  <c r="N30" i="1"/>
  <c r="I612" i="1"/>
  <c r="N109" i="1"/>
  <c r="J686" i="1"/>
  <c r="M732" i="1"/>
  <c r="I731" i="1"/>
  <c r="I616" i="1"/>
  <c r="M580" i="1"/>
  <c r="I579" i="1"/>
  <c r="I446" i="1"/>
  <c r="J426" i="1"/>
  <c r="I410" i="1"/>
  <c r="M8" i="1"/>
  <c r="M267" i="1"/>
  <c r="I266" i="1"/>
  <c r="N105" i="1"/>
  <c r="M745" i="1"/>
  <c r="J742" i="1"/>
  <c r="I708" i="1"/>
  <c r="M697" i="1"/>
  <c r="M673" i="1"/>
  <c r="N608" i="1"/>
  <c r="I586" i="1"/>
  <c r="I580" i="1"/>
  <c r="I339" i="1"/>
  <c r="M196" i="1"/>
  <c r="J192" i="1"/>
  <c r="M190" i="1"/>
  <c r="I189" i="1"/>
  <c r="M184" i="1"/>
  <c r="J174" i="1"/>
  <c r="I153" i="1"/>
  <c r="J150" i="1"/>
  <c r="I141" i="1"/>
  <c r="I135" i="1"/>
  <c r="M262" i="1"/>
  <c r="I255" i="1"/>
  <c r="M746" i="1"/>
  <c r="I733" i="1"/>
  <c r="I709" i="1"/>
  <c r="I514" i="1"/>
  <c r="I376" i="1"/>
  <c r="I364" i="1"/>
  <c r="M359" i="1"/>
  <c r="M125" i="1"/>
  <c r="J109" i="1"/>
  <c r="J278" i="1"/>
  <c r="N236" i="1"/>
  <c r="N224" i="1"/>
  <c r="J659" i="1"/>
  <c r="I582" i="1"/>
  <c r="M474" i="1"/>
  <c r="M450" i="1"/>
  <c r="I449" i="1"/>
  <c r="N128" i="1"/>
  <c r="I119" i="1"/>
  <c r="M730" i="1"/>
  <c r="I577" i="1"/>
  <c r="I565" i="1"/>
  <c r="M391" i="1"/>
  <c r="I372" i="1"/>
  <c r="I366" i="1"/>
  <c r="J358" i="1"/>
  <c r="I354" i="1"/>
  <c r="I342" i="1"/>
  <c r="N334" i="1"/>
  <c r="N328" i="1"/>
  <c r="I324" i="1"/>
  <c r="M295" i="1"/>
  <c r="I288" i="1"/>
  <c r="I282" i="1"/>
  <c r="N57" i="1"/>
  <c r="J51" i="1"/>
  <c r="J33" i="1"/>
  <c r="J3" i="1"/>
  <c r="I748" i="1"/>
  <c r="M743" i="1"/>
  <c r="I730" i="1"/>
  <c r="I664" i="1"/>
  <c r="M512" i="1"/>
  <c r="M482" i="1"/>
  <c r="I481" i="1"/>
  <c r="I451" i="1"/>
  <c r="M428" i="1"/>
  <c r="M362" i="1"/>
  <c r="I127" i="1"/>
  <c r="M122" i="1"/>
  <c r="I121" i="1"/>
  <c r="J100" i="1"/>
  <c r="M748" i="1"/>
  <c r="I720" i="1"/>
  <c r="M679" i="1"/>
  <c r="I672" i="1"/>
  <c r="I635" i="1"/>
  <c r="M630" i="1"/>
  <c r="I530" i="1"/>
  <c r="J516" i="1"/>
  <c r="I512" i="1"/>
  <c r="M459" i="1"/>
  <c r="J455" i="1"/>
  <c r="M411" i="1"/>
  <c r="N404" i="1"/>
  <c r="I313" i="1"/>
  <c r="I246" i="1"/>
  <c r="N164" i="1"/>
  <c r="I155" i="1"/>
  <c r="N107" i="1"/>
  <c r="N104" i="1"/>
  <c r="J103" i="1"/>
  <c r="M76" i="1"/>
  <c r="J31" i="1"/>
  <c r="J23" i="1"/>
  <c r="N17" i="1"/>
  <c r="I747" i="1"/>
  <c r="I735" i="1"/>
  <c r="I727" i="1"/>
  <c r="N625" i="1"/>
  <c r="N535" i="1"/>
  <c r="J529" i="1"/>
  <c r="N402" i="1"/>
  <c r="N383" i="1"/>
  <c r="I222" i="1"/>
  <c r="M151" i="1"/>
  <c r="M145" i="1"/>
  <c r="I144" i="1"/>
  <c r="M139" i="1"/>
  <c r="I138" i="1"/>
  <c r="I107" i="1"/>
  <c r="N70" i="1"/>
  <c r="J50" i="1"/>
  <c r="N36" i="1"/>
  <c r="N33" i="1"/>
  <c r="N751" i="1"/>
  <c r="N725" i="1"/>
  <c r="M722" i="1"/>
  <c r="J713" i="1"/>
  <c r="J707" i="1"/>
  <c r="M692" i="1"/>
  <c r="M686" i="1"/>
  <c r="N652" i="1"/>
  <c r="M737" i="1"/>
  <c r="I710" i="1"/>
  <c r="J695" i="1"/>
  <c r="M662" i="1"/>
  <c r="I655" i="1"/>
  <c r="I649" i="1"/>
  <c r="I625" i="1"/>
  <c r="J584" i="1"/>
  <c r="I581" i="1"/>
  <c r="J554" i="1"/>
  <c r="M527" i="1"/>
  <c r="M521" i="1"/>
  <c r="I508" i="1"/>
  <c r="I453" i="1"/>
  <c r="M442" i="1"/>
  <c r="M436" i="1"/>
  <c r="M424" i="1"/>
  <c r="J421" i="1"/>
  <c r="N412" i="1"/>
  <c r="I356" i="1"/>
  <c r="M345" i="1"/>
  <c r="I326" i="1"/>
  <c r="J282" i="1"/>
  <c r="M322" i="1"/>
  <c r="I315" i="1"/>
  <c r="M212" i="1"/>
  <c r="I199" i="1"/>
  <c r="J132" i="1"/>
  <c r="J728" i="1"/>
  <c r="N726" i="1"/>
  <c r="N666" i="1"/>
  <c r="N598" i="1"/>
  <c r="J579" i="1"/>
  <c r="N567" i="1"/>
  <c r="I454" i="1"/>
  <c r="M449" i="1"/>
  <c r="I448" i="1"/>
  <c r="M431" i="1"/>
  <c r="J422" i="1"/>
  <c r="I375" i="1"/>
  <c r="I363" i="1"/>
  <c r="M352" i="1"/>
  <c r="N200" i="1"/>
  <c r="J179" i="1"/>
  <c r="N176" i="1"/>
  <c r="N173" i="1"/>
  <c r="N161" i="1"/>
  <c r="N140" i="1"/>
  <c r="N137" i="1"/>
  <c r="N720" i="1"/>
  <c r="I743" i="1"/>
  <c r="N735" i="1"/>
  <c r="N691" i="1"/>
  <c r="J685" i="1"/>
  <c r="J681" i="1"/>
  <c r="N660" i="1"/>
  <c r="M651" i="1"/>
  <c r="J618" i="1"/>
  <c r="I614" i="1"/>
  <c r="N611" i="1"/>
  <c r="I455" i="1"/>
  <c r="M407" i="1"/>
  <c r="M268" i="1"/>
  <c r="I212" i="1"/>
  <c r="M201" i="1"/>
  <c r="M159" i="1"/>
  <c r="I103" i="1"/>
  <c r="N100" i="1"/>
  <c r="M79" i="1"/>
  <c r="M73" i="1"/>
  <c r="J32" i="1"/>
  <c r="I744" i="1"/>
  <c r="I676" i="1"/>
  <c r="N605" i="1"/>
  <c r="N599" i="1"/>
  <c r="M578" i="1"/>
  <c r="J574" i="1"/>
  <c r="I534" i="1"/>
  <c r="J453" i="1"/>
  <c r="J423" i="1"/>
  <c r="N332" i="1"/>
  <c r="M269" i="1"/>
  <c r="N198" i="1"/>
  <c r="N174" i="1"/>
  <c r="J168" i="1"/>
  <c r="N153" i="1"/>
  <c r="M129" i="1"/>
  <c r="M117" i="1"/>
  <c r="M111" i="1"/>
  <c r="I110" i="1"/>
  <c r="I47" i="1"/>
  <c r="I41" i="1"/>
  <c r="I35" i="1"/>
  <c r="I739" i="1"/>
  <c r="I732" i="1"/>
  <c r="M720" i="1"/>
  <c r="M684" i="1"/>
  <c r="M672" i="1"/>
  <c r="M666" i="1"/>
  <c r="I658" i="1"/>
  <c r="M647" i="1"/>
  <c r="I640" i="1"/>
  <c r="N606" i="1"/>
  <c r="I578" i="1"/>
  <c r="J569" i="1"/>
  <c r="I559" i="1"/>
  <c r="M554" i="1"/>
  <c r="J538" i="1"/>
  <c r="J508" i="1"/>
  <c r="M494" i="1"/>
  <c r="I480" i="1"/>
  <c r="I474" i="1"/>
  <c r="N387" i="1"/>
  <c r="N363" i="1"/>
  <c r="J339" i="1"/>
  <c r="M300" i="1"/>
  <c r="M251" i="1"/>
  <c r="J225" i="1"/>
  <c r="J223" i="1"/>
  <c r="J199" i="1"/>
  <c r="N52" i="1"/>
  <c r="N15" i="1"/>
  <c r="N669" i="1"/>
  <c r="J650" i="1"/>
  <c r="I463" i="1"/>
  <c r="M227" i="1"/>
  <c r="M221" i="1"/>
  <c r="I142" i="1"/>
  <c r="J117" i="1"/>
  <c r="M100" i="1"/>
  <c r="M93" i="1"/>
  <c r="N81" i="1"/>
  <c r="J59" i="1"/>
  <c r="N31" i="1"/>
  <c r="J30" i="1"/>
  <c r="I411" i="1"/>
  <c r="I690" i="1"/>
  <c r="I669" i="1"/>
  <c r="J575" i="1"/>
  <c r="N561" i="1"/>
  <c r="I545" i="1"/>
  <c r="J530" i="1"/>
  <c r="J466" i="1"/>
  <c r="J430" i="1"/>
  <c r="I405" i="1"/>
  <c r="M294" i="1"/>
  <c r="I293" i="1"/>
  <c r="M288" i="1"/>
  <c r="N261" i="1"/>
  <c r="J258" i="1"/>
  <c r="M255" i="1"/>
  <c r="I235" i="1"/>
  <c r="N193" i="1"/>
  <c r="N181" i="1"/>
  <c r="N99" i="1"/>
  <c r="M46" i="1"/>
  <c r="I45" i="1"/>
  <c r="N5" i="1"/>
  <c r="M747" i="1"/>
  <c r="M740" i="1"/>
  <c r="J674" i="1"/>
  <c r="J667" i="1"/>
  <c r="M558" i="1"/>
  <c r="M445" i="1"/>
  <c r="M439" i="1"/>
  <c r="I432" i="1"/>
  <c r="M413" i="1"/>
  <c r="J409" i="1"/>
  <c r="I362" i="1"/>
  <c r="J753" i="1"/>
  <c r="J744" i="1"/>
  <c r="M718" i="1"/>
  <c r="I717" i="1"/>
  <c r="I697" i="1"/>
  <c r="N675" i="1"/>
  <c r="I663" i="1"/>
  <c r="I643" i="1"/>
  <c r="J641" i="1"/>
  <c r="I618" i="1"/>
  <c r="I591" i="1"/>
  <c r="I564" i="1"/>
  <c r="M541" i="1"/>
  <c r="M496" i="1"/>
  <c r="M484" i="1"/>
  <c r="M440" i="1"/>
  <c r="N422" i="1"/>
  <c r="N403" i="1"/>
  <c r="M320" i="1"/>
  <c r="J304" i="1"/>
  <c r="J285" i="1"/>
  <c r="M283" i="1"/>
  <c r="M276" i="1"/>
  <c r="I248" i="1"/>
  <c r="N226" i="1"/>
  <c r="J201" i="1"/>
  <c r="J193" i="1"/>
  <c r="M191" i="1"/>
  <c r="M185" i="1"/>
  <c r="I178" i="1"/>
  <c r="I172" i="1"/>
  <c r="J162" i="1"/>
  <c r="M116" i="1"/>
  <c r="N34" i="1"/>
  <c r="N223" i="1"/>
  <c r="N194" i="1"/>
  <c r="N94" i="1"/>
  <c r="I84" i="1"/>
  <c r="J37" i="1"/>
  <c r="J25" i="1"/>
  <c r="I629" i="1"/>
  <c r="M603" i="1"/>
  <c r="M539" i="1"/>
  <c r="M501" i="1"/>
  <c r="I468" i="1"/>
  <c r="M399" i="1"/>
  <c r="J443" i="1"/>
  <c r="N431" i="1"/>
  <c r="J425" i="1"/>
  <c r="N379" i="1"/>
  <c r="J361" i="1"/>
  <c r="N745" i="1"/>
  <c r="N738" i="1"/>
  <c r="N722" i="1"/>
  <c r="M705" i="1"/>
  <c r="I698" i="1"/>
  <c r="J696" i="1"/>
  <c r="N642" i="1"/>
  <c r="I638" i="1"/>
  <c r="M633" i="1"/>
  <c r="J625" i="1"/>
  <c r="N609" i="1"/>
  <c r="N602" i="1"/>
  <c r="I592" i="1"/>
  <c r="I566" i="1"/>
  <c r="N563" i="1"/>
  <c r="N519" i="1"/>
  <c r="I502" i="1"/>
  <c r="J500" i="1"/>
  <c r="M497" i="1"/>
  <c r="I496" i="1"/>
  <c r="I420" i="1"/>
  <c r="I400" i="1"/>
  <c r="N395" i="1"/>
  <c r="I394" i="1"/>
  <c r="M328" i="1"/>
  <c r="J318" i="1"/>
  <c r="M302" i="1"/>
  <c r="M290" i="1"/>
  <c r="M284" i="1"/>
  <c r="M263" i="1"/>
  <c r="M257" i="1"/>
  <c r="N241" i="1"/>
  <c r="N238" i="1"/>
  <c r="J219" i="1"/>
  <c r="M210" i="1"/>
  <c r="N199" i="1"/>
  <c r="M174" i="1"/>
  <c r="N170" i="1"/>
  <c r="J163" i="1"/>
  <c r="J128" i="1"/>
  <c r="J126" i="1"/>
  <c r="I97" i="1"/>
  <c r="M92" i="1"/>
  <c r="I91" i="1"/>
  <c r="N76" i="1"/>
  <c r="M60" i="1"/>
  <c r="I53" i="1"/>
  <c r="J38" i="1"/>
  <c r="J34" i="1"/>
  <c r="M29" i="1"/>
  <c r="N23" i="1"/>
  <c r="I21" i="1"/>
  <c r="J670" i="1"/>
  <c r="J668" i="1"/>
  <c r="N595" i="1"/>
  <c r="N544" i="1"/>
  <c r="J357" i="1"/>
  <c r="J324" i="1"/>
  <c r="M5" i="1"/>
  <c r="M624" i="1"/>
  <c r="I475" i="1"/>
  <c r="M469" i="1"/>
  <c r="N589" i="1"/>
  <c r="J709" i="1"/>
  <c r="N707" i="1"/>
  <c r="J679" i="1"/>
  <c r="N571" i="1"/>
  <c r="N432" i="1"/>
  <c r="N287" i="1"/>
  <c r="J262" i="1"/>
  <c r="N753" i="1"/>
  <c r="J712" i="1"/>
  <c r="N703" i="1"/>
  <c r="M694" i="1"/>
  <c r="M688" i="1"/>
  <c r="M681" i="1"/>
  <c r="I680" i="1"/>
  <c r="N656" i="1"/>
  <c r="M653" i="1"/>
  <c r="J649" i="1"/>
  <c r="M646" i="1"/>
  <c r="I645" i="1"/>
  <c r="N643" i="1"/>
  <c r="N630" i="1"/>
  <c r="I574" i="1"/>
  <c r="M568" i="1"/>
  <c r="M530" i="1"/>
  <c r="I497" i="1"/>
  <c r="M492" i="1"/>
  <c r="J491" i="1"/>
  <c r="I485" i="1"/>
  <c r="M466" i="1"/>
  <c r="M460" i="1"/>
  <c r="I422" i="1"/>
  <c r="M416" i="1"/>
  <c r="I389" i="1"/>
  <c r="M378" i="1"/>
  <c r="I358" i="1"/>
  <c r="M353" i="1"/>
  <c r="J331" i="1"/>
  <c r="N304" i="1"/>
  <c r="M303" i="1"/>
  <c r="J300" i="1"/>
  <c r="M297" i="1"/>
  <c r="I296" i="1"/>
  <c r="J275" i="1"/>
  <c r="I244" i="1"/>
  <c r="J224" i="1"/>
  <c r="J203" i="1"/>
  <c r="M200" i="1"/>
  <c r="I186" i="1"/>
  <c r="M168" i="1"/>
  <c r="I167" i="1"/>
  <c r="M162" i="1"/>
  <c r="N127" i="1"/>
  <c r="M106" i="1"/>
  <c r="N77" i="1"/>
  <c r="M74" i="1"/>
  <c r="I60" i="1"/>
  <c r="M55" i="1"/>
  <c r="I54" i="1"/>
  <c r="N51" i="1"/>
  <c r="I29" i="1"/>
  <c r="M24" i="1"/>
  <c r="I10" i="1"/>
  <c r="N8" i="1"/>
  <c r="N307" i="1"/>
  <c r="J98" i="1"/>
  <c r="I666" i="1"/>
  <c r="N647" i="1"/>
  <c r="J644" i="1"/>
  <c r="I607" i="1"/>
  <c r="J591" i="1"/>
  <c r="M589" i="1"/>
  <c r="M562" i="1"/>
  <c r="M544" i="1"/>
  <c r="I523" i="1"/>
  <c r="M518" i="1"/>
  <c r="N508" i="1"/>
  <c r="J502" i="1"/>
  <c r="N496" i="1"/>
  <c r="I436" i="1"/>
  <c r="M425" i="1"/>
  <c r="I424" i="1"/>
  <c r="M410" i="1"/>
  <c r="I409" i="1"/>
  <c r="I378" i="1"/>
  <c r="M361" i="1"/>
  <c r="J338" i="1"/>
  <c r="M336" i="1"/>
  <c r="I335" i="1"/>
  <c r="M311" i="1"/>
  <c r="M273" i="1"/>
  <c r="N270" i="1"/>
  <c r="I239" i="1"/>
  <c r="J226" i="1"/>
  <c r="I223" i="1"/>
  <c r="N212" i="1"/>
  <c r="I187" i="1"/>
  <c r="J172" i="1"/>
  <c r="M170" i="1"/>
  <c r="N169" i="1"/>
  <c r="J166" i="1"/>
  <c r="N159" i="1"/>
  <c r="N147" i="1"/>
  <c r="I131" i="1"/>
  <c r="M62" i="1"/>
  <c r="I48" i="1"/>
  <c r="J9" i="1"/>
  <c r="M738" i="1"/>
  <c r="I721" i="1"/>
  <c r="J708" i="1"/>
  <c r="I675" i="1"/>
  <c r="I668" i="1"/>
  <c r="J665" i="1"/>
  <c r="J647" i="1"/>
  <c r="I622" i="1"/>
  <c r="M617" i="1"/>
  <c r="I608" i="1"/>
  <c r="M596" i="1"/>
  <c r="I595" i="1"/>
  <c r="M563" i="1"/>
  <c r="I562" i="1"/>
  <c r="N485" i="1"/>
  <c r="M475" i="1"/>
  <c r="I467" i="1"/>
  <c r="I443" i="1"/>
  <c r="M432" i="1"/>
  <c r="J420" i="1"/>
  <c r="M418" i="1"/>
  <c r="M398" i="1"/>
  <c r="I391" i="1"/>
  <c r="M380" i="1"/>
  <c r="I336" i="1"/>
  <c r="J327" i="1"/>
  <c r="M306" i="1"/>
  <c r="M287" i="1"/>
  <c r="N283" i="1"/>
  <c r="J277" i="1"/>
  <c r="N274" i="1"/>
  <c r="I273" i="1"/>
  <c r="I253" i="1"/>
  <c r="M219" i="1"/>
  <c r="N160" i="1"/>
  <c r="N157" i="1"/>
  <c r="N133" i="1"/>
  <c r="J97" i="1"/>
  <c r="M95" i="1"/>
  <c r="M89" i="1"/>
  <c r="N85" i="1"/>
  <c r="M63" i="1"/>
  <c r="M57" i="1"/>
  <c r="M32" i="1"/>
  <c r="I31" i="1"/>
  <c r="I25" i="1"/>
  <c r="N22" i="1"/>
  <c r="I18" i="1"/>
  <c r="J352" i="1"/>
  <c r="I312" i="1"/>
  <c r="M307" i="1"/>
  <c r="I219" i="1"/>
  <c r="I202" i="1"/>
  <c r="I164" i="1"/>
  <c r="M140" i="1"/>
  <c r="I108" i="1"/>
  <c r="N98" i="1"/>
  <c r="M70" i="1"/>
  <c r="M58" i="1"/>
  <c r="M45" i="1"/>
  <c r="M14" i="1"/>
  <c r="I13" i="1"/>
  <c r="I7" i="1"/>
  <c r="N568" i="1"/>
  <c r="M566" i="1"/>
  <c r="J557" i="1"/>
  <c r="I447" i="1"/>
  <c r="J342" i="1"/>
  <c r="I330" i="1"/>
  <c r="J261" i="1"/>
  <c r="J254" i="1"/>
  <c r="J135" i="1"/>
  <c r="J130" i="1"/>
  <c r="M640" i="1"/>
  <c r="I639" i="1"/>
  <c r="J629" i="1"/>
  <c r="M627" i="1"/>
  <c r="N623" i="1"/>
  <c r="M567" i="1"/>
  <c r="N562" i="1"/>
  <c r="J214" i="1"/>
  <c r="J55" i="1"/>
  <c r="N55" i="1"/>
  <c r="M715" i="1"/>
  <c r="I714" i="1"/>
  <c r="J711" i="1"/>
  <c r="N697" i="1"/>
  <c r="I678" i="1"/>
  <c r="J221" i="1"/>
  <c r="J169" i="1"/>
  <c r="N129" i="1"/>
  <c r="N126" i="1"/>
  <c r="M671" i="1"/>
  <c r="I715" i="1"/>
  <c r="J698" i="1"/>
  <c r="M641" i="1"/>
  <c r="J616" i="1"/>
  <c r="N522" i="1"/>
  <c r="M522" i="1"/>
  <c r="N486" i="1"/>
  <c r="J446" i="1"/>
  <c r="J364" i="1"/>
  <c r="N361" i="1"/>
  <c r="N219" i="1"/>
  <c r="J215" i="1"/>
  <c r="J99" i="1"/>
  <c r="I92" i="1"/>
  <c r="M81" i="1"/>
  <c r="N63" i="1"/>
  <c r="J310" i="1"/>
  <c r="I723" i="1"/>
  <c r="N747" i="1"/>
  <c r="N737" i="1"/>
  <c r="J705" i="1"/>
  <c r="N699" i="1"/>
  <c r="J677" i="1"/>
  <c r="M751" i="1"/>
  <c r="I688" i="1"/>
  <c r="M674" i="1"/>
  <c r="M711" i="1"/>
  <c r="I702" i="1"/>
  <c r="J700" i="1"/>
  <c r="M690" i="1"/>
  <c r="J39" i="1"/>
  <c r="M749" i="1"/>
  <c r="M717" i="1"/>
  <c r="I695" i="1"/>
  <c r="M689" i="1"/>
  <c r="N650" i="1"/>
  <c r="I634" i="1"/>
  <c r="I576" i="1"/>
  <c r="M744" i="1"/>
  <c r="I742" i="1"/>
  <c r="J78" i="1"/>
  <c r="N78" i="1"/>
  <c r="I752" i="1"/>
  <c r="I751" i="1"/>
  <c r="J749" i="1"/>
  <c r="J748" i="1"/>
  <c r="M691" i="1"/>
  <c r="I673" i="1"/>
  <c r="M659" i="1"/>
  <c r="J657" i="1"/>
  <c r="N644" i="1"/>
  <c r="I621" i="1"/>
  <c r="N610" i="1"/>
  <c r="M605" i="1"/>
  <c r="M517" i="1"/>
  <c r="N451" i="1"/>
  <c r="M348" i="1"/>
  <c r="N255" i="1"/>
  <c r="N220" i="1"/>
  <c r="J157" i="1"/>
  <c r="I134" i="1"/>
  <c r="J134" i="1"/>
  <c r="N131" i="1"/>
  <c r="J131" i="1"/>
  <c r="J105" i="1"/>
  <c r="M663" i="1"/>
  <c r="I617" i="1"/>
  <c r="M675" i="1"/>
  <c r="M658" i="1"/>
  <c r="N654" i="1"/>
  <c r="M629" i="1"/>
  <c r="I753" i="1"/>
  <c r="J752" i="1"/>
  <c r="J731" i="1"/>
  <c r="J724" i="1"/>
  <c r="J701" i="1"/>
  <c r="N679" i="1"/>
  <c r="N616" i="1"/>
  <c r="J604" i="1"/>
  <c r="N263" i="1"/>
  <c r="J263" i="1"/>
  <c r="N235" i="1"/>
  <c r="J235" i="1"/>
  <c r="N163" i="1"/>
  <c r="J106" i="1"/>
  <c r="N106" i="1"/>
  <c r="N72" i="1"/>
  <c r="N65" i="1"/>
  <c r="J40" i="1"/>
  <c r="I700" i="1"/>
  <c r="I693" i="1"/>
  <c r="J750" i="1"/>
  <c r="J740" i="1"/>
  <c r="J732" i="1"/>
  <c r="M699" i="1"/>
  <c r="M668" i="1"/>
  <c r="I637" i="1"/>
  <c r="I630" i="1"/>
  <c r="N559" i="1"/>
  <c r="N553" i="1"/>
  <c r="N550" i="1"/>
  <c r="I549" i="1"/>
  <c r="I465" i="1"/>
  <c r="J408" i="1"/>
  <c r="N398" i="1"/>
  <c r="M254" i="1"/>
  <c r="J249" i="1"/>
  <c r="N203" i="1"/>
  <c r="J198" i="1"/>
  <c r="N686" i="1"/>
  <c r="N734" i="1"/>
  <c r="J717" i="1"/>
  <c r="I713" i="1"/>
  <c r="M706" i="1"/>
  <c r="N702" i="1"/>
  <c r="J689" i="1"/>
  <c r="I684" i="1"/>
  <c r="I677" i="1"/>
  <c r="J669" i="1"/>
  <c r="M639" i="1"/>
  <c r="M632" i="1"/>
  <c r="J583" i="1"/>
  <c r="J573" i="1"/>
  <c r="N566" i="1"/>
  <c r="J563" i="1"/>
  <c r="N545" i="1"/>
  <c r="M545" i="1"/>
  <c r="I479" i="1"/>
  <c r="J452" i="1"/>
  <c r="M434" i="1"/>
  <c r="I283" i="1"/>
  <c r="J250" i="1"/>
  <c r="N204" i="1"/>
  <c r="J200" i="1"/>
  <c r="J35" i="1"/>
  <c r="J74" i="1"/>
  <c r="N74" i="1"/>
  <c r="I603" i="1"/>
  <c r="I602" i="1"/>
  <c r="J600" i="1"/>
  <c r="N593" i="1"/>
  <c r="M569" i="1"/>
  <c r="I561" i="1"/>
  <c r="I548" i="1"/>
  <c r="I542" i="1"/>
  <c r="N538" i="1"/>
  <c r="M528" i="1"/>
  <c r="I527" i="1"/>
  <c r="I520" i="1"/>
  <c r="M513" i="1"/>
  <c r="M505" i="1"/>
  <c r="I504" i="1"/>
  <c r="M493" i="1"/>
  <c r="J483" i="1"/>
  <c r="I478" i="1"/>
  <c r="M472" i="1"/>
  <c r="I464" i="1"/>
  <c r="I458" i="1"/>
  <c r="J456" i="1"/>
  <c r="I434" i="1"/>
  <c r="J431" i="1"/>
  <c r="I407" i="1"/>
  <c r="M401" i="1"/>
  <c r="M395" i="1"/>
  <c r="M387" i="1"/>
  <c r="I386" i="1"/>
  <c r="J383" i="1"/>
  <c r="M368" i="1"/>
  <c r="N348" i="1"/>
  <c r="M339" i="1"/>
  <c r="M330" i="1"/>
  <c r="M316" i="1"/>
  <c r="M310" i="1"/>
  <c r="I238" i="1"/>
  <c r="J228" i="1"/>
  <c r="M206" i="1"/>
  <c r="I205" i="1"/>
  <c r="N165" i="1"/>
  <c r="I159" i="1"/>
  <c r="J156" i="1"/>
  <c r="M146" i="1"/>
  <c r="J129" i="1"/>
  <c r="N112" i="1"/>
  <c r="I99" i="1"/>
  <c r="J83" i="1"/>
  <c r="N80" i="1"/>
  <c r="J73" i="1"/>
  <c r="M69" i="1"/>
  <c r="N32" i="1"/>
  <c r="M43" i="1"/>
  <c r="I42" i="1"/>
  <c r="M34" i="1"/>
  <c r="J20" i="1"/>
  <c r="N28" i="1"/>
  <c r="M25" i="1"/>
  <c r="J14" i="1"/>
  <c r="M4" i="1"/>
  <c r="M515" i="1"/>
  <c r="N510" i="1"/>
  <c r="I499" i="1"/>
  <c r="M488" i="1"/>
  <c r="M473" i="1"/>
  <c r="I472" i="1"/>
  <c r="M453" i="1"/>
  <c r="J441" i="1"/>
  <c r="I429" i="1"/>
  <c r="J391" i="1"/>
  <c r="I387" i="1"/>
  <c r="M375" i="1"/>
  <c r="I374" i="1"/>
  <c r="M369" i="1"/>
  <c r="N350" i="1"/>
  <c r="M318" i="1"/>
  <c r="J308" i="1"/>
  <c r="N244" i="1"/>
  <c r="I232" i="1"/>
  <c r="J194" i="1"/>
  <c r="N158" i="1"/>
  <c r="J147" i="1"/>
  <c r="J116" i="1"/>
  <c r="J76" i="1"/>
  <c r="J61" i="1"/>
  <c r="J49" i="1"/>
  <c r="N38" i="1"/>
  <c r="I633" i="1"/>
  <c r="N621" i="1"/>
  <c r="M606" i="1"/>
  <c r="M598" i="1"/>
  <c r="M579" i="1"/>
  <c r="I569" i="1"/>
  <c r="I567" i="1"/>
  <c r="J566" i="1"/>
  <c r="I557" i="1"/>
  <c r="M537" i="1"/>
  <c r="I529" i="1"/>
  <c r="M524" i="1"/>
  <c r="N520" i="1"/>
  <c r="J511" i="1"/>
  <c r="I488" i="1"/>
  <c r="M483" i="1"/>
  <c r="N474" i="1"/>
  <c r="M468" i="1"/>
  <c r="M461" i="1"/>
  <c r="N454" i="1"/>
  <c r="I444" i="1"/>
  <c r="M423" i="1"/>
  <c r="J418" i="1"/>
  <c r="M389" i="1"/>
  <c r="J388" i="1"/>
  <c r="N385" i="1"/>
  <c r="I381" i="1"/>
  <c r="I369" i="1"/>
  <c r="M347" i="1"/>
  <c r="J336" i="1"/>
  <c r="I331" i="1"/>
  <c r="N326" i="1"/>
  <c r="I311" i="1"/>
  <c r="I275" i="1"/>
  <c r="N262" i="1"/>
  <c r="M258" i="1"/>
  <c r="I247" i="1"/>
  <c r="J244" i="1"/>
  <c r="M235" i="1"/>
  <c r="N230" i="1"/>
  <c r="M225" i="1"/>
  <c r="M224" i="1"/>
  <c r="M215" i="1"/>
  <c r="I214" i="1"/>
  <c r="N211" i="1"/>
  <c r="J167" i="1"/>
  <c r="N156" i="1"/>
  <c r="J152" i="1"/>
  <c r="I133" i="1"/>
  <c r="N108" i="1"/>
  <c r="N97" i="1"/>
  <c r="N82" i="1"/>
  <c r="N73" i="1"/>
  <c r="I70" i="1"/>
  <c r="M65" i="1"/>
  <c r="N61" i="1"/>
  <c r="N54" i="1"/>
  <c r="I34" i="1"/>
  <c r="M19" i="1"/>
  <c r="J15" i="1"/>
  <c r="M12" i="1"/>
  <c r="M600" i="1"/>
  <c r="M587" i="1"/>
  <c r="I585" i="1"/>
  <c r="I558" i="1"/>
  <c r="I552" i="1"/>
  <c r="I537" i="1"/>
  <c r="M532" i="1"/>
  <c r="I524" i="1"/>
  <c r="N521" i="1"/>
  <c r="I507" i="1"/>
  <c r="I495" i="1"/>
  <c r="M447" i="1"/>
  <c r="I445" i="1"/>
  <c r="I431" i="1"/>
  <c r="N425" i="1"/>
  <c r="J389" i="1"/>
  <c r="I382" i="1"/>
  <c r="M364" i="1"/>
  <c r="I361" i="1"/>
  <c r="I347" i="1"/>
  <c r="I341" i="1"/>
  <c r="M327" i="1"/>
  <c r="J323" i="1"/>
  <c r="I318" i="1"/>
  <c r="M313" i="1"/>
  <c r="I305" i="1"/>
  <c r="N296" i="1"/>
  <c r="J295" i="1"/>
  <c r="M285" i="1"/>
  <c r="I284" i="1"/>
  <c r="I258" i="1"/>
  <c r="M243" i="1"/>
  <c r="I242" i="1"/>
  <c r="I234" i="1"/>
  <c r="I228" i="1"/>
  <c r="I225" i="1"/>
  <c r="M216" i="1"/>
  <c r="J212" i="1"/>
  <c r="M209" i="1"/>
  <c r="I208" i="1"/>
  <c r="N196" i="1"/>
  <c r="I173" i="1"/>
  <c r="J153" i="1"/>
  <c r="N150" i="1"/>
  <c r="J149" i="1"/>
  <c r="J140" i="1"/>
  <c r="I136" i="1"/>
  <c r="N92" i="1"/>
  <c r="J86" i="1"/>
  <c r="I82" i="1"/>
  <c r="J80" i="1"/>
  <c r="M66" i="1"/>
  <c r="M52" i="1"/>
  <c r="N48" i="1"/>
  <c r="N39" i="1"/>
  <c r="M38" i="1"/>
  <c r="I36" i="1"/>
  <c r="N27" i="1"/>
  <c r="N681" i="1"/>
  <c r="M678" i="1"/>
  <c r="M669" i="1"/>
  <c r="I667" i="1"/>
  <c r="I651" i="1"/>
  <c r="M644" i="1"/>
  <c r="N639" i="1"/>
  <c r="J632" i="1"/>
  <c r="M601" i="1"/>
  <c r="I587" i="1"/>
  <c r="M573" i="1"/>
  <c r="I553" i="1"/>
  <c r="M533" i="1"/>
  <c r="N529" i="1"/>
  <c r="I518" i="1"/>
  <c r="J514" i="1"/>
  <c r="I490" i="1"/>
  <c r="J476" i="1"/>
  <c r="M457" i="1"/>
  <c r="N418" i="1"/>
  <c r="J395" i="1"/>
  <c r="J390" i="1"/>
  <c r="M385" i="1"/>
  <c r="I377" i="1"/>
  <c r="M372" i="1"/>
  <c r="M356" i="1"/>
  <c r="M350" i="1"/>
  <c r="N331" i="1"/>
  <c r="M321" i="1"/>
  <c r="J317" i="1"/>
  <c r="I307" i="1"/>
  <c r="J281" i="1"/>
  <c r="M244" i="1"/>
  <c r="I229" i="1"/>
  <c r="J220" i="1"/>
  <c r="M182" i="1"/>
  <c r="I181" i="1"/>
  <c r="J171" i="1"/>
  <c r="J170" i="1"/>
  <c r="M167" i="1"/>
  <c r="I166" i="1"/>
  <c r="J161" i="1"/>
  <c r="J154" i="1"/>
  <c r="M128" i="1"/>
  <c r="I125" i="1"/>
  <c r="N123" i="1"/>
  <c r="M107" i="1"/>
  <c r="I105" i="1"/>
  <c r="M97" i="1"/>
  <c r="I95" i="1"/>
  <c r="M90" i="1"/>
  <c r="N87" i="1"/>
  <c r="J81" i="1"/>
  <c r="N53" i="1"/>
  <c r="J52" i="1"/>
  <c r="I37" i="1"/>
  <c r="N24" i="1"/>
  <c r="I20" i="1"/>
  <c r="N111" i="1"/>
  <c r="J64" i="1"/>
  <c r="N50" i="1"/>
  <c r="M645" i="1"/>
  <c r="M637" i="1"/>
  <c r="M622" i="1"/>
  <c r="J620" i="1"/>
  <c r="M602" i="1"/>
  <c r="M575" i="1"/>
  <c r="M555" i="1"/>
  <c r="I526" i="1"/>
  <c r="N494" i="1"/>
  <c r="M478" i="1"/>
  <c r="M471" i="1"/>
  <c r="I470" i="1"/>
  <c r="J463" i="1"/>
  <c r="I457" i="1"/>
  <c r="I433" i="1"/>
  <c r="N419" i="1"/>
  <c r="J412" i="1"/>
  <c r="M408" i="1"/>
  <c r="I406" i="1"/>
  <c r="M400" i="1"/>
  <c r="M386" i="1"/>
  <c r="J385" i="1"/>
  <c r="M367" i="1"/>
  <c r="I365" i="1"/>
  <c r="N339" i="1"/>
  <c r="J325" i="1"/>
  <c r="M315" i="1"/>
  <c r="I300" i="1"/>
  <c r="I286" i="1"/>
  <c r="J268" i="1"/>
  <c r="I252" i="1"/>
  <c r="M245" i="1"/>
  <c r="M238" i="1"/>
  <c r="J222" i="1"/>
  <c r="M218" i="1"/>
  <c r="I217" i="1"/>
  <c r="J186" i="1"/>
  <c r="J164" i="1"/>
  <c r="J155" i="1"/>
  <c r="N146" i="1"/>
  <c r="N135" i="1"/>
  <c r="M131" i="1"/>
  <c r="J127" i="1"/>
  <c r="I114" i="1"/>
  <c r="M85" i="1"/>
  <c r="J82" i="1"/>
  <c r="M78" i="1"/>
  <c r="J71" i="1"/>
  <c r="M68" i="1"/>
  <c r="I40" i="1"/>
  <c r="I28" i="1"/>
  <c r="J12" i="1"/>
  <c r="J733" i="1"/>
  <c r="J675" i="1"/>
  <c r="J614" i="1"/>
  <c r="N601" i="1"/>
  <c r="N744" i="1"/>
  <c r="J553" i="1"/>
  <c r="N743" i="1"/>
  <c r="I736" i="1"/>
  <c r="I724" i="1"/>
  <c r="J714" i="1"/>
  <c r="J473" i="1"/>
  <c r="N473" i="1"/>
  <c r="I462" i="1"/>
  <c r="I414" i="1"/>
  <c r="J414" i="1"/>
  <c r="N673" i="1"/>
  <c r="J673" i="1"/>
  <c r="N552" i="1"/>
  <c r="J552" i="1"/>
  <c r="J543" i="1"/>
  <c r="N543" i="1"/>
  <c r="M514" i="1"/>
  <c r="N514" i="1"/>
  <c r="N501" i="1"/>
  <c r="J501" i="1"/>
  <c r="N491" i="1"/>
  <c r="M491" i="1"/>
  <c r="M735" i="1"/>
  <c r="M733" i="1"/>
  <c r="J735" i="1"/>
  <c r="J734" i="1"/>
  <c r="M710" i="1"/>
  <c r="N710" i="1"/>
  <c r="I707" i="1"/>
  <c r="I659" i="1"/>
  <c r="I619" i="1"/>
  <c r="J619" i="1"/>
  <c r="N684" i="1"/>
  <c r="J684" i="1"/>
  <c r="N665" i="1"/>
  <c r="N638" i="1"/>
  <c r="J706" i="1"/>
  <c r="N693" i="1"/>
  <c r="N685" i="1"/>
  <c r="J638" i="1"/>
  <c r="J316" i="1"/>
  <c r="N316" i="1"/>
  <c r="N655" i="1"/>
  <c r="J655" i="1"/>
  <c r="I605" i="1"/>
  <c r="N617" i="1"/>
  <c r="J617" i="1"/>
  <c r="I750" i="1"/>
  <c r="N740" i="1"/>
  <c r="M739" i="1"/>
  <c r="J719" i="1"/>
  <c r="I641" i="1"/>
  <c r="J628" i="1"/>
  <c r="J551" i="1"/>
  <c r="N532" i="1"/>
  <c r="J524" i="1"/>
  <c r="J477" i="1"/>
  <c r="I477" i="1"/>
  <c r="N748" i="1"/>
  <c r="N742" i="1"/>
  <c r="M741" i="1"/>
  <c r="I737" i="1"/>
  <c r="M726" i="1"/>
  <c r="I725" i="1"/>
  <c r="J723" i="1"/>
  <c r="J722" i="1"/>
  <c r="M716" i="1"/>
  <c r="I712" i="1"/>
  <c r="I711" i="1"/>
  <c r="I701" i="1"/>
  <c r="I681" i="1"/>
  <c r="J653" i="1"/>
  <c r="N649" i="1"/>
  <c r="I624" i="1"/>
  <c r="J623" i="1"/>
  <c r="J556" i="1"/>
  <c r="J532" i="1"/>
  <c r="J484" i="1"/>
  <c r="N672" i="1"/>
  <c r="I665" i="1"/>
  <c r="J581" i="1"/>
  <c r="N533" i="1"/>
  <c r="J533" i="1"/>
  <c r="M489" i="1"/>
  <c r="N489" i="1"/>
  <c r="M480" i="1"/>
  <c r="N590" i="1"/>
  <c r="J590" i="1"/>
  <c r="N576" i="1"/>
  <c r="M576" i="1"/>
  <c r="J587" i="1"/>
  <c r="N579" i="1"/>
  <c r="J536" i="1"/>
  <c r="I536" i="1"/>
  <c r="J496" i="1"/>
  <c r="M490" i="1"/>
  <c r="M481" i="1"/>
  <c r="I704" i="1"/>
  <c r="I692" i="1"/>
  <c r="M685" i="1"/>
  <c r="I728" i="1"/>
  <c r="M721" i="1"/>
  <c r="N698" i="1"/>
  <c r="M696" i="1"/>
  <c r="M695" i="1"/>
  <c r="N690" i="1"/>
  <c r="M687" i="1"/>
  <c r="N663" i="1"/>
  <c r="N662" i="1"/>
  <c r="N661" i="1"/>
  <c r="I657" i="1"/>
  <c r="M649" i="1"/>
  <c r="M648" i="1"/>
  <c r="M588" i="1"/>
  <c r="I575" i="1"/>
  <c r="N558" i="1"/>
  <c r="J542" i="1"/>
  <c r="J534" i="1"/>
  <c r="J333" i="1"/>
  <c r="N333" i="1"/>
  <c r="I648" i="1"/>
  <c r="I588" i="1"/>
  <c r="M550" i="1"/>
  <c r="I546" i="1"/>
  <c r="I538" i="1"/>
  <c r="M506" i="1"/>
  <c r="I505" i="1"/>
  <c r="I419" i="1"/>
  <c r="J417" i="1"/>
  <c r="N417" i="1"/>
  <c r="N633" i="1"/>
  <c r="J633" i="1"/>
  <c r="M455" i="1"/>
  <c r="M426" i="1"/>
  <c r="N426" i="1"/>
  <c r="N299" i="1"/>
  <c r="J299" i="1"/>
  <c r="N736" i="1"/>
  <c r="J730" i="1"/>
  <c r="J399" i="1"/>
  <c r="N399" i="1"/>
  <c r="J703" i="1"/>
  <c r="N683" i="1"/>
  <c r="J699" i="1"/>
  <c r="I699" i="1"/>
  <c r="N587" i="1"/>
  <c r="I525" i="1"/>
  <c r="J525" i="1"/>
  <c r="M452" i="1"/>
  <c r="N588" i="1"/>
  <c r="M728" i="1"/>
  <c r="N727" i="1"/>
  <c r="I705" i="1"/>
  <c r="N696" i="1"/>
  <c r="N695" i="1"/>
  <c r="I671" i="1"/>
  <c r="I654" i="1"/>
  <c r="J639" i="1"/>
  <c r="N636" i="1"/>
  <c r="M634" i="1"/>
  <c r="M616" i="1"/>
  <c r="I615" i="1"/>
  <c r="J571" i="1"/>
  <c r="J559" i="1"/>
  <c r="N549" i="1"/>
  <c r="J549" i="1"/>
  <c r="M535" i="1"/>
  <c r="I509" i="1"/>
  <c r="M752" i="1"/>
  <c r="N741" i="1"/>
  <c r="M729" i="1"/>
  <c r="I726" i="1"/>
  <c r="J718" i="1"/>
  <c r="M713" i="1"/>
  <c r="M712" i="1"/>
  <c r="I706" i="1"/>
  <c r="N688" i="1"/>
  <c r="N651" i="1"/>
  <c r="J651" i="1"/>
  <c r="I644" i="1"/>
  <c r="I642" i="1"/>
  <c r="J640" i="1"/>
  <c r="M635" i="1"/>
  <c r="N627" i="1"/>
  <c r="I601" i="1"/>
  <c r="N578" i="1"/>
  <c r="M574" i="1"/>
  <c r="N528" i="1"/>
  <c r="J517" i="1"/>
  <c r="N517" i="1"/>
  <c r="N516" i="1"/>
  <c r="N511" i="1"/>
  <c r="I476" i="1"/>
  <c r="I473" i="1"/>
  <c r="N464" i="1"/>
  <c r="J464" i="1"/>
  <c r="N455" i="1"/>
  <c r="N442" i="1"/>
  <c r="M406" i="1"/>
  <c r="N362" i="1"/>
  <c r="N359" i="1"/>
  <c r="N347" i="1"/>
  <c r="N325" i="1"/>
  <c r="I321" i="1"/>
  <c r="N284" i="1"/>
  <c r="J283" i="1"/>
  <c r="J252" i="1"/>
  <c r="N243" i="1"/>
  <c r="M240" i="1"/>
  <c r="I237" i="1"/>
  <c r="J643" i="1"/>
  <c r="J599" i="1"/>
  <c r="N580" i="1"/>
  <c r="J570" i="1"/>
  <c r="M538" i="1"/>
  <c r="J518" i="1"/>
  <c r="N518" i="1"/>
  <c r="N499" i="1"/>
  <c r="J494" i="1"/>
  <c r="J444" i="1"/>
  <c r="J387" i="1"/>
  <c r="M247" i="1"/>
  <c r="N247" i="1"/>
  <c r="N210" i="1"/>
  <c r="J210" i="1"/>
  <c r="J42" i="1"/>
  <c r="N42" i="1"/>
  <c r="M37" i="1"/>
  <c r="N37" i="1"/>
  <c r="J6" i="1"/>
  <c r="N6" i="1"/>
  <c r="N482" i="1"/>
  <c r="J482" i="1"/>
  <c r="J427" i="1"/>
  <c r="J312" i="1"/>
  <c r="J292" i="1"/>
  <c r="I287" i="1"/>
  <c r="N151" i="1"/>
  <c r="J151" i="1"/>
  <c r="J355" i="1"/>
  <c r="N355" i="1"/>
  <c r="N277" i="1"/>
  <c r="I272" i="1"/>
  <c r="M249" i="1"/>
  <c r="N249" i="1"/>
  <c r="J218" i="1"/>
  <c r="N218" i="1"/>
  <c r="J191" i="1"/>
  <c r="N191" i="1"/>
  <c r="N303" i="1"/>
  <c r="N377" i="1"/>
  <c r="M374" i="1"/>
  <c r="J332" i="1"/>
  <c r="N314" i="1"/>
  <c r="I289" i="1"/>
  <c r="J213" i="1"/>
  <c r="N213" i="1"/>
  <c r="N252" i="1"/>
  <c r="M252" i="1"/>
  <c r="N746" i="1"/>
  <c r="I741" i="1"/>
  <c r="J720" i="1"/>
  <c r="N709" i="1"/>
  <c r="J678" i="1"/>
  <c r="M670" i="1"/>
  <c r="N658" i="1"/>
  <c r="J637" i="1"/>
  <c r="J635" i="1"/>
  <c r="N603" i="1"/>
  <c r="J602" i="1"/>
  <c r="M599" i="1"/>
  <c r="M593" i="1"/>
  <c r="N585" i="1"/>
  <c r="J564" i="1"/>
  <c r="N500" i="1"/>
  <c r="J499" i="1"/>
  <c r="J495" i="1"/>
  <c r="N468" i="1"/>
  <c r="N461" i="1"/>
  <c r="I412" i="1"/>
  <c r="N315" i="1"/>
  <c r="J257" i="1"/>
  <c r="N257" i="1"/>
  <c r="N228" i="1"/>
  <c r="J207" i="1"/>
  <c r="N207" i="1"/>
  <c r="J751" i="1"/>
  <c r="I722" i="1"/>
  <c r="I719" i="1"/>
  <c r="J716" i="1"/>
  <c r="N715" i="1"/>
  <c r="N712" i="1"/>
  <c r="N711" i="1"/>
  <c r="J710" i="1"/>
  <c r="J692" i="1"/>
  <c r="J683" i="1"/>
  <c r="N659" i="1"/>
  <c r="N653" i="1"/>
  <c r="N631" i="1"/>
  <c r="N628" i="1"/>
  <c r="J624" i="1"/>
  <c r="J596" i="1"/>
  <c r="I570" i="1"/>
  <c r="J565" i="1"/>
  <c r="I563" i="1"/>
  <c r="I551" i="1"/>
  <c r="J547" i="1"/>
  <c r="J512" i="1"/>
  <c r="I491" i="1"/>
  <c r="J440" i="1"/>
  <c r="J413" i="1"/>
  <c r="M384" i="1"/>
  <c r="J280" i="1"/>
  <c r="I276" i="1"/>
  <c r="J208" i="1"/>
  <c r="N208" i="1"/>
  <c r="N497" i="1"/>
  <c r="M467" i="1"/>
  <c r="N429" i="1"/>
  <c r="M429" i="1"/>
  <c r="I403" i="1"/>
  <c r="J380" i="1"/>
  <c r="N380" i="1"/>
  <c r="J365" i="1"/>
  <c r="N300" i="1"/>
  <c r="J298" i="1"/>
  <c r="M278" i="1"/>
  <c r="M178" i="1"/>
  <c r="N178" i="1"/>
  <c r="N498" i="1"/>
  <c r="J497" i="1"/>
  <c r="N470" i="1"/>
  <c r="N411" i="1"/>
  <c r="I404" i="1"/>
  <c r="J400" i="1"/>
  <c r="N400" i="1"/>
  <c r="J377" i="1"/>
  <c r="I320" i="1"/>
  <c r="M314" i="1"/>
  <c r="M304" i="1"/>
  <c r="N256" i="1"/>
  <c r="N216" i="1"/>
  <c r="J216" i="1"/>
  <c r="J209" i="1"/>
  <c r="N209" i="1"/>
  <c r="I204" i="1"/>
  <c r="J204" i="1"/>
  <c r="I402" i="1"/>
  <c r="M392" i="1"/>
  <c r="I388" i="1"/>
  <c r="I385" i="1"/>
  <c r="J381" i="1"/>
  <c r="M376" i="1"/>
  <c r="J348" i="1"/>
  <c r="J341" i="1"/>
  <c r="J309" i="1"/>
  <c r="J307" i="1"/>
  <c r="M289" i="1"/>
  <c r="M277" i="1"/>
  <c r="I274" i="1"/>
  <c r="J211" i="1"/>
  <c r="J187" i="1"/>
  <c r="N187" i="1"/>
  <c r="I175" i="1"/>
  <c r="N168" i="1"/>
  <c r="N155" i="1"/>
  <c r="J188" i="1"/>
  <c r="N188" i="1"/>
  <c r="M134" i="1"/>
  <c r="N134" i="1"/>
  <c r="I218" i="1"/>
  <c r="J125" i="1"/>
  <c r="M157" i="1"/>
  <c r="M652" i="1"/>
  <c r="M638" i="1"/>
  <c r="I636" i="1"/>
  <c r="M614" i="1"/>
  <c r="I613" i="1"/>
  <c r="I610" i="1"/>
  <c r="I606" i="1"/>
  <c r="M583" i="1"/>
  <c r="M582" i="1"/>
  <c r="N569" i="1"/>
  <c r="J548" i="1"/>
  <c r="I540" i="1"/>
  <c r="J523" i="1"/>
  <c r="N513" i="1"/>
  <c r="M507" i="1"/>
  <c r="I506" i="1"/>
  <c r="N502" i="1"/>
  <c r="I492" i="1"/>
  <c r="M441" i="1"/>
  <c r="N430" i="1"/>
  <c r="M430" i="1"/>
  <c r="I428" i="1"/>
  <c r="I408" i="1"/>
  <c r="J402" i="1"/>
  <c r="N401" i="1"/>
  <c r="M397" i="1"/>
  <c r="M396" i="1"/>
  <c r="N381" i="1"/>
  <c r="M379" i="1"/>
  <c r="M371" i="1"/>
  <c r="J370" i="1"/>
  <c r="I352" i="1"/>
  <c r="I340" i="1"/>
  <c r="I338" i="1"/>
  <c r="M309" i="1"/>
  <c r="I304" i="1"/>
  <c r="I291" i="1"/>
  <c r="J274" i="1"/>
  <c r="J270" i="1"/>
  <c r="J269" i="1"/>
  <c r="N251" i="1"/>
  <c r="I206" i="1"/>
  <c r="J158" i="1"/>
  <c r="I327" i="1"/>
  <c r="J326" i="1"/>
  <c r="I325" i="1"/>
  <c r="J321" i="1"/>
  <c r="J320" i="1"/>
  <c r="M312" i="1"/>
  <c r="J288" i="1"/>
  <c r="J217" i="1"/>
  <c r="N217" i="1"/>
  <c r="N214" i="1"/>
  <c r="J190" i="1"/>
  <c r="N190" i="1"/>
  <c r="J746" i="1"/>
  <c r="I745" i="1"/>
  <c r="N724" i="1"/>
  <c r="M723" i="1"/>
  <c r="N719" i="1"/>
  <c r="M704" i="1"/>
  <c r="M702" i="1"/>
  <c r="M701" i="1"/>
  <c r="M700" i="1"/>
  <c r="I696" i="1"/>
  <c r="I694" i="1"/>
  <c r="J687" i="1"/>
  <c r="I686" i="1"/>
  <c r="I683" i="1"/>
  <c r="I679" i="1"/>
  <c r="N676" i="1"/>
  <c r="N667" i="1"/>
  <c r="N664" i="1"/>
  <c r="N657" i="1"/>
  <c r="M656" i="1"/>
  <c r="M654" i="1"/>
  <c r="I652" i="1"/>
  <c r="M619" i="1"/>
  <c r="M615" i="1"/>
  <c r="N604" i="1"/>
  <c r="N597" i="1"/>
  <c r="J594" i="1"/>
  <c r="J593" i="1"/>
  <c r="M586" i="1"/>
  <c r="N574" i="1"/>
  <c r="I568" i="1"/>
  <c r="I541" i="1"/>
  <c r="M510" i="1"/>
  <c r="M499" i="1"/>
  <c r="M495" i="1"/>
  <c r="I493" i="1"/>
  <c r="I482" i="1"/>
  <c r="N466" i="1"/>
  <c r="I441" i="1"/>
  <c r="I440" i="1"/>
  <c r="I430" i="1"/>
  <c r="N392" i="1"/>
  <c r="N391" i="1"/>
  <c r="N389" i="1"/>
  <c r="M373" i="1"/>
  <c r="M354" i="1"/>
  <c r="I353" i="1"/>
  <c r="M331" i="1"/>
  <c r="M329" i="1"/>
  <c r="I328" i="1"/>
  <c r="J322" i="1"/>
  <c r="N322" i="1"/>
  <c r="M317" i="1"/>
  <c r="I309" i="1"/>
  <c r="M299" i="1"/>
  <c r="M296" i="1"/>
  <c r="I271" i="1"/>
  <c r="M259" i="1"/>
  <c r="M256" i="1"/>
  <c r="N215" i="1"/>
  <c r="N184" i="1"/>
  <c r="J184" i="1"/>
  <c r="N162" i="1"/>
  <c r="M165" i="1"/>
  <c r="J122" i="1"/>
  <c r="N122" i="1"/>
  <c r="J664" i="1"/>
  <c r="I660" i="1"/>
  <c r="M642" i="1"/>
  <c r="N629" i="1"/>
  <c r="M626" i="1"/>
  <c r="M623" i="1"/>
  <c r="I620" i="1"/>
  <c r="N612" i="1"/>
  <c r="I599" i="1"/>
  <c r="I598" i="1"/>
  <c r="J595" i="1"/>
  <c r="N591" i="1"/>
  <c r="M590" i="1"/>
  <c r="J586" i="1"/>
  <c r="J577" i="1"/>
  <c r="J576" i="1"/>
  <c r="M572" i="1"/>
  <c r="N555" i="1"/>
  <c r="J555" i="1"/>
  <c r="M549" i="1"/>
  <c r="M548" i="1"/>
  <c r="I544" i="1"/>
  <c r="I543" i="1"/>
  <c r="N536" i="1"/>
  <c r="I532" i="1"/>
  <c r="N523" i="1"/>
  <c r="J513" i="1"/>
  <c r="M503" i="1"/>
  <c r="M502" i="1"/>
  <c r="N475" i="1"/>
  <c r="M465" i="1"/>
  <c r="J439" i="1"/>
  <c r="M419" i="1"/>
  <c r="I418" i="1"/>
  <c r="J407" i="1"/>
  <c r="M404" i="1"/>
  <c r="I373" i="1"/>
  <c r="M366" i="1"/>
  <c r="M360" i="1"/>
  <c r="M358" i="1"/>
  <c r="I355" i="1"/>
  <c r="I345" i="1"/>
  <c r="I344" i="1"/>
  <c r="M335" i="1"/>
  <c r="M334" i="1"/>
  <c r="I332" i="1"/>
  <c r="N327" i="1"/>
  <c r="N321" i="1"/>
  <c r="M319" i="1"/>
  <c r="I297" i="1"/>
  <c r="N288" i="1"/>
  <c r="M286" i="1"/>
  <c r="I285" i="1"/>
  <c r="I182" i="1"/>
  <c r="I197" i="1"/>
  <c r="N172" i="1"/>
  <c r="M166" i="1"/>
  <c r="N154" i="1"/>
  <c r="M153" i="1"/>
  <c r="I115" i="1"/>
  <c r="M101" i="1"/>
  <c r="J66" i="1"/>
  <c r="N66" i="1"/>
  <c r="J88" i="1"/>
  <c r="N88" i="1"/>
  <c r="J79" i="1"/>
  <c r="J67" i="1"/>
  <c r="N67" i="1"/>
  <c r="I627" i="1"/>
  <c r="I623" i="1"/>
  <c r="N618" i="1"/>
  <c r="M609" i="1"/>
  <c r="M608" i="1"/>
  <c r="M594" i="1"/>
  <c r="I590" i="1"/>
  <c r="N583" i="1"/>
  <c r="M565" i="1"/>
  <c r="I554" i="1"/>
  <c r="M540" i="1"/>
  <c r="J521" i="1"/>
  <c r="N507" i="1"/>
  <c r="I501" i="1"/>
  <c r="M487" i="1"/>
  <c r="N477" i="1"/>
  <c r="M476" i="1"/>
  <c r="I471" i="1"/>
  <c r="M464" i="1"/>
  <c r="N453" i="1"/>
  <c r="M448" i="1"/>
  <c r="I442" i="1"/>
  <c r="M422" i="1"/>
  <c r="M420" i="1"/>
  <c r="M417" i="1"/>
  <c r="I413" i="1"/>
  <c r="J403" i="1"/>
  <c r="I395" i="1"/>
  <c r="M383" i="1"/>
  <c r="M382" i="1"/>
  <c r="J354" i="1"/>
  <c r="M351" i="1"/>
  <c r="N342" i="1"/>
  <c r="I334" i="1"/>
  <c r="I333" i="1"/>
  <c r="N320" i="1"/>
  <c r="I301" i="1"/>
  <c r="I298" i="1"/>
  <c r="N279" i="1"/>
  <c r="J279" i="1"/>
  <c r="M274" i="1"/>
  <c r="M264" i="1"/>
  <c r="I254" i="1"/>
  <c r="I243" i="1"/>
  <c r="M233" i="1"/>
  <c r="N221" i="1"/>
  <c r="J205" i="1"/>
  <c r="I194" i="1"/>
  <c r="J175" i="1"/>
  <c r="M148" i="1"/>
  <c r="M132" i="1"/>
  <c r="N132" i="1"/>
  <c r="M103" i="1"/>
  <c r="I102" i="1"/>
  <c r="J89" i="1"/>
  <c r="N89" i="1"/>
  <c r="M150" i="1"/>
  <c r="J110" i="1"/>
  <c r="N110" i="1"/>
  <c r="I130" i="1"/>
  <c r="M36" i="1"/>
  <c r="J142" i="1"/>
  <c r="I122" i="1"/>
  <c r="J112" i="1"/>
  <c r="J60" i="1"/>
  <c r="N60" i="1"/>
  <c r="M40" i="1"/>
  <c r="M39" i="1"/>
  <c r="J21" i="1"/>
  <c r="N101" i="1"/>
  <c r="J90" i="1"/>
  <c r="J68" i="1"/>
  <c r="N68" i="1"/>
  <c r="J7" i="1"/>
  <c r="N7" i="1"/>
  <c r="M28" i="1"/>
  <c r="I149" i="1"/>
  <c r="I148" i="1"/>
  <c r="I147" i="1"/>
  <c r="J121" i="1"/>
  <c r="M119" i="1"/>
  <c r="I118" i="1"/>
  <c r="I116" i="1"/>
  <c r="J113" i="1"/>
  <c r="N102" i="1"/>
  <c r="J91" i="1"/>
  <c r="J70" i="1"/>
  <c r="J69" i="1"/>
  <c r="N69" i="1"/>
  <c r="I65" i="1"/>
  <c r="J65" i="1"/>
  <c r="I96" i="1"/>
  <c r="J92" i="1"/>
  <c r="N90" i="1"/>
  <c r="J72" i="1"/>
  <c r="I51" i="1"/>
  <c r="M33" i="1"/>
  <c r="J10" i="1"/>
  <c r="N10" i="1"/>
  <c r="N572" i="1"/>
  <c r="N557" i="1"/>
  <c r="M553" i="1"/>
  <c r="M552" i="1"/>
  <c r="M546" i="1"/>
  <c r="J539" i="1"/>
  <c r="M531" i="1"/>
  <c r="M529" i="1"/>
  <c r="I516" i="1"/>
  <c r="I503" i="1"/>
  <c r="I498" i="1"/>
  <c r="M486" i="1"/>
  <c r="I484" i="1"/>
  <c r="N463" i="1"/>
  <c r="N459" i="1"/>
  <c r="M458" i="1"/>
  <c r="I452" i="1"/>
  <c r="I438" i="1"/>
  <c r="I427" i="1"/>
  <c r="N416" i="1"/>
  <c r="M402" i="1"/>
  <c r="I399" i="1"/>
  <c r="J396" i="1"/>
  <c r="M390" i="1"/>
  <c r="M388" i="1"/>
  <c r="I380" i="1"/>
  <c r="I351" i="1"/>
  <c r="M342" i="1"/>
  <c r="M326" i="1"/>
  <c r="M323" i="1"/>
  <c r="I319" i="1"/>
  <c r="M301" i="1"/>
  <c r="J287" i="1"/>
  <c r="M279" i="1"/>
  <c r="J255" i="1"/>
  <c r="N248" i="1"/>
  <c r="M248" i="1"/>
  <c r="I211" i="1"/>
  <c r="N202" i="1"/>
  <c r="J197" i="1"/>
  <c r="J196" i="1"/>
  <c r="J189" i="1"/>
  <c r="N189" i="1"/>
  <c r="M179" i="1"/>
  <c r="M156" i="1"/>
  <c r="N118" i="1"/>
  <c r="M54" i="1"/>
  <c r="N49" i="1"/>
  <c r="M35" i="1"/>
  <c r="N35" i="1"/>
  <c r="J19" i="1"/>
  <c r="N19" i="1"/>
  <c r="J18" i="1"/>
  <c r="N11" i="1"/>
  <c r="M30" i="1"/>
  <c r="N13" i="1"/>
  <c r="M261" i="1"/>
  <c r="I259" i="1"/>
  <c r="J248" i="1"/>
  <c r="M239" i="1"/>
  <c r="M234" i="1"/>
  <c r="M226" i="1"/>
  <c r="M223" i="1"/>
  <c r="M220" i="1"/>
  <c r="J202" i="1"/>
  <c r="N201" i="1"/>
  <c r="N195" i="1"/>
  <c r="I183" i="1"/>
  <c r="M161" i="1"/>
  <c r="M160" i="1"/>
  <c r="I158" i="1"/>
  <c r="I152" i="1"/>
  <c r="M142" i="1"/>
  <c r="J136" i="1"/>
  <c r="J123" i="1"/>
  <c r="M120" i="1"/>
  <c r="I117" i="1"/>
  <c r="N114" i="1"/>
  <c r="M112" i="1"/>
  <c r="M109" i="1"/>
  <c r="N93" i="1"/>
  <c r="J63" i="1"/>
  <c r="J62" i="1"/>
  <c r="I55" i="1"/>
  <c r="I38" i="1"/>
  <c r="I32" i="1"/>
  <c r="J16" i="1"/>
  <c r="M229" i="1"/>
  <c r="J180" i="1"/>
  <c r="J176" i="1"/>
  <c r="J124" i="1"/>
  <c r="J107" i="1"/>
  <c r="J95" i="1"/>
  <c r="J84" i="1"/>
  <c r="I83" i="1"/>
  <c r="I81" i="1"/>
  <c r="I80" i="1"/>
  <c r="I75" i="1"/>
  <c r="I56" i="1"/>
  <c r="M42" i="1"/>
  <c r="I39" i="1"/>
  <c r="I30" i="1"/>
  <c r="J26" i="1"/>
  <c r="N14" i="1"/>
  <c r="N12" i="1"/>
  <c r="M10" i="1"/>
  <c r="M187" i="1"/>
  <c r="M173" i="1"/>
  <c r="I169" i="1"/>
  <c r="I161" i="1"/>
  <c r="J160" i="1"/>
  <c r="I157" i="1"/>
  <c r="I156" i="1"/>
  <c r="I154" i="1"/>
  <c r="N145" i="1"/>
  <c r="N115" i="1"/>
  <c r="I109" i="1"/>
  <c r="I106" i="1"/>
  <c r="J96" i="1"/>
  <c r="I76" i="1"/>
  <c r="I72" i="1"/>
  <c r="M61" i="1"/>
  <c r="I57" i="1"/>
  <c r="N21" i="1"/>
  <c r="M13" i="1"/>
  <c r="J181" i="1"/>
  <c r="N179" i="1"/>
  <c r="J178" i="1"/>
  <c r="N125" i="1"/>
  <c r="J53" i="1"/>
  <c r="I308" i="1"/>
  <c r="I302" i="1"/>
  <c r="M282" i="1"/>
  <c r="N280" i="1"/>
  <c r="N250" i="1"/>
  <c r="J247" i="1"/>
  <c r="M241" i="1"/>
  <c r="I240" i="1"/>
  <c r="M230" i="1"/>
  <c r="M214" i="1"/>
  <c r="M213" i="1"/>
  <c r="M211" i="1"/>
  <c r="M203" i="1"/>
  <c r="N197" i="1"/>
  <c r="M195" i="1"/>
  <c r="I192" i="1"/>
  <c r="I185" i="1"/>
  <c r="N182" i="1"/>
  <c r="M176" i="1"/>
  <c r="I168" i="1"/>
  <c r="N149" i="1"/>
  <c r="J148" i="1"/>
  <c r="J146" i="1"/>
  <c r="M136" i="1"/>
  <c r="M133" i="1"/>
  <c r="M123" i="1"/>
  <c r="J118" i="1"/>
  <c r="N116" i="1"/>
  <c r="M114" i="1"/>
  <c r="I113" i="1"/>
  <c r="J102" i="1"/>
  <c r="J101" i="1"/>
  <c r="M94" i="1"/>
  <c r="I88" i="1"/>
  <c r="J87" i="1"/>
  <c r="I86" i="1"/>
  <c r="I85" i="1"/>
  <c r="M67" i="1"/>
  <c r="I58" i="1"/>
  <c r="J54" i="1"/>
  <c r="J48" i="1"/>
  <c r="I44" i="1"/>
  <c r="J36" i="1"/>
  <c r="J29" i="1"/>
  <c r="J28" i="1"/>
  <c r="M22" i="1"/>
  <c r="M20" i="1"/>
  <c r="N18" i="1"/>
  <c r="J13" i="1"/>
  <c r="I6" i="1"/>
  <c r="I68" i="1"/>
  <c r="I67" i="1"/>
  <c r="I64" i="1"/>
  <c r="J56" i="1"/>
  <c r="N40" i="1"/>
  <c r="I12" i="1"/>
  <c r="N4" i="1"/>
  <c r="M272" i="1"/>
  <c r="I270" i="1"/>
  <c r="I268" i="1"/>
  <c r="M250" i="1"/>
  <c r="M246" i="1"/>
  <c r="M232" i="1"/>
  <c r="I231" i="1"/>
  <c r="I216" i="1"/>
  <c r="I215" i="1"/>
  <c r="I213" i="1"/>
  <c r="I203" i="1"/>
  <c r="M181" i="1"/>
  <c r="I180" i="1"/>
  <c r="N166" i="1"/>
  <c r="J159" i="1"/>
  <c r="J141" i="1"/>
  <c r="M137" i="1"/>
  <c r="I132" i="1"/>
  <c r="M130" i="1"/>
  <c r="I124" i="1"/>
  <c r="I123" i="1"/>
  <c r="N120" i="1"/>
  <c r="M115" i="1"/>
  <c r="J108" i="1"/>
  <c r="M99" i="1"/>
  <c r="M98" i="1"/>
  <c r="I93" i="1"/>
  <c r="N84" i="1"/>
  <c r="N83" i="1"/>
  <c r="J75" i="1"/>
  <c r="J57" i="1"/>
  <c r="M51" i="1"/>
  <c r="M49" i="1"/>
  <c r="N43" i="1"/>
  <c r="M27" i="1"/>
  <c r="I26" i="1"/>
  <c r="I24" i="1"/>
  <c r="I19" i="1"/>
  <c r="I749" i="1"/>
  <c r="J747" i="1"/>
  <c r="J702" i="1"/>
  <c r="N701" i="1"/>
  <c r="J743" i="1"/>
  <c r="J738" i="1"/>
  <c r="J737" i="1"/>
  <c r="M736" i="1"/>
  <c r="J726" i="1"/>
  <c r="M725" i="1"/>
  <c r="M724" i="1"/>
  <c r="I691" i="1"/>
  <c r="I689" i="1"/>
  <c r="I687" i="1"/>
  <c r="N680" i="1"/>
  <c r="M667" i="1"/>
  <c r="I653" i="1"/>
  <c r="J652" i="1"/>
  <c r="M650" i="1"/>
  <c r="N632" i="1"/>
  <c r="M631" i="1"/>
  <c r="M625" i="1"/>
  <c r="J622" i="1"/>
  <c r="N622" i="1"/>
  <c r="I597" i="1"/>
  <c r="J597" i="1"/>
  <c r="J578" i="1"/>
  <c r="I571" i="1"/>
  <c r="J562" i="1"/>
  <c r="N554" i="1"/>
  <c r="J505" i="1"/>
  <c r="N505" i="1"/>
  <c r="I487" i="1"/>
  <c r="J487" i="1"/>
  <c r="J467" i="1"/>
  <c r="N467" i="1"/>
  <c r="N449" i="1"/>
  <c r="J449" i="1"/>
  <c r="I314" i="1"/>
  <c r="J314" i="1"/>
  <c r="N752" i="1"/>
  <c r="J745" i="1"/>
  <c r="J736" i="1"/>
  <c r="N733" i="1"/>
  <c r="J725" i="1"/>
  <c r="N723" i="1"/>
  <c r="N648" i="1"/>
  <c r="N646" i="1"/>
  <c r="M628" i="1"/>
  <c r="N615" i="1"/>
  <c r="J561" i="1"/>
  <c r="N547" i="1"/>
  <c r="M547" i="1"/>
  <c r="N546" i="1"/>
  <c r="M542" i="1"/>
  <c r="N542" i="1"/>
  <c r="M523" i="1"/>
  <c r="J506" i="1"/>
  <c r="N506" i="1"/>
  <c r="M500" i="1"/>
  <c r="I489" i="1"/>
  <c r="J489" i="1"/>
  <c r="N483" i="1"/>
  <c r="J481" i="1"/>
  <c r="N481" i="1"/>
  <c r="N450" i="1"/>
  <c r="J450" i="1"/>
  <c r="I746" i="1"/>
  <c r="I738" i="1"/>
  <c r="M734" i="1"/>
  <c r="I670" i="1"/>
  <c r="J662" i="1"/>
  <c r="J613" i="1"/>
  <c r="I572" i="1"/>
  <c r="J572" i="1"/>
  <c r="N551" i="1"/>
  <c r="M551" i="1"/>
  <c r="M525" i="1"/>
  <c r="N525" i="1"/>
  <c r="M405" i="1"/>
  <c r="N405" i="1"/>
  <c r="J582" i="1"/>
  <c r="N582" i="1"/>
  <c r="M556" i="1"/>
  <c r="N556" i="1"/>
  <c r="M682" i="1"/>
  <c r="N682" i="1"/>
  <c r="M680" i="1"/>
  <c r="N678" i="1"/>
  <c r="M664" i="1"/>
  <c r="I647" i="1"/>
  <c r="J645" i="1"/>
  <c r="M643" i="1"/>
  <c r="J631" i="1"/>
  <c r="I631" i="1"/>
  <c r="J627" i="1"/>
  <c r="M620" i="1"/>
  <c r="N620" i="1"/>
  <c r="M536" i="1"/>
  <c r="I521" i="1"/>
  <c r="M519" i="1"/>
  <c r="M511" i="1"/>
  <c r="N479" i="1"/>
  <c r="M479" i="1"/>
  <c r="N457" i="1"/>
  <c r="J438" i="1"/>
  <c r="N438" i="1"/>
  <c r="M409" i="1"/>
  <c r="N409" i="1"/>
  <c r="N750" i="1"/>
  <c r="J729" i="1"/>
  <c r="N729" i="1"/>
  <c r="N718" i="1"/>
  <c r="J739" i="1"/>
  <c r="N732" i="1"/>
  <c r="N728" i="1"/>
  <c r="N717" i="1"/>
  <c r="J704" i="1"/>
  <c r="M698" i="1"/>
  <c r="J694" i="1"/>
  <c r="J693" i="1"/>
  <c r="J680" i="1"/>
  <c r="N677" i="1"/>
  <c r="I646" i="1"/>
  <c r="N641" i="1"/>
  <c r="I632" i="1"/>
  <c r="J621" i="1"/>
  <c r="N613" i="1"/>
  <c r="J585" i="1"/>
  <c r="I550" i="1"/>
  <c r="J550" i="1"/>
  <c r="J540" i="1"/>
  <c r="J519" i="1"/>
  <c r="M708" i="1"/>
  <c r="N708" i="1"/>
  <c r="N731" i="1"/>
  <c r="N705" i="1"/>
  <c r="I682" i="1"/>
  <c r="J682" i="1"/>
  <c r="N594" i="1"/>
  <c r="N541" i="1"/>
  <c r="J541" i="1"/>
  <c r="I522" i="1"/>
  <c r="J522" i="1"/>
  <c r="N471" i="1"/>
  <c r="J471" i="1"/>
  <c r="J245" i="1"/>
  <c r="N245" i="1"/>
  <c r="N716" i="1"/>
  <c r="J741" i="1"/>
  <c r="N739" i="1"/>
  <c r="N730" i="1"/>
  <c r="N713" i="1"/>
  <c r="N704" i="1"/>
  <c r="J697" i="1"/>
  <c r="N689" i="1"/>
  <c r="N674" i="1"/>
  <c r="M657" i="1"/>
  <c r="J642" i="1"/>
  <c r="N640" i="1"/>
  <c r="J634" i="1"/>
  <c r="N634" i="1"/>
  <c r="J615" i="1"/>
  <c r="M613" i="1"/>
  <c r="M611" i="1"/>
  <c r="N596" i="1"/>
  <c r="M592" i="1"/>
  <c r="N592" i="1"/>
  <c r="N586" i="1"/>
  <c r="N581" i="1"/>
  <c r="M581" i="1"/>
  <c r="N575" i="1"/>
  <c r="J558" i="1"/>
  <c r="I531" i="1"/>
  <c r="J507" i="1"/>
  <c r="I329" i="1"/>
  <c r="J329" i="1"/>
  <c r="N706" i="1"/>
  <c r="N749" i="1"/>
  <c r="M727" i="1"/>
  <c r="M714" i="1"/>
  <c r="N714" i="1"/>
  <c r="N692" i="1"/>
  <c r="N687" i="1"/>
  <c r="J676" i="1"/>
  <c r="N671" i="1"/>
  <c r="J671" i="1"/>
  <c r="N668" i="1"/>
  <c r="N637" i="1"/>
  <c r="M636" i="1"/>
  <c r="J612" i="1"/>
  <c r="J611" i="1"/>
  <c r="I535" i="1"/>
  <c r="J535" i="1"/>
  <c r="J503" i="1"/>
  <c r="N503" i="1"/>
  <c r="M456" i="1"/>
  <c r="N456" i="1"/>
  <c r="J428" i="1"/>
  <c r="N428" i="1"/>
  <c r="M421" i="1"/>
  <c r="N421" i="1"/>
  <c r="J715" i="1"/>
  <c r="J690" i="1"/>
  <c r="J672" i="1"/>
  <c r="J658" i="1"/>
  <c r="J648" i="1"/>
  <c r="J646" i="1"/>
  <c r="J626" i="1"/>
  <c r="N626" i="1"/>
  <c r="J608" i="1"/>
  <c r="N600" i="1"/>
  <c r="J589" i="1"/>
  <c r="J588" i="1"/>
  <c r="N577" i="1"/>
  <c r="N565" i="1"/>
  <c r="N548" i="1"/>
  <c r="J544" i="1"/>
  <c r="I528" i="1"/>
  <c r="J528" i="1"/>
  <c r="I510" i="1"/>
  <c r="J510" i="1"/>
  <c r="N721" i="1"/>
  <c r="J721" i="1"/>
  <c r="I718" i="1"/>
  <c r="N700" i="1"/>
  <c r="J691" i="1"/>
  <c r="J688" i="1"/>
  <c r="N645" i="1"/>
  <c r="I609" i="1"/>
  <c r="J609" i="1"/>
  <c r="M570" i="1"/>
  <c r="N570" i="1"/>
  <c r="J545" i="1"/>
  <c r="J526" i="1"/>
  <c r="N526" i="1"/>
  <c r="J504" i="1"/>
  <c r="N504" i="1"/>
  <c r="N495" i="1"/>
  <c r="I486" i="1"/>
  <c r="J486" i="1"/>
  <c r="I469" i="1"/>
  <c r="J469" i="1"/>
  <c r="N465" i="1"/>
  <c r="J465" i="1"/>
  <c r="N448" i="1"/>
  <c r="J448" i="1"/>
  <c r="J727" i="1"/>
  <c r="I716" i="1"/>
  <c r="N670" i="1"/>
  <c r="I661" i="1"/>
  <c r="J661" i="1"/>
  <c r="J636" i="1"/>
  <c r="N619" i="1"/>
  <c r="I604" i="1"/>
  <c r="J603" i="1"/>
  <c r="J601" i="1"/>
  <c r="I596" i="1"/>
  <c r="I589" i="1"/>
  <c r="M584" i="1"/>
  <c r="N584" i="1"/>
  <c r="M577" i="1"/>
  <c r="J560" i="1"/>
  <c r="N560" i="1"/>
  <c r="J531" i="1"/>
  <c r="N531" i="1"/>
  <c r="J515" i="1"/>
  <c r="N515" i="1"/>
  <c r="N378" i="1"/>
  <c r="J378" i="1"/>
  <c r="I437" i="1"/>
  <c r="J437" i="1"/>
  <c r="J434" i="1"/>
  <c r="N434" i="1"/>
  <c r="J416" i="1"/>
  <c r="I416" i="1"/>
  <c r="N393" i="1"/>
  <c r="M393" i="1"/>
  <c r="J382" i="1"/>
  <c r="N382" i="1"/>
  <c r="M534" i="1"/>
  <c r="J527" i="1"/>
  <c r="N527" i="1"/>
  <c r="I515" i="1"/>
  <c r="N435" i="1"/>
  <c r="J435" i="1"/>
  <c r="M394" i="1"/>
  <c r="N394" i="1"/>
  <c r="N357" i="1"/>
  <c r="M357" i="1"/>
  <c r="J328" i="1"/>
  <c r="M753" i="1"/>
  <c r="M731" i="1"/>
  <c r="I703" i="1"/>
  <c r="M693" i="1"/>
  <c r="I685" i="1"/>
  <c r="J663" i="1"/>
  <c r="M660" i="1"/>
  <c r="J656" i="1"/>
  <c r="I650" i="1"/>
  <c r="I611" i="1"/>
  <c r="J607" i="1"/>
  <c r="J606" i="1"/>
  <c r="J605" i="1"/>
  <c r="M595" i="1"/>
  <c r="M571" i="1"/>
  <c r="J568" i="1"/>
  <c r="J567" i="1"/>
  <c r="M557" i="1"/>
  <c r="M543" i="1"/>
  <c r="M509" i="1"/>
  <c r="J490" i="1"/>
  <c r="N490" i="1"/>
  <c r="N487" i="1"/>
  <c r="J459" i="1"/>
  <c r="I459" i="1"/>
  <c r="J666" i="1"/>
  <c r="J654" i="1"/>
  <c r="J630" i="1"/>
  <c r="J520" i="1"/>
  <c r="I511" i="1"/>
  <c r="J492" i="1"/>
  <c r="N492" i="1"/>
  <c r="J488" i="1"/>
  <c r="N488" i="1"/>
  <c r="J470" i="1"/>
  <c r="M462" i="1"/>
  <c r="N462" i="1"/>
  <c r="J461" i="1"/>
  <c r="I460" i="1"/>
  <c r="N436" i="1"/>
  <c r="J436" i="1"/>
  <c r="J386" i="1"/>
  <c r="N386" i="1"/>
  <c r="I360" i="1"/>
  <c r="J360" i="1"/>
  <c r="J353" i="1"/>
  <c r="N353" i="1"/>
  <c r="J493" i="1"/>
  <c r="J480" i="1"/>
  <c r="N480" i="1"/>
  <c r="N472" i="1"/>
  <c r="J472" i="1"/>
  <c r="I461" i="1"/>
  <c r="N423" i="1"/>
  <c r="J397" i="1"/>
  <c r="I397" i="1"/>
  <c r="N293" i="1"/>
  <c r="J293" i="1"/>
  <c r="J290" i="1"/>
  <c r="N290" i="1"/>
  <c r="N406" i="1"/>
  <c r="J406" i="1"/>
  <c r="I556" i="1"/>
  <c r="J537" i="1"/>
  <c r="N537" i="1"/>
  <c r="N512" i="1"/>
  <c r="M498" i="1"/>
  <c r="M485" i="1"/>
  <c r="M477" i="1"/>
  <c r="N460" i="1"/>
  <c r="J460" i="1"/>
  <c r="J458" i="1"/>
  <c r="N458" i="1"/>
  <c r="J398" i="1"/>
  <c r="I398" i="1"/>
  <c r="N624" i="1"/>
  <c r="J598" i="1"/>
  <c r="I593" i="1"/>
  <c r="I583" i="1"/>
  <c r="M564" i="1"/>
  <c r="N564" i="1"/>
  <c r="N539" i="1"/>
  <c r="M520" i="1"/>
  <c r="N493" i="1"/>
  <c r="I466" i="1"/>
  <c r="N444" i="1"/>
  <c r="M444" i="1"/>
  <c r="M443" i="1"/>
  <c r="M415" i="1"/>
  <c r="N415" i="1"/>
  <c r="M414" i="1"/>
  <c r="N414" i="1"/>
  <c r="J375" i="1"/>
  <c r="N375" i="1"/>
  <c r="J344" i="1"/>
  <c r="N344" i="1"/>
  <c r="N337" i="1"/>
  <c r="M337" i="1"/>
  <c r="N301" i="1"/>
  <c r="J301" i="1"/>
  <c r="J297" i="1"/>
  <c r="N297" i="1"/>
  <c r="N446" i="1"/>
  <c r="M446" i="1"/>
  <c r="N441" i="1"/>
  <c r="N440" i="1"/>
  <c r="N439" i="1"/>
  <c r="I379" i="1"/>
  <c r="J379" i="1"/>
  <c r="J367" i="1"/>
  <c r="N367" i="1"/>
  <c r="J498" i="1"/>
  <c r="I494" i="1"/>
  <c r="M435" i="1"/>
  <c r="J432" i="1"/>
  <c r="N410" i="1"/>
  <c r="J410" i="1"/>
  <c r="N371" i="1"/>
  <c r="J371" i="1"/>
  <c r="N365" i="1"/>
  <c r="M365" i="1"/>
  <c r="N352" i="1"/>
  <c r="I348" i="1"/>
  <c r="J347" i="1"/>
  <c r="I343" i="1"/>
  <c r="J343" i="1"/>
  <c r="M291" i="1"/>
  <c r="N291" i="1"/>
  <c r="N278" i="1"/>
  <c r="M709" i="1"/>
  <c r="M676" i="1"/>
  <c r="I656" i="1"/>
  <c r="M621" i="1"/>
  <c r="M604" i="1"/>
  <c r="J592" i="1"/>
  <c r="I584" i="1"/>
  <c r="J546" i="1"/>
  <c r="J509" i="1"/>
  <c r="N478" i="1"/>
  <c r="J478" i="1"/>
  <c r="J447" i="1"/>
  <c r="N447" i="1"/>
  <c r="N286" i="1"/>
  <c r="J286" i="1"/>
  <c r="N372" i="1"/>
  <c r="J372" i="1"/>
  <c r="J356" i="1"/>
  <c r="N356" i="1"/>
  <c r="N335" i="1"/>
  <c r="J330" i="1"/>
  <c r="N330" i="1"/>
  <c r="M298" i="1"/>
  <c r="N298" i="1"/>
  <c r="J259" i="1"/>
  <c r="J373" i="1"/>
  <c r="N373" i="1"/>
  <c r="I350" i="1"/>
  <c r="J350" i="1"/>
  <c r="N336" i="1"/>
  <c r="J311" i="1"/>
  <c r="N311" i="1"/>
  <c r="M454" i="1"/>
  <c r="J442" i="1"/>
  <c r="J433" i="1"/>
  <c r="N433" i="1"/>
  <c r="I425" i="1"/>
  <c r="I415" i="1"/>
  <c r="J415" i="1"/>
  <c r="N407" i="1"/>
  <c r="J405" i="1"/>
  <c r="M308" i="1"/>
  <c r="N308" i="1"/>
  <c r="J271" i="1"/>
  <c r="N271" i="1"/>
  <c r="N374" i="1"/>
  <c r="J374" i="1"/>
  <c r="I370" i="1"/>
  <c r="M324" i="1"/>
  <c r="N324" i="1"/>
  <c r="J260" i="1"/>
  <c r="I260" i="1"/>
  <c r="M340" i="1"/>
  <c r="N340" i="1"/>
  <c r="M338" i="1"/>
  <c r="N338" i="1"/>
  <c r="J335" i="1"/>
  <c r="J273" i="1"/>
  <c r="N273" i="1"/>
  <c r="N388" i="1"/>
  <c r="N384" i="1"/>
  <c r="J384" i="1"/>
  <c r="J366" i="1"/>
  <c r="N366" i="1"/>
  <c r="N351" i="1"/>
  <c r="J351" i="1"/>
  <c r="M341" i="1"/>
  <c r="N341" i="1"/>
  <c r="I337" i="1"/>
  <c r="J337" i="1"/>
  <c r="I483" i="1"/>
  <c r="J479" i="1"/>
  <c r="N469" i="1"/>
  <c r="J457" i="1"/>
  <c r="I450" i="1"/>
  <c r="M433" i="1"/>
  <c r="J429" i="1"/>
  <c r="M427" i="1"/>
  <c r="J404" i="1"/>
  <c r="J401" i="1"/>
  <c r="N368" i="1"/>
  <c r="J368" i="1"/>
  <c r="J302" i="1"/>
  <c r="N302" i="1"/>
  <c r="I241" i="1"/>
  <c r="J241" i="1"/>
  <c r="N234" i="1"/>
  <c r="J234" i="1"/>
  <c r="M742" i="1"/>
  <c r="M703" i="1"/>
  <c r="J660" i="1"/>
  <c r="I600" i="1"/>
  <c r="J580" i="1"/>
  <c r="M559" i="1"/>
  <c r="N524" i="1"/>
  <c r="M470" i="1"/>
  <c r="N437" i="1"/>
  <c r="M437" i="1"/>
  <c r="N424" i="1"/>
  <c r="J419" i="1"/>
  <c r="N413" i="1"/>
  <c r="N396" i="1"/>
  <c r="J369" i="1"/>
  <c r="N369" i="1"/>
  <c r="J264" i="1"/>
  <c r="N264" i="1"/>
  <c r="J306" i="1"/>
  <c r="N306" i="1"/>
  <c r="J305" i="1"/>
  <c r="N305" i="1"/>
  <c r="I280" i="1"/>
  <c r="J276" i="1"/>
  <c r="N276" i="1"/>
  <c r="I165" i="1"/>
  <c r="J165" i="1"/>
  <c r="M205" i="1"/>
  <c r="N205" i="1"/>
  <c r="I392" i="1"/>
  <c r="I390" i="1"/>
  <c r="J376" i="1"/>
  <c r="N376" i="1"/>
  <c r="M349" i="1"/>
  <c r="N349" i="1"/>
  <c r="M346" i="1"/>
  <c r="N346" i="1"/>
  <c r="N345" i="1"/>
  <c r="J289" i="1"/>
  <c r="N289" i="1"/>
  <c r="N275" i="1"/>
  <c r="M275" i="1"/>
  <c r="J233" i="1"/>
  <c r="N233" i="1"/>
  <c r="M665" i="1"/>
  <c r="I628" i="1"/>
  <c r="I594" i="1"/>
  <c r="M560" i="1"/>
  <c r="I547" i="1"/>
  <c r="I539" i="1"/>
  <c r="M526" i="1"/>
  <c r="N476" i="1"/>
  <c r="J475" i="1"/>
  <c r="N397" i="1"/>
  <c r="I371" i="1"/>
  <c r="N354" i="1"/>
  <c r="J349" i="1"/>
  <c r="I349" i="1"/>
  <c r="N329" i="1"/>
  <c r="N323" i="1"/>
  <c r="N266" i="1"/>
  <c r="J266" i="1"/>
  <c r="M260" i="1"/>
  <c r="N260" i="1"/>
  <c r="N242" i="1"/>
  <c r="J242" i="1"/>
  <c r="N246" i="1"/>
  <c r="J246" i="1"/>
  <c r="J243" i="1"/>
  <c r="I236" i="1"/>
  <c r="J236" i="1"/>
  <c r="J272" i="1"/>
  <c r="N272" i="1"/>
  <c r="M253" i="1"/>
  <c r="M186" i="1"/>
  <c r="N186" i="1"/>
  <c r="J319" i="1"/>
  <c r="N319" i="1"/>
  <c r="I310" i="1"/>
  <c r="I299" i="1"/>
  <c r="M265" i="1"/>
  <c r="I264" i="1"/>
  <c r="I261" i="1"/>
  <c r="I256" i="1"/>
  <c r="N240" i="1"/>
  <c r="J240" i="1"/>
  <c r="J237" i="1"/>
  <c r="N237" i="1"/>
  <c r="M355" i="1"/>
  <c r="J334" i="1"/>
  <c r="N313" i="1"/>
  <c r="J313" i="1"/>
  <c r="N312" i="1"/>
  <c r="M293" i="1"/>
  <c r="M292" i="1"/>
  <c r="M280" i="1"/>
  <c r="I533" i="1"/>
  <c r="I517" i="1"/>
  <c r="I500" i="1"/>
  <c r="N484" i="1"/>
  <c r="J474" i="1"/>
  <c r="I439" i="1"/>
  <c r="N427" i="1"/>
  <c r="I421" i="1"/>
  <c r="J411" i="1"/>
  <c r="N408" i="1"/>
  <c r="M403" i="1"/>
  <c r="J394" i="1"/>
  <c r="I383" i="1"/>
  <c r="M377" i="1"/>
  <c r="N370" i="1"/>
  <c r="M370" i="1"/>
  <c r="J363" i="1"/>
  <c r="J362" i="1"/>
  <c r="N360" i="1"/>
  <c r="I357" i="1"/>
  <c r="N281" i="1"/>
  <c r="M281" i="1"/>
  <c r="I267" i="1"/>
  <c r="J267" i="1"/>
  <c r="I265" i="1"/>
  <c r="J265" i="1"/>
  <c r="J239" i="1"/>
  <c r="N239" i="1"/>
  <c r="J231" i="1"/>
  <c r="N231" i="1"/>
  <c r="J195" i="1"/>
  <c r="J143" i="1"/>
  <c r="N143" i="1"/>
  <c r="J177" i="1"/>
  <c r="N177" i="1"/>
  <c r="N175" i="1"/>
  <c r="I367" i="1"/>
  <c r="M343" i="1"/>
  <c r="N343" i="1"/>
  <c r="J340" i="1"/>
  <c r="M332" i="1"/>
  <c r="I322" i="1"/>
  <c r="I277" i="1"/>
  <c r="I251" i="1"/>
  <c r="N180" i="1"/>
  <c r="I294" i="1"/>
  <c r="J294" i="1"/>
  <c r="N267" i="1"/>
  <c r="I249" i="1"/>
  <c r="J238" i="1"/>
  <c r="N183" i="1"/>
  <c r="J183" i="1"/>
  <c r="J485" i="1"/>
  <c r="J462" i="1"/>
  <c r="J454" i="1"/>
  <c r="J445" i="1"/>
  <c r="N445" i="1"/>
  <c r="I423" i="1"/>
  <c r="I396" i="1"/>
  <c r="I384" i="1"/>
  <c r="N358" i="1"/>
  <c r="I316" i="1"/>
  <c r="N310" i="1"/>
  <c r="I306" i="1"/>
  <c r="N285" i="1"/>
  <c r="N282" i="1"/>
  <c r="N265" i="1"/>
  <c r="N259" i="1"/>
  <c r="N258" i="1"/>
  <c r="J229" i="1"/>
  <c r="N229" i="1"/>
  <c r="J256" i="1"/>
  <c r="J253" i="1"/>
  <c r="N253" i="1"/>
  <c r="J185" i="1"/>
  <c r="N185" i="1"/>
  <c r="J468" i="1"/>
  <c r="N452" i="1"/>
  <c r="J424" i="1"/>
  <c r="J393" i="1"/>
  <c r="I393" i="1"/>
  <c r="N390" i="1"/>
  <c r="J346" i="1"/>
  <c r="J345" i="1"/>
  <c r="M325" i="1"/>
  <c r="N318" i="1"/>
  <c r="I303" i="1"/>
  <c r="J303" i="1"/>
  <c r="J296" i="1"/>
  <c r="N295" i="1"/>
  <c r="N292" i="1"/>
  <c r="I233" i="1"/>
  <c r="J206" i="1"/>
  <c r="N206" i="1"/>
  <c r="J144" i="1"/>
  <c r="N144" i="1"/>
  <c r="N142" i="1"/>
  <c r="N317" i="1"/>
  <c r="J291" i="1"/>
  <c r="N269" i="1"/>
  <c r="M183" i="1"/>
  <c r="J182" i="1"/>
  <c r="M180" i="1"/>
  <c r="I171" i="1"/>
  <c r="J145" i="1"/>
  <c r="J451" i="1"/>
  <c r="N443" i="1"/>
  <c r="I435" i="1"/>
  <c r="I426" i="1"/>
  <c r="I417" i="1"/>
  <c r="N364" i="1"/>
  <c r="M344" i="1"/>
  <c r="I323" i="1"/>
  <c r="J315" i="1"/>
  <c r="J251" i="1"/>
  <c r="M222" i="1"/>
  <c r="N222" i="1"/>
  <c r="M192" i="1"/>
  <c r="N192" i="1"/>
  <c r="M177" i="1"/>
  <c r="M270" i="1"/>
  <c r="I262" i="1"/>
  <c r="M231" i="1"/>
  <c r="I230" i="1"/>
  <c r="J230" i="1"/>
  <c r="I227" i="1"/>
  <c r="I226" i="1"/>
  <c r="I224" i="1"/>
  <c r="I221" i="1"/>
  <c r="I220" i="1"/>
  <c r="M217" i="1"/>
  <c r="N130" i="1"/>
  <c r="M158" i="1"/>
  <c r="M152" i="1"/>
  <c r="N152" i="1"/>
  <c r="M124" i="1"/>
  <c r="N124" i="1"/>
  <c r="I137" i="1"/>
  <c r="J137" i="1"/>
  <c r="M438" i="1"/>
  <c r="I401" i="1"/>
  <c r="I368" i="1"/>
  <c r="M333" i="1"/>
  <c r="I290" i="1"/>
  <c r="J284" i="1"/>
  <c r="M271" i="1"/>
  <c r="N268" i="1"/>
  <c r="M237" i="1"/>
  <c r="M236" i="1"/>
  <c r="I174" i="1"/>
  <c r="J111" i="1"/>
  <c r="I120" i="1"/>
  <c r="J120" i="1"/>
  <c r="I104" i="1"/>
  <c r="J104" i="1"/>
  <c r="J44" i="1"/>
  <c r="N44" i="1"/>
  <c r="M113" i="1"/>
  <c r="N113" i="1"/>
  <c r="M204" i="1"/>
  <c r="M202" i="1"/>
  <c r="M138" i="1"/>
  <c r="J119" i="1"/>
  <c r="N119" i="1"/>
  <c r="J85" i="1"/>
  <c r="M141" i="1"/>
  <c r="N141" i="1"/>
  <c r="J93" i="1"/>
  <c r="M59" i="1"/>
  <c r="N59" i="1"/>
  <c r="M155" i="1"/>
  <c r="M154" i="1"/>
  <c r="M96" i="1"/>
  <c r="N96" i="1"/>
  <c r="I191" i="1"/>
  <c r="I190" i="1"/>
  <c r="I188" i="1"/>
  <c r="I184" i="1"/>
  <c r="I179" i="1"/>
  <c r="M175" i="1"/>
  <c r="I163" i="1"/>
  <c r="I162" i="1"/>
  <c r="I160" i="1"/>
  <c r="M149" i="1"/>
  <c r="N148" i="1"/>
  <c r="J138" i="1"/>
  <c r="N138" i="1"/>
  <c r="J139" i="1"/>
  <c r="N139" i="1"/>
  <c r="J41" i="1"/>
  <c r="N41" i="1"/>
  <c r="M102" i="1"/>
  <c r="M91" i="1"/>
  <c r="N91" i="1"/>
  <c r="I27" i="1"/>
  <c r="J27" i="1"/>
  <c r="I23" i="1"/>
  <c r="I17" i="1"/>
  <c r="J17" i="1"/>
  <c r="N121" i="1"/>
  <c r="M86" i="1"/>
  <c r="N86" i="1"/>
  <c r="M83" i="1"/>
  <c r="M82" i="1"/>
  <c r="M127" i="1"/>
  <c r="M126" i="1"/>
  <c r="M121" i="1"/>
  <c r="I94" i="1"/>
  <c r="I90" i="1"/>
  <c r="I89" i="1"/>
  <c r="I87" i="1"/>
  <c r="J58" i="1"/>
  <c r="N58" i="1"/>
  <c r="M47" i="1"/>
  <c r="N47" i="1"/>
  <c r="N167" i="1"/>
  <c r="I139" i="1"/>
  <c r="M77" i="1"/>
  <c r="N56" i="1"/>
  <c r="I46" i="1"/>
  <c r="I317" i="1"/>
  <c r="I278" i="1"/>
  <c r="I245" i="1"/>
  <c r="J232" i="1"/>
  <c r="N232" i="1"/>
  <c r="M199" i="1"/>
  <c r="M198" i="1"/>
  <c r="J173" i="1"/>
  <c r="I140" i="1"/>
  <c r="N117" i="1"/>
  <c r="J94" i="1"/>
  <c r="I77" i="1"/>
  <c r="J77" i="1"/>
  <c r="M64" i="1"/>
  <c r="N64" i="1"/>
  <c r="N62" i="1"/>
  <c r="M56" i="1"/>
  <c r="J45" i="1"/>
  <c r="N45" i="1"/>
  <c r="N26" i="1"/>
  <c r="J114" i="1"/>
  <c r="I112" i="1"/>
  <c r="I111" i="1"/>
  <c r="M108" i="1"/>
  <c r="I63" i="1"/>
  <c r="J46" i="1"/>
  <c r="N46" i="1"/>
  <c r="N29" i="1"/>
  <c r="J24" i="1"/>
  <c r="J115" i="1"/>
  <c r="M105" i="1"/>
  <c r="M104" i="1"/>
  <c r="M44" i="1"/>
  <c r="I43" i="1"/>
  <c r="J43" i="1"/>
  <c r="I33" i="1"/>
  <c r="I22" i="1"/>
  <c r="J22" i="1"/>
  <c r="N16" i="1"/>
  <c r="M3" i="1"/>
  <c r="N3" i="1"/>
  <c r="M80" i="1"/>
  <c r="I69" i="1"/>
  <c r="I66" i="1"/>
  <c r="M31" i="1"/>
  <c r="M18" i="1"/>
  <c r="M16" i="1"/>
  <c r="M15" i="1"/>
  <c r="M9" i="1"/>
  <c r="N9" i="1"/>
  <c r="M6" i="1"/>
  <c r="I5" i="1"/>
  <c r="J5" i="1"/>
  <c r="M197" i="1"/>
  <c r="M172" i="1"/>
  <c r="M171" i="1"/>
  <c r="I151" i="1"/>
  <c r="I150" i="1"/>
  <c r="M147" i="1"/>
  <c r="I129" i="1"/>
  <c r="I128" i="1"/>
  <c r="I126" i="1"/>
  <c r="M118" i="1"/>
  <c r="I79" i="1"/>
  <c r="I78" i="1"/>
  <c r="M75" i="1"/>
  <c r="I62" i="1"/>
  <c r="I61" i="1"/>
  <c r="M53" i="1"/>
  <c r="M26" i="1"/>
  <c r="I11" i="1"/>
  <c r="J11" i="1"/>
  <c r="I8" i="1"/>
  <c r="M208" i="1"/>
  <c r="M207" i="1"/>
  <c r="I201" i="1"/>
  <c r="I200" i="1"/>
  <c r="I198" i="1"/>
  <c r="M194" i="1"/>
  <c r="M193" i="1"/>
  <c r="I177" i="1"/>
  <c r="M169" i="1"/>
  <c r="M144" i="1"/>
  <c r="M143" i="1"/>
  <c r="N136" i="1"/>
  <c r="I101" i="1"/>
  <c r="I100" i="1"/>
  <c r="I98" i="1"/>
  <c r="M72" i="1"/>
  <c r="M71" i="1"/>
  <c r="M50" i="1"/>
  <c r="M48" i="1"/>
  <c r="I14" i="1"/>
  <c r="N20" i="1"/>
  <c r="M228" i="1"/>
  <c r="I210" i="1"/>
  <c r="I209" i="1"/>
  <c r="I207" i="1"/>
  <c r="I196" i="1"/>
  <c r="I195" i="1"/>
  <c r="I193" i="1"/>
  <c r="M189" i="1"/>
  <c r="M188" i="1"/>
  <c r="M164" i="1"/>
  <c r="I146" i="1"/>
  <c r="I145" i="1"/>
  <c r="I143" i="1"/>
  <c r="M135" i="1"/>
  <c r="M110" i="1"/>
  <c r="M88" i="1"/>
  <c r="M87" i="1"/>
  <c r="I74" i="1"/>
  <c r="I73" i="1"/>
  <c r="I71" i="1"/>
  <c r="I52" i="1"/>
  <c r="I50" i="1"/>
  <c r="I49" i="1"/>
  <c r="M23" i="1"/>
  <c r="M21" i="1"/>
  <c r="I2" i="1"/>
  <c r="M2" i="1"/>
  <c r="J2" i="1"/>
  <c r="N2" i="1"/>
</calcChain>
</file>

<file path=xl/sharedStrings.xml><?xml version="1.0" encoding="utf-8"?>
<sst xmlns="http://schemas.openxmlformats.org/spreadsheetml/2006/main" count="4227" uniqueCount="291">
  <si>
    <t>SOURCE</t>
  </si>
  <si>
    <t>COMMODITY</t>
  </si>
  <si>
    <t>COUNTRY</t>
  </si>
  <si>
    <t>TYPE</t>
  </si>
  <si>
    <t>UNIT</t>
  </si>
  <si>
    <t>2024 생산</t>
  </si>
  <si>
    <t>2025 생산(EST.)</t>
  </si>
  <si>
    <t>2025 생산(EST.) 계(Rounded)</t>
  </si>
  <si>
    <t>2025 광종별 생산(EST.) 
국가 점유율(%)</t>
  </si>
  <si>
    <t>2025 광종별 생산(EST.) 
국가 순위</t>
  </si>
  <si>
    <t>2025 광종별 
가채매장량</t>
  </si>
  <si>
    <t>2025 광종별 
가채매장량총계(Rounded)</t>
  </si>
  <si>
    <t>2025 광종별 
가채매장량 국가 점유율(%)</t>
  </si>
  <si>
    <t>2025 광종별 
가채매장량  국가 순위</t>
  </si>
  <si>
    <t>UNIT_MEAS</t>
  </si>
  <si>
    <t>PROD_2024</t>
  </si>
  <si>
    <t>PROD_EST_ 2025</t>
  </si>
  <si>
    <t>RESERVES_2025</t>
  </si>
  <si>
    <t>Antimony</t>
  </si>
  <si>
    <t>United States</t>
  </si>
  <si>
    <t>Mine production, antimony content</t>
  </si>
  <si>
    <t>WT002</t>
  </si>
  <si>
    <t>Australia</t>
  </si>
  <si>
    <t>Bolivia</t>
  </si>
  <si>
    <t>Myanmar</t>
  </si>
  <si>
    <t>China</t>
  </si>
  <si>
    <t>Guatemala</t>
  </si>
  <si>
    <t>Iran</t>
  </si>
  <si>
    <t>Kazakhstan</t>
  </si>
  <si>
    <t>Laos</t>
  </si>
  <si>
    <t>Mexico</t>
  </si>
  <si>
    <t>Pakistan</t>
  </si>
  <si>
    <t xml:space="preserve">Russia </t>
  </si>
  <si>
    <t>Tajikistan</t>
  </si>
  <si>
    <t>Vietnam</t>
  </si>
  <si>
    <t>World total (rounded)</t>
  </si>
  <si>
    <t>Arsenic</t>
  </si>
  <si>
    <t>Plant production, arsenic trioxide or calculated equivalent.</t>
  </si>
  <si>
    <t>Belgium</t>
  </si>
  <si>
    <t>Japan</t>
  </si>
  <si>
    <t>Morocco</t>
  </si>
  <si>
    <t>Peru</t>
  </si>
  <si>
    <t>Asbestos</t>
  </si>
  <si>
    <t>Mine production, asbestos</t>
  </si>
  <si>
    <t>Brazil</t>
  </si>
  <si>
    <t xml:space="preserve">Barite  </t>
  </si>
  <si>
    <t>Mine production, barite, estimated</t>
  </si>
  <si>
    <t>WT003</t>
  </si>
  <si>
    <t>India</t>
  </si>
  <si>
    <t>Other Countries</t>
  </si>
  <si>
    <t>Bauxite</t>
  </si>
  <si>
    <t>Mine production, bauxite, dry tons</t>
  </si>
  <si>
    <t>Germany</t>
  </si>
  <si>
    <t>Greece</t>
  </si>
  <si>
    <t>Guinea</t>
  </si>
  <si>
    <t>Indonesia</t>
  </si>
  <si>
    <t>Jamaica</t>
  </si>
  <si>
    <t>Saudi Arabia</t>
  </si>
  <si>
    <t>Spain</t>
  </si>
  <si>
    <t xml:space="preserve">Beryllium  </t>
  </si>
  <si>
    <t>Mine production, beryllium content</t>
  </si>
  <si>
    <t>Madagascar</t>
  </si>
  <si>
    <t>Mozambique</t>
  </si>
  <si>
    <t>Rwanda</t>
  </si>
  <si>
    <t>Uganda</t>
  </si>
  <si>
    <t>Bismuth</t>
  </si>
  <si>
    <t>Refinery production</t>
  </si>
  <si>
    <t>Bulgaria</t>
  </si>
  <si>
    <t xml:space="preserve">Boron </t>
  </si>
  <si>
    <t>Boron all types</t>
  </si>
  <si>
    <t>Argentina</t>
  </si>
  <si>
    <t>Chile</t>
  </si>
  <si>
    <t>World total</t>
  </si>
  <si>
    <t xml:space="preserve">Bromine </t>
  </si>
  <si>
    <t>Production, bromine content, estimated</t>
  </si>
  <si>
    <t>Israel</t>
  </si>
  <si>
    <t>Jordan</t>
  </si>
  <si>
    <t>Ukraine</t>
  </si>
  <si>
    <t xml:space="preserve">Cadmium </t>
  </si>
  <si>
    <t>Refinery production, estimated</t>
  </si>
  <si>
    <t>Netherlands</t>
  </si>
  <si>
    <t>Norway</t>
  </si>
  <si>
    <t>Poland</t>
  </si>
  <si>
    <t>Uzbekistan</t>
  </si>
  <si>
    <t>Chromium</t>
  </si>
  <si>
    <t>Mine production, grosss weight, marketable chromite ore</t>
  </si>
  <si>
    <t>Finland</t>
  </si>
  <si>
    <t xml:space="preserve">South Africa </t>
  </si>
  <si>
    <t>Zimbabwe</t>
  </si>
  <si>
    <t>Cobalt</t>
  </si>
  <si>
    <t>Mine production, estimated</t>
  </si>
  <si>
    <t>Mine production, cobalt content, estimated</t>
  </si>
  <si>
    <t>Cuba</t>
  </si>
  <si>
    <t>New Caledonia</t>
  </si>
  <si>
    <t>Philippines</t>
  </si>
  <si>
    <t xml:space="preserve">Copper </t>
  </si>
  <si>
    <t>Mine production, recoverable copper content</t>
  </si>
  <si>
    <t>Zambia</t>
  </si>
  <si>
    <t>Diatomite</t>
  </si>
  <si>
    <t>Czech</t>
  </si>
  <si>
    <t>Denmark</t>
  </si>
  <si>
    <t>France</t>
  </si>
  <si>
    <t>Feldspar</t>
  </si>
  <si>
    <t>Italy</t>
  </si>
  <si>
    <t>Thailand</t>
  </si>
  <si>
    <t>Fluorite</t>
  </si>
  <si>
    <t>Mongolia</t>
  </si>
  <si>
    <t xml:space="preserve">Gallium </t>
  </si>
  <si>
    <t>Primary production</t>
  </si>
  <si>
    <t>WT001</t>
  </si>
  <si>
    <t>Gemanium</t>
  </si>
  <si>
    <t>Primary and secondary refinery production</t>
  </si>
  <si>
    <t xml:space="preserve">Gold </t>
  </si>
  <si>
    <t>mine production, gold content</t>
  </si>
  <si>
    <t>Ghana</t>
  </si>
  <si>
    <t>Mali</t>
  </si>
  <si>
    <t>Tanzania</t>
  </si>
  <si>
    <t>Graphite</t>
  </si>
  <si>
    <t>Mine production</t>
  </si>
  <si>
    <t>Austria</t>
  </si>
  <si>
    <t>North Korea</t>
  </si>
  <si>
    <t>Sri Lanka</t>
  </si>
  <si>
    <t>Gypsum</t>
  </si>
  <si>
    <t>Algeria</t>
  </si>
  <si>
    <t>Oman</t>
  </si>
  <si>
    <t>Indium</t>
  </si>
  <si>
    <t>Iodine</t>
  </si>
  <si>
    <t>Mine production, elemental iodine</t>
  </si>
  <si>
    <t>Azerbaijan</t>
  </si>
  <si>
    <t>Turkmenistan</t>
  </si>
  <si>
    <t>Iron</t>
  </si>
  <si>
    <t>Mine production, iron content</t>
  </si>
  <si>
    <t>Mauritania</t>
  </si>
  <si>
    <t>Sweden</t>
  </si>
  <si>
    <t>Lead</t>
  </si>
  <si>
    <t>Mine production, lead content</t>
  </si>
  <si>
    <t>Plant production, lime</t>
  </si>
  <si>
    <t>Malaysia</t>
  </si>
  <si>
    <t>United Kingdom</t>
  </si>
  <si>
    <t xml:space="preserve">Lithium </t>
  </si>
  <si>
    <t>Mine production, lithium content</t>
  </si>
  <si>
    <t>Portugal</t>
  </si>
  <si>
    <t>Mine production, magnesite - gross weight</t>
  </si>
  <si>
    <t>Slovakia</t>
  </si>
  <si>
    <t>Manganese</t>
  </si>
  <si>
    <t>Mine production, manganese content</t>
  </si>
  <si>
    <t>Gabon</t>
  </si>
  <si>
    <t>Mine production, mica scrap and flake</t>
  </si>
  <si>
    <t xml:space="preserve">Molybdenum </t>
  </si>
  <si>
    <t>Mine production, molybdenum content</t>
  </si>
  <si>
    <t>Armenia</t>
  </si>
  <si>
    <t>Nickel</t>
  </si>
  <si>
    <t>Mine production, nickel content</t>
  </si>
  <si>
    <t>Niobium</t>
  </si>
  <si>
    <t>Mine production, niobium content</t>
  </si>
  <si>
    <t>Plant production, nitrogen content</t>
  </si>
  <si>
    <t>Egypt</t>
  </si>
  <si>
    <t>Nigeria</t>
  </si>
  <si>
    <t>Qatar</t>
  </si>
  <si>
    <t>Trinidad &amp; Tobago</t>
  </si>
  <si>
    <t>Perlite</t>
  </si>
  <si>
    <t>Georgia</t>
  </si>
  <si>
    <t>Hungary</t>
  </si>
  <si>
    <t>New Zealand</t>
  </si>
  <si>
    <t>Phosphorus</t>
  </si>
  <si>
    <t>Mine production, marketable phosphate rock</t>
  </si>
  <si>
    <t>Senegal</t>
  </si>
  <si>
    <t>Syria</t>
  </si>
  <si>
    <t>Togo</t>
  </si>
  <si>
    <t>Tunisia</t>
  </si>
  <si>
    <t>Palladium</t>
  </si>
  <si>
    <t>Mine production, Palladium content</t>
  </si>
  <si>
    <t>Platinum</t>
  </si>
  <si>
    <t>Mine production, Platinum content</t>
  </si>
  <si>
    <t>Potassium</t>
  </si>
  <si>
    <t>Belarus</t>
  </si>
  <si>
    <t>Rare earths</t>
  </si>
  <si>
    <t>Mine production, rare-earth-oxide equivalent</t>
  </si>
  <si>
    <t>Greenland</t>
  </si>
  <si>
    <t>Rhenium</t>
  </si>
  <si>
    <t>Mine production, rhenium content</t>
  </si>
  <si>
    <t>Selenium</t>
  </si>
  <si>
    <t>Refinery production, selenium content</t>
  </si>
  <si>
    <t>Serbia</t>
  </si>
  <si>
    <t>Silicon</t>
  </si>
  <si>
    <t>Bhutan</t>
  </si>
  <si>
    <t>Silver</t>
  </si>
  <si>
    <t>Mine production, silver content</t>
  </si>
  <si>
    <t>Soda ash</t>
  </si>
  <si>
    <t>Soda ash, natural, mine production</t>
  </si>
  <si>
    <t>Botswana</t>
  </si>
  <si>
    <t>Mine production, natural</t>
  </si>
  <si>
    <t>Ethiopia</t>
  </si>
  <si>
    <t>Kenya</t>
  </si>
  <si>
    <t>Strontium</t>
  </si>
  <si>
    <t>Mine production, strontium content</t>
  </si>
  <si>
    <t>Sulfur</t>
  </si>
  <si>
    <t>Production, all forms, sulfur content</t>
  </si>
  <si>
    <t>Kuwait</t>
  </si>
  <si>
    <t>Afghanistan</t>
  </si>
  <si>
    <t>Tantalum</t>
  </si>
  <si>
    <t>Mine production, tantalum content</t>
  </si>
  <si>
    <t>Burundi</t>
  </si>
  <si>
    <t>Tellurium</t>
  </si>
  <si>
    <t>Refinery production, tellurium content</t>
  </si>
  <si>
    <t>Tin</t>
  </si>
  <si>
    <t>Mine production, tin content</t>
  </si>
  <si>
    <t>Sierra Leone</t>
  </si>
  <si>
    <t>World total (ilmenite, rounded)</t>
  </si>
  <si>
    <t>World total (rutile, rounded)</t>
  </si>
  <si>
    <t xml:space="preserve">Tungsten </t>
  </si>
  <si>
    <t>Mine production, tungsten content</t>
  </si>
  <si>
    <t>Vanadium</t>
  </si>
  <si>
    <t>Mine production, vanadium content</t>
  </si>
  <si>
    <t>Vermiculite</t>
  </si>
  <si>
    <t>Wollastonite</t>
  </si>
  <si>
    <t>Zinc</t>
  </si>
  <si>
    <t>Mine production, zinc content</t>
  </si>
  <si>
    <t>Mine production, zirconium, gross weight</t>
  </si>
  <si>
    <t>MCS2026</t>
  </si>
  <si>
    <t xml:space="preserve">Canada </t>
  </si>
  <si>
    <t>Ireland</t>
  </si>
  <si>
    <t>총합계</t>
  </si>
  <si>
    <t xml:space="preserve">2024 생산  </t>
  </si>
  <si>
    <t xml:space="preserve">2025 생산(EST.) </t>
  </si>
  <si>
    <t xml:space="preserve">2025 생산(EST.) 계(Rounded) </t>
  </si>
  <si>
    <t>2025 광종별 생산(EST.) 국가 점유율(%)</t>
  </si>
  <si>
    <t>MCS2026</t>
    <phoneticPr fontId="7" type="noConversion"/>
  </si>
  <si>
    <t>Kyrgyzstan</t>
    <phoneticPr fontId="4" type="noConversion"/>
  </si>
  <si>
    <t>Turkiye</t>
    <phoneticPr fontId="4" type="noConversion"/>
  </si>
  <si>
    <t>United States</t>
    <phoneticPr fontId="4" type="noConversion"/>
  </si>
  <si>
    <t>World total (rounded)</t>
    <phoneticPr fontId="7" type="noConversion"/>
  </si>
  <si>
    <t>Bauxite</t>
    <phoneticPr fontId="7" type="noConversion"/>
  </si>
  <si>
    <t>UAE</t>
    <phoneticPr fontId="4" type="noConversion"/>
  </si>
  <si>
    <t>Nigeria</t>
    <phoneticPr fontId="7" type="noConversion"/>
  </si>
  <si>
    <t>South Korea</t>
    <phoneticPr fontId="4" type="noConversion"/>
  </si>
  <si>
    <t>Papua New Guinea</t>
    <phoneticPr fontId="4" type="noConversion"/>
  </si>
  <si>
    <t xml:space="preserve">Copper </t>
    <phoneticPr fontId="7" type="noConversion"/>
  </si>
  <si>
    <t>Japan</t>
    <phoneticPr fontId="7" type="noConversion"/>
  </si>
  <si>
    <t>Spain</t>
    <phoneticPr fontId="7" type="noConversion"/>
  </si>
  <si>
    <t>Brazil</t>
    <phoneticPr fontId="7" type="noConversion"/>
  </si>
  <si>
    <t>Garnet</t>
    <phoneticPr fontId="7" type="noConversion"/>
  </si>
  <si>
    <t xml:space="preserve">Gold </t>
    <phoneticPr fontId="7" type="noConversion"/>
  </si>
  <si>
    <t>Iron</t>
    <phoneticPr fontId="7" type="noConversion"/>
  </si>
  <si>
    <t>Kyanite</t>
    <phoneticPr fontId="7" type="noConversion"/>
  </si>
  <si>
    <t>France</t>
    <phoneticPr fontId="7" type="noConversion"/>
  </si>
  <si>
    <t>India</t>
    <phoneticPr fontId="7" type="noConversion"/>
  </si>
  <si>
    <t>Peru</t>
    <phoneticPr fontId="7" type="noConversion"/>
  </si>
  <si>
    <t>Limestone</t>
    <phoneticPr fontId="7" type="noConversion"/>
  </si>
  <si>
    <t>Poland</t>
    <phoneticPr fontId="7" type="noConversion"/>
  </si>
  <si>
    <t xml:space="preserve">Lithium </t>
    <phoneticPr fontId="7" type="noConversion"/>
  </si>
  <si>
    <t>Magnesium</t>
    <phoneticPr fontId="7" type="noConversion"/>
  </si>
  <si>
    <t>Cote D'Ivoire</t>
    <phoneticPr fontId="4" type="noConversion"/>
  </si>
  <si>
    <t>Manganese</t>
    <phoneticPr fontId="7" type="noConversion"/>
  </si>
  <si>
    <t>Mica</t>
    <phoneticPr fontId="7" type="noConversion"/>
  </si>
  <si>
    <t xml:space="preserve">Molybdenum </t>
    <phoneticPr fontId="7" type="noConversion"/>
  </si>
  <si>
    <t>Nitrogen</t>
    <phoneticPr fontId="7" type="noConversion"/>
  </si>
  <si>
    <t>Iran</t>
    <phoneticPr fontId="7" type="noConversion"/>
  </si>
  <si>
    <t>Mine production, potassium oxide (K₂O) equivalent</t>
  </si>
  <si>
    <t>Kazakhstan</t>
    <phoneticPr fontId="7" type="noConversion"/>
  </si>
  <si>
    <t>Mexico</t>
    <phoneticPr fontId="7" type="noConversion"/>
  </si>
  <si>
    <t>Plant production, Ferosilicon, silicon content + 메탈 합산</t>
    <phoneticPr fontId="7" type="noConversion"/>
  </si>
  <si>
    <t>Island</t>
    <phoneticPr fontId="4" type="noConversion"/>
  </si>
  <si>
    <t>Talc</t>
    <phoneticPr fontId="7" type="noConversion"/>
  </si>
  <si>
    <t>Other countries</t>
    <phoneticPr fontId="7" type="noConversion"/>
  </si>
  <si>
    <t>Titanium(Ilmentite)</t>
    <phoneticPr fontId="7" type="noConversion"/>
  </si>
  <si>
    <t>Mine production, ilmentite, titanium dioxide (TiO₂) content</t>
  </si>
  <si>
    <t>China</t>
    <phoneticPr fontId="7" type="noConversion"/>
  </si>
  <si>
    <t>United States</t>
    <phoneticPr fontId="7" type="noConversion"/>
  </si>
  <si>
    <t>Titanium(Rutile)</t>
    <phoneticPr fontId="7" type="noConversion"/>
  </si>
  <si>
    <t>Mine production, rutile, titanium dioxide (TiO₂) content</t>
  </si>
  <si>
    <t xml:space="preserve">South Africa </t>
    <phoneticPr fontId="7" type="noConversion"/>
  </si>
  <si>
    <t>Uzbekistan</t>
    <phoneticPr fontId="7" type="noConversion"/>
  </si>
  <si>
    <t>Zeolite</t>
    <phoneticPr fontId="7" type="noConversion"/>
  </si>
  <si>
    <t>Zirconium</t>
    <phoneticPr fontId="7" type="noConversion"/>
  </si>
  <si>
    <t>2025 광종별 생산(EST.) 국가 순위</t>
  </si>
  <si>
    <t>2025 광종별 가채매장량</t>
  </si>
  <si>
    <t>2025 광종별 가채매장량총계(Rounded)</t>
  </si>
  <si>
    <t>2025 광종별 가채매장량 국가 점유율(%)</t>
  </si>
  <si>
    <t>2025 광종별 가채매장량  국가 순위</t>
  </si>
  <si>
    <t xml:space="preserve">2024 생산 </t>
  </si>
  <si>
    <t xml:space="preserve"> 2025 광종별 생산(EST.) 국가 순위</t>
  </si>
  <si>
    <t>2025 광종별 가채매장량 국가순위</t>
  </si>
  <si>
    <t>Limestone</t>
  </si>
  <si>
    <t>Titanium(Rutile)</t>
  </si>
  <si>
    <t>Titanium(Ilmentite)</t>
  </si>
  <si>
    <t>Garnet</t>
  </si>
  <si>
    <t>DRCongo</t>
  </si>
  <si>
    <t>DRCongo</t>
    <phoneticPr fontId="4" type="noConversion"/>
  </si>
  <si>
    <t>Magnesium</t>
  </si>
  <si>
    <t>Nitrogen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</si>
</sst>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%"/>
    <numFmt numFmtId="177" formatCode="#,##0_ 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E2EFD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3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41" fontId="3" fillId="0" borderId="0">
      <alignment vertical="center"/>
    </xf>
  </cellStyleXfs>
  <cellXfs count="29">
    <xf numFmtId="0" fontId="0" fillId="0" borderId="0" xfId="0"/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177" fontId="0" fillId="0" borderId="0" xfId="0" applyNumberFormat="1"/>
    <xf numFmtId="176" fontId="0" fillId="0" borderId="0" xfId="0" applyNumberFormat="1"/>
    <xf numFmtId="41" fontId="0" fillId="0" borderId="0" xfId="0" applyNumberFormat="1"/>
    <xf numFmtId="176" fontId="0" fillId="0" borderId="0" xfId="0" applyNumberFormat="1" applyAlignment="1">
      <alignment horizontal="right"/>
    </xf>
    <xf numFmtId="176" fontId="3" fillId="0" borderId="0" xfId="1" applyNumberFormat="1" applyAlignment="1">
      <alignment vertical="center"/>
    </xf>
    <xf numFmtId="176" fontId="6" fillId="3" borderId="0" xfId="1" applyNumberFormat="1" applyFont="1" applyFill="1" applyAlignment="1">
      <alignment horizontal="center" vertical="center" wrapText="1"/>
    </xf>
    <xf numFmtId="41" fontId="0" fillId="0" borderId="0" xfId="5" applyFont="1" applyAlignment="1">
      <alignment horizontal="right" vertical="center"/>
    </xf>
    <xf numFmtId="176" fontId="3" fillId="0" borderId="0" xfId="1" applyNumberFormat="1" applyAlignment="1">
      <alignment horizontal="right" vertical="center"/>
    </xf>
    <xf numFmtId="41" fontId="3" fillId="0" borderId="0" xfId="5">
      <alignment vertical="center"/>
    </xf>
    <xf numFmtId="0" fontId="0" fillId="0" borderId="0" xfId="0" applyNumberFormat="1"/>
    <xf numFmtId="0" fontId="0" fillId="0" borderId="0" xfId="0" applyAlignment="1">
      <alignment wrapText="1"/>
    </xf>
    <xf numFmtId="0" fontId="0" fillId="4" borderId="0" xfId="0" applyFill="1" applyAlignment="1">
      <alignment vertical="center"/>
    </xf>
    <xf numFmtId="41" fontId="0" fillId="4" borderId="0" xfId="5" applyFont="1" applyFill="1">
      <alignment vertical="center"/>
    </xf>
    <xf numFmtId="0" fontId="0" fillId="0" borderId="0" xfId="0" applyAlignment="1">
      <alignment vertical="center"/>
    </xf>
    <xf numFmtId="41" fontId="0" fillId="0" borderId="0" xfId="5" applyFont="1">
      <alignment vertical="center"/>
    </xf>
    <xf numFmtId="0" fontId="0" fillId="5" borderId="0" xfId="0" applyFill="1" applyAlignment="1">
      <alignment vertical="center"/>
    </xf>
    <xf numFmtId="41" fontId="0" fillId="5" borderId="0" xfId="5" applyFont="1" applyFill="1">
      <alignment vertical="center"/>
    </xf>
    <xf numFmtId="0" fontId="0" fillId="0" borderId="0" xfId="0" applyAlignment="1">
      <alignment horizontal="left" wrapText="1"/>
    </xf>
    <xf numFmtId="0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  <xf numFmtId="176" fontId="0" fillId="0" borderId="0" xfId="0" applyNumberFormat="1" applyAlignment="1">
      <alignment wrapText="1"/>
    </xf>
  </cellXfs>
  <cellStyles count="6">
    <cellStyle name="백분율" xfId="1" builtinId="5"/>
    <cellStyle name="백분율 2" xfId="4" xr:uid="{00000000-0005-0000-0000-000004000000}"/>
    <cellStyle name="쉼표 [0]" xfId="5" builtinId="6"/>
    <cellStyle name="쉼표 [0] 2" xfId="3" xr:uid="{00000000-0005-0000-0000-000003000000}"/>
    <cellStyle name="표준" xfId="0" builtinId="0"/>
    <cellStyle name="표준 2" xfId="2" xr:uid="{00000000-0005-0000-0000-000002000000}"/>
  </cellStyles>
  <dxfs count="279"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77" formatCode="#,##0_ "/>
    </dxf>
    <dxf>
      <numFmt numFmtId="177" formatCode="#,##0_ "/>
    </dxf>
    <dxf>
      <alignment horizontal="center"/>
    </dxf>
    <dxf>
      <numFmt numFmtId="176" formatCode="0.0%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alignment horizontal="right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77" formatCode="#,##0_ "/>
    </dxf>
    <dxf>
      <numFmt numFmtId="177" formatCode="#,##0_ "/>
    </dxf>
    <dxf>
      <alignment horizontal="center"/>
    </dxf>
    <dxf>
      <numFmt numFmtId="176" formatCode="0.0%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alignment horizontal="right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77" formatCode="#,##0_ "/>
    </dxf>
    <dxf>
      <numFmt numFmtId="177" formatCode="#,##0_ "/>
    </dxf>
    <dxf>
      <alignment horizontal="center"/>
    </dxf>
    <dxf>
      <numFmt numFmtId="176" formatCode="0.0%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alignment horizontal="right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77" formatCode="#,##0_ "/>
    </dxf>
    <dxf>
      <numFmt numFmtId="177" formatCode="#,##0_ "/>
    </dxf>
    <dxf>
      <alignment horizontal="center"/>
    </dxf>
    <dxf>
      <numFmt numFmtId="176" formatCode="0.0%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alignment horizontal="right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77" formatCode="#,##0_ "/>
    </dxf>
    <dxf>
      <numFmt numFmtId="177" formatCode="#,##0_ "/>
    </dxf>
    <dxf>
      <alignment horizontal="center"/>
    </dxf>
    <dxf>
      <numFmt numFmtId="176" formatCode="0.0%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alignment horizontal="right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77" formatCode="#,##0_ "/>
    </dxf>
    <dxf>
      <numFmt numFmtId="177" formatCode="#,##0_ "/>
    </dxf>
    <dxf>
      <alignment horizontal="center"/>
    </dxf>
    <dxf>
      <numFmt numFmtId="176" formatCode="0.0%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alignment horizontal="right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77" formatCode="#,##0_ "/>
    </dxf>
    <dxf>
      <numFmt numFmtId="177" formatCode="#,##0_ "/>
    </dxf>
    <dxf>
      <alignment horizontal="center"/>
    </dxf>
    <dxf>
      <numFmt numFmtId="176" formatCode="0.0%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alignment horizontal="right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77" formatCode="#,##0_ "/>
    </dxf>
    <dxf>
      <numFmt numFmtId="177" formatCode="#,##0_ "/>
    </dxf>
    <dxf>
      <alignment horizontal="center"/>
    </dxf>
    <dxf>
      <numFmt numFmtId="176" formatCode="0.0%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alignment horizontal="right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77" formatCode="#,##0_ "/>
    </dxf>
    <dxf>
      <numFmt numFmtId="177" formatCode="#,##0_ "/>
    </dxf>
    <dxf>
      <alignment horizontal="center"/>
    </dxf>
    <dxf>
      <numFmt numFmtId="176" formatCode="0.0%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alignment horizontal="right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77" formatCode="#,##0_ "/>
    </dxf>
    <dxf>
      <numFmt numFmtId="177" formatCode="#,##0_ "/>
    </dxf>
    <dxf>
      <alignment horizontal="center"/>
    </dxf>
    <dxf>
      <numFmt numFmtId="176" formatCode="0.0%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alignment horizontal="right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77" formatCode="#,##0_ "/>
    </dxf>
    <dxf>
      <numFmt numFmtId="177" formatCode="#,##0_ "/>
    </dxf>
    <dxf>
      <alignment horizontal="center"/>
    </dxf>
    <dxf>
      <numFmt numFmtId="176" formatCode="0.0%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alignment horizontal="right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77" formatCode="#,##0_ "/>
    </dxf>
    <dxf>
      <numFmt numFmtId="177" formatCode="#,##0_ "/>
    </dxf>
    <dxf>
      <alignment horizontal="center"/>
    </dxf>
    <dxf>
      <numFmt numFmtId="176" formatCode="0.0%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alignment horizontal="right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33" formatCode="_-* #,##0_-;\-* #,##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#,##0_ "/>
    </dxf>
    <dxf>
      <alignment wrapText="1"/>
    </dxf>
    <dxf>
      <alignment horizontal="center"/>
    </dxf>
    <dxf>
      <alignment vertical="center"/>
    </dxf>
    <dxf>
      <numFmt numFmtId="176" formatCode="0.0%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33" formatCode="_-* #,##0_-;\-* #,##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#,##0_ "/>
    </dxf>
    <dxf>
      <alignment wrapText="1"/>
    </dxf>
    <dxf>
      <alignment horizontal="center"/>
    </dxf>
    <dxf>
      <alignment vertical="center"/>
    </dxf>
    <dxf>
      <numFmt numFmtId="176" formatCode="0.0%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77" formatCode="#,##0_ "/>
    </dxf>
    <dxf>
      <numFmt numFmtId="177" formatCode="#,##0_ "/>
    </dxf>
    <dxf>
      <alignment horizontal="center"/>
    </dxf>
    <dxf>
      <numFmt numFmtId="176" formatCode="0.0%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alignment horizontal="right"/>
    </dxf>
    <dxf>
      <alignment wrapText="1"/>
    </dxf>
    <dxf>
      <alignment horizontal="center"/>
    </dxf>
    <dxf>
      <alignment vertical="center"/>
    </dxf>
    <dxf>
      <numFmt numFmtId="176" formatCode="0.0%"/>
    </dxf>
    <dxf>
      <alignment wrapText="1"/>
    </dxf>
    <dxf>
      <alignment horizontal="center"/>
    </dxf>
    <dxf>
      <alignment vertical="center"/>
    </dxf>
    <dxf>
      <numFmt numFmtId="176" formatCode="0.0%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33" formatCode="_-* #,##0_-;\-* #,##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#,##0_ 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33" formatCode="_-* #,##0_-;\-* #,##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#,##0_ 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33" formatCode="_-* #,##0_-;\-* #,##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#,##0_ "/>
    </dxf>
    <dxf>
      <alignment wrapText="1"/>
    </dxf>
    <dxf>
      <alignment vertical="center"/>
    </dxf>
    <dxf>
      <alignment horizontal="center"/>
    </dxf>
    <dxf>
      <numFmt numFmtId="177" formatCode="#,##0_ "/>
    </dxf>
    <dxf>
      <numFmt numFmtId="17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33" formatCode="_-* #,##0_-;\-* #,##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#,##0_ "/>
    </dxf>
    <dxf>
      <alignment horizontal="right"/>
    </dxf>
    <dxf>
      <numFmt numFmtId="176" formatCode="0.0%"/>
    </dxf>
    <dxf>
      <numFmt numFmtId="177" formatCode="#,##0_ "/>
    </dxf>
    <dxf>
      <alignment horizontal="center"/>
    </dxf>
    <dxf>
      <alignment vertical="center"/>
    </dxf>
    <dxf>
      <alignment wrapText="1"/>
    </dxf>
    <dxf>
      <numFmt numFmtId="176" formatCode="0.0%"/>
    </dxf>
    <dxf>
      <alignment horizontal="center"/>
    </dxf>
    <dxf>
      <numFmt numFmtId="177" formatCode="#,##0_ "/>
    </dxf>
    <dxf>
      <numFmt numFmtId="177" formatCode="#,##0_ 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numFmt numFmtId="176" formatCode="0.0%"/>
    </dxf>
    <dxf>
      <alignment vertical="center"/>
    </dxf>
    <dxf>
      <alignment horizontal="center"/>
    </dxf>
    <dxf>
      <alignment wrapText="1"/>
    </dxf>
    <dxf>
      <numFmt numFmtId="177" formatCode="#,##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33" formatCode="_-* #,##0_-;\-* #,##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6" formatCode="0.0%"/>
    </dxf>
    <dxf>
      <numFmt numFmtId="177" formatCode="#,##0_ "/>
    </dxf>
    <dxf>
      <alignment horizontal="center"/>
    </dxf>
    <dxf>
      <alignment vertical="center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</xdr:row>
      <xdr:rowOff>9526</xdr:rowOff>
    </xdr:from>
    <xdr:to>
      <xdr:col>2</xdr:col>
      <xdr:colOff>304800</xdr:colOff>
      <xdr:row>27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MMODITY">
              <a:extLst>
                <a:ext uri="{FF2B5EF4-FFF2-40B4-BE49-F238E27FC236}">
                  <a16:creationId xmlns:a16="http://schemas.microsoft.com/office/drawing/2014/main" id="{EA5845EC-C750-C2A8-3384-0B4EC3C0EF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MOD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428626"/>
              <a:ext cx="4743450" cy="5467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>
    <xdr:from>
      <xdr:col>0</xdr:col>
      <xdr:colOff>1</xdr:colOff>
      <xdr:row>27</xdr:row>
      <xdr:rowOff>171450</xdr:rowOff>
    </xdr:from>
    <xdr:to>
      <xdr:col>2</xdr:col>
      <xdr:colOff>438150</xdr:colOff>
      <xdr:row>31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A1B12-B824-4D87-87BF-FEBE17D6108C}"/>
            </a:ext>
          </a:extLst>
        </xdr:cNvPr>
        <xdr:cNvSpPr txBox="1"/>
      </xdr:nvSpPr>
      <xdr:spPr>
        <a:xfrm>
          <a:off x="1" y="6038850"/>
          <a:ext cx="4905374" cy="6667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- </a:t>
          </a:r>
          <a:r>
            <a:rPr lang="ko-KR" altLang="en-US" sz="1100"/>
            <a:t>국가별 순위 산정 시</a:t>
          </a:r>
          <a:r>
            <a:rPr lang="en-US" altLang="ko-KR" sz="1100"/>
            <a:t>,</a:t>
          </a:r>
          <a:r>
            <a:rPr lang="en-US" altLang="ko-KR" sz="1100" baseline="0"/>
            <a:t> </a:t>
          </a:r>
          <a:r>
            <a:rPr lang="en-US" altLang="ko-KR" sz="1100"/>
            <a:t>Other</a:t>
          </a:r>
          <a:r>
            <a:rPr lang="en-US" altLang="ko-KR" sz="1100" baseline="0"/>
            <a:t> countries</a:t>
          </a:r>
          <a:r>
            <a:rPr lang="ko-KR" altLang="en-US" sz="1100" baseline="0"/>
            <a:t>는 무조건 가장 후순위로 설정되어있음</a:t>
          </a:r>
          <a:endParaRPr lang="en-US" altLang="ko-KR" sz="1100"/>
        </a:p>
        <a:p>
          <a:r>
            <a:rPr lang="en-US" altLang="ko-KR" sz="1100"/>
            <a:t>- </a:t>
          </a:r>
          <a:r>
            <a:rPr lang="ko-KR" altLang="en-US" sz="1100"/>
            <a:t>중량 단위는 피벗테이블의 </a:t>
          </a:r>
          <a:r>
            <a:rPr lang="en-US" altLang="ko-KR" sz="1100"/>
            <a:t>'UNIT'</a:t>
          </a:r>
          <a:r>
            <a:rPr lang="en-US" altLang="ko-KR" sz="1100" baseline="0"/>
            <a:t> </a:t>
          </a:r>
          <a:r>
            <a:rPr lang="ko-KR" altLang="en-US" sz="1100" baseline="0"/>
            <a:t>선택하여 확인 가능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2</xdr:row>
      <xdr:rowOff>9525</xdr:rowOff>
    </xdr:from>
    <xdr:to>
      <xdr:col>0</xdr:col>
      <xdr:colOff>4743449</xdr:colOff>
      <xdr:row>40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UNTRY">
              <a:extLst>
                <a:ext uri="{FF2B5EF4-FFF2-40B4-BE49-F238E27FC236}">
                  <a16:creationId xmlns:a16="http://schemas.microsoft.com/office/drawing/2014/main" id="{CC5025B5-F77A-700E-DFF3-C3C7D494F2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4" y="428625"/>
              <a:ext cx="4695825" cy="897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한국광해광업공단" refreshedDate="46073.433665972225" createdVersion="8" refreshedVersion="8" minRefreshableVersion="3" recordCount="752" xr:uid="{BAD7B6DB-7055-43EA-8EFD-A1EDEF72C57B}">
  <cacheSource type="worksheet">
    <worksheetSource ref="A1:N753" sheet="피벗전용데이터"/>
  </cacheSource>
  <cacheFields count="14">
    <cacheField name="SOURCE" numFmtId="0">
      <sharedItems/>
    </cacheField>
    <cacheField name="COMMODITY" numFmtId="0">
      <sharedItems count="61">
        <s v="Antimony"/>
        <s v="Arsenic"/>
        <s v="Asbestos"/>
        <s v="Barite  "/>
        <s v="Bauxite"/>
        <s v="Beryllium  "/>
        <s v="Bismuth"/>
        <s v="Boron "/>
        <s v="Bromine "/>
        <s v="Cadmium "/>
        <s v="Chromium"/>
        <s v="Cobalt"/>
        <s v="Copper "/>
        <s v="Diatomite"/>
        <s v="Feldspar"/>
        <s v="Fluorite"/>
        <s v="Gallium "/>
        <s v="Garnet"/>
        <s v="Gold "/>
        <s v="Graphite"/>
        <s v="Gypsum"/>
        <s v="Indium"/>
        <s v="Iodine"/>
        <s v="Iron"/>
        <s v="Kyanite"/>
        <s v="Lead"/>
        <s v="Limestone"/>
        <s v="Lithium "/>
        <s v="Magnesium"/>
        <s v="Manganese"/>
        <s v="Mica"/>
        <s v="Molybdenum "/>
        <s v="Nickel"/>
        <s v="Niobium"/>
        <s v="Nitrogen"/>
        <s v="Palladium"/>
        <s v="Perlite"/>
        <s v="Phosphorus"/>
        <s v="Platinum"/>
        <s v="Potassium"/>
        <s v="Rare earths"/>
        <s v="Rhenium"/>
        <s v="Selenium"/>
        <s v="Silicon"/>
        <s v="Silver"/>
        <s v="Soda ash"/>
        <s v="Strontium"/>
        <s v="Sulfur"/>
        <s v="Talc"/>
        <s v="Tantalum"/>
        <s v="Tellurium"/>
        <s v="Tin"/>
        <s v="Titanium(Ilmentite)"/>
        <s v="Titanium(Rutile)"/>
        <s v="Tungsten "/>
        <s v="Vanadium"/>
        <s v="Vermiculite"/>
        <s v="Wollastonite"/>
        <s v="Zeolite"/>
        <s v="Zinc"/>
        <s v="Zirconium"/>
      </sharedItems>
    </cacheField>
    <cacheField name="COUNTRY" numFmtId="0">
      <sharedItems count="106">
        <s v="Australia"/>
        <s v="Bolivia"/>
        <s v="Canada "/>
        <s v="China"/>
        <s v="Guatemala"/>
        <s v="Iran"/>
        <s v="Kazakhstan"/>
        <s v="Kyrgyzstan"/>
        <s v="Laos"/>
        <s v="Mexico"/>
        <s v="Myanmar"/>
        <s v="Pakistan"/>
        <s v="Turkiye"/>
        <s v="Russia "/>
        <s v="Tajikistan"/>
        <s v="United States"/>
        <s v="Vietnam"/>
        <s v="Belgium"/>
        <s v="Japan"/>
        <s v="Morocco"/>
        <s v="Peru"/>
        <s v="Brazil"/>
        <s v="India"/>
        <s v="Other Countries"/>
        <s v="Germany"/>
        <s v="Greece"/>
        <s v="Guinea"/>
        <s v="Indonesia"/>
        <s v="Ireland"/>
        <s v="Jamaica"/>
        <s v="Saudi Arabia"/>
        <s v="Spain"/>
        <s v="UAE"/>
        <s v="Madagascar"/>
        <s v="Mozambique"/>
        <s v="Nigeria"/>
        <s v="Rwanda"/>
        <s v="Bulgaria"/>
        <s v="South Korea"/>
        <s v="Argentina"/>
        <s v="Chile"/>
        <s v="Israel"/>
        <s v="Jordan"/>
        <s v="Ukraine"/>
        <s v="Netherlands"/>
        <s v="Norway"/>
        <s v="Poland"/>
        <s v="Uzbekistan"/>
        <s v="Finland"/>
        <s v="South Africa "/>
        <s v="Zimbabwe"/>
        <s v="Cuba"/>
        <s v="DRCongo"/>
        <s v="Papua New Guinea"/>
        <s v="Philippines"/>
        <s v="Zambia"/>
        <s v="Denmark"/>
        <s v="France"/>
        <s v="New Zealand"/>
        <s v="Italy"/>
        <s v="Thailand"/>
        <s v="Mongolia"/>
        <s v="Czech"/>
        <s v="Ghana"/>
        <s v="Austria"/>
        <s v="North Korea"/>
        <s v="Sri Lanka"/>
        <s v="Tanzania"/>
        <s v="Algeria"/>
        <s v="Oman"/>
        <s v="Azerbaijan"/>
        <s v="Turkmenistan"/>
        <s v="Mauritania"/>
        <s v="Sweden"/>
        <s v="Malaysia"/>
        <s v="United Kingdom"/>
        <s v="Mali"/>
        <s v="Portugal"/>
        <s v="Slovakia"/>
        <s v="Cote D'Ivoire"/>
        <s v="Gabon"/>
        <s v="Armenia"/>
        <s v="New Caledonia"/>
        <s v="Egypt"/>
        <s v="Qatar"/>
        <s v="Trinidad &amp; Tobago"/>
        <s v="Georgia"/>
        <s v="Hungary"/>
        <s v="Senegal"/>
        <s v="Syria"/>
        <s v="Togo"/>
        <s v="Tunisia"/>
        <s v="Belarus"/>
        <s v="Greenland"/>
        <s v="Serbia"/>
        <s v="Bhutan"/>
        <s v="Island"/>
        <s v="Botswana"/>
        <s v="Ethiopia"/>
        <s v="Kenya"/>
        <s v="Kuwait"/>
        <s v="Afghanistan"/>
        <s v="Burundi"/>
        <s v="Sierra Leone"/>
        <s v="Uganda"/>
        <s v="DRC" u="1"/>
      </sharedItems>
    </cacheField>
    <cacheField name="TYPE" numFmtId="0">
      <sharedItems/>
    </cacheField>
    <cacheField name="UNIT" numFmtId="0">
      <sharedItems/>
    </cacheField>
    <cacheField name="2024 생산" numFmtId="41">
      <sharedItems containsSemiMixedTypes="0" containsString="0" containsNumber="1" containsInteger="1" minValue="0" maxValue="2310000"/>
    </cacheField>
    <cacheField name="2025 생산(EST.)" numFmtId="41">
      <sharedItems containsSemiMixedTypes="0" containsString="0" containsNumber="1" containsInteger="1" minValue="0" maxValue="2600000"/>
    </cacheField>
    <cacheField name="2025 생산(EST.) 계(Rounded)" numFmtId="41">
      <sharedItems containsSemiMixedTypes="0" containsString="0" containsNumber="1" containsInteger="1" minValue="0" maxValue="3900000"/>
    </cacheField>
    <cacheField name="2025 광종별 생산(EST.) _x000a_국가 점유율(%)" numFmtId="176">
      <sharedItems containsMixedTypes="1" containsNumber="1" minValue="0" maxValue="1"/>
    </cacheField>
    <cacheField name="2025 광종별 생산(EST.) _x000a_국가 순위" numFmtId="0">
      <sharedItems containsMixedTypes="1" containsNumber="1" containsInteger="1" minValue="1" maxValue="25"/>
    </cacheField>
    <cacheField name="2025 광종별 _x000a_가채매장량" numFmtId="41">
      <sharedItems containsSemiMixedTypes="0" containsString="0" containsNumber="1" containsInteger="1" minValue="0" maxValue="110000000"/>
    </cacheField>
    <cacheField name="2025 광종별 _x000a_가채매장량총계(Rounded)" numFmtId="41">
      <sharedItems containsSemiMixedTypes="0" containsString="0" containsNumber="1" containsInteger="1" minValue="0" maxValue="310000000"/>
    </cacheField>
    <cacheField name="2025 광종별 _x000a_가채매장량 국가 점유율(%)" numFmtId="176">
      <sharedItems containsMixedTypes="1" containsNumber="1" minValue="0" maxValue="0.92"/>
    </cacheField>
    <cacheField name="2025 광종별 _x000a_가채매장량  국가 순위" numFmtId="0">
      <sharedItems containsMixedTypes="1" containsNumber="1" containsInteger="1" minValue="1" maxValue="25"/>
    </cacheField>
  </cacheFields>
  <extLst>
    <ext xmlns:x14="http://schemas.microsoft.com/office/spreadsheetml/2009/9/main" uri="{725AE2AE-9491-48be-B2B4-4EB974FC3084}">
      <x14:pivotCacheDefinition pivotCacheId="156613770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한국광해광업공단" refreshedDate="46073.433713888888" createdVersion="8" refreshedVersion="8" minRefreshableVersion="3" recordCount="699" xr:uid="{309FEF73-8740-4156-BE5F-07B04EE5C366}">
  <cacheSource type="worksheet">
    <worksheetSource ref="A1:N700" sheet="피벗전용데이터"/>
  </cacheSource>
  <cacheFields count="14">
    <cacheField name="SOURCE" numFmtId="0">
      <sharedItems/>
    </cacheField>
    <cacheField name="COMMODITY" numFmtId="0">
      <sharedItems count="64">
        <s v="Antimony"/>
        <s v="Arsenic"/>
        <s v="Asbestos"/>
        <s v="Barite  "/>
        <s v="Bauxite"/>
        <s v="Beryllium  "/>
        <s v="Bismuth"/>
        <s v="Boron "/>
        <s v="Bromine "/>
        <s v="Cadmium "/>
        <s v="Chromium"/>
        <s v="Cobalt"/>
        <s v="Copper "/>
        <s v="Diatomite"/>
        <s v="Feldspar"/>
        <s v="Fluorite"/>
        <s v="Gallium "/>
        <s v="Garnet"/>
        <s v="Gold "/>
        <s v="Graphite"/>
        <s v="Gypsum"/>
        <s v="Indium"/>
        <s v="Iodine"/>
        <s v="Iron"/>
        <s v="Kyanite"/>
        <s v="Lead"/>
        <s v="Limestone"/>
        <s v="Lithium "/>
        <s v="Magnesium"/>
        <s v="Manganese"/>
        <s v="Mica"/>
        <s v="Molybdenum "/>
        <s v="Nickel"/>
        <s v="Niobium"/>
        <s v="Nitrogen"/>
        <s v="Palladium"/>
        <s v="Perlite"/>
        <s v="Phosphorus"/>
        <s v="Platinum"/>
        <s v="Potassium"/>
        <s v="Rare earths"/>
        <s v="Rhenium"/>
        <s v="Selenium"/>
        <s v="Silicon"/>
        <s v="Silver"/>
        <s v="Soda ash"/>
        <s v="Strontium"/>
        <s v="Sulfur"/>
        <s v="Talc"/>
        <s v="Tantalum"/>
        <s v="Tellurium"/>
        <s v="Tin"/>
        <s v="Titanium(Ilmentite)"/>
        <s v="Titanium(Rutile)"/>
        <s v="Tungsten "/>
        <s v="Vanadium"/>
        <s v="Gemanium" u="1"/>
        <s v="" u="1"/>
        <s v="Titanium" u="1"/>
        <s v="Vermiculite" u="1"/>
        <s v="Wollastonite" u="1"/>
        <s v="Zeolite" u="1"/>
        <s v="Zinc" u="1"/>
        <s v="Zirconium" u="1"/>
      </sharedItems>
    </cacheField>
    <cacheField name="COUNTRY" numFmtId="0">
      <sharedItems count="105">
        <s v="Australia"/>
        <s v="Bolivia"/>
        <s v="Canada "/>
        <s v="China"/>
        <s v="Guatemala"/>
        <s v="Iran"/>
        <s v="Kazakhstan"/>
        <s v="Kyrgyzstan"/>
        <s v="Laos"/>
        <s v="Mexico"/>
        <s v="Myanmar"/>
        <s v="Pakistan"/>
        <s v="Turkiye"/>
        <s v="Russia "/>
        <s v="Tajikistan"/>
        <s v="United States"/>
        <s v="Vietnam"/>
        <s v="Belgium"/>
        <s v="Japan"/>
        <s v="Morocco"/>
        <s v="Peru"/>
        <s v="Brazil"/>
        <s v="India"/>
        <s v="Other Countries"/>
        <s v="Germany"/>
        <s v="Greece"/>
        <s v="Guinea"/>
        <s v="Indonesia"/>
        <s v="Ireland"/>
        <s v="Jamaica"/>
        <s v="Saudi Arabia"/>
        <s v="Spain"/>
        <s v="UAE"/>
        <s v="Madagascar"/>
        <s v="Mozambique"/>
        <s v="Nigeria"/>
        <s v="Rwanda"/>
        <s v="Bulgaria"/>
        <s v="South Korea"/>
        <s v="Argentina"/>
        <s v="Chile"/>
        <s v="Israel"/>
        <s v="Jordan"/>
        <s v="Ukraine"/>
        <s v="Netherlands"/>
        <s v="Norway"/>
        <s v="Poland"/>
        <s v="Uzbekistan"/>
        <s v="Finland"/>
        <s v="South Africa "/>
        <s v="Zimbabwe"/>
        <s v="Cuba"/>
        <s v="DRCongo"/>
        <s v="Papua New Guinea"/>
        <s v="Philippines"/>
        <s v="Zambia"/>
        <s v="Denmark"/>
        <s v="France"/>
        <s v="New Zealand"/>
        <s v="Italy"/>
        <s v="Thailand"/>
        <s v="Mongolia"/>
        <s v="Czech"/>
        <s v="Ghana"/>
        <s v="Austria"/>
        <s v="North Korea"/>
        <s v="Sri Lanka"/>
        <s v="Tanzania"/>
        <s v="Algeria"/>
        <s v="Oman"/>
        <s v="Azerbaijan"/>
        <s v="Turkmenistan"/>
        <s v="Mauritania"/>
        <s v="Sweden"/>
        <s v="Malaysia"/>
        <s v="United Kingdom"/>
        <s v="Mali"/>
        <s v="Portugal"/>
        <s v="Slovakia"/>
        <s v="Cote D'Ivoire"/>
        <s v="Gabon"/>
        <s v="Armenia"/>
        <s v="New Caledonia"/>
        <s v="Egypt"/>
        <s v="Qatar"/>
        <s v="Trinidad &amp; Tobago"/>
        <s v="Georgia"/>
        <s v="Hungary"/>
        <s v="Senegal"/>
        <s v="Syria"/>
        <s v="Togo"/>
        <s v="Tunisia"/>
        <s v="Belarus"/>
        <s v="Greenland"/>
        <s v="Serbia"/>
        <s v="Bhutan"/>
        <s v="Island"/>
        <s v="Botswana"/>
        <s v="Ethiopia"/>
        <s v="Kenya"/>
        <s v="Kuwait"/>
        <s v="Afghanistan"/>
        <s v="Burundi"/>
        <s v="Sierra Leone"/>
        <s v="DRC" u="1"/>
      </sharedItems>
    </cacheField>
    <cacheField name="TYPE" numFmtId="0">
      <sharedItems/>
    </cacheField>
    <cacheField name="UNIT" numFmtId="0">
      <sharedItems/>
    </cacheField>
    <cacheField name="2024 생산" numFmtId="41">
      <sharedItems containsSemiMixedTypes="0" containsString="0" containsNumber="1" containsInteger="1" minValue="0" maxValue="2310000"/>
    </cacheField>
    <cacheField name="2025 생산(EST.)" numFmtId="41">
      <sharedItems containsSemiMixedTypes="0" containsString="0" containsNumber="1" containsInteger="1" minValue="0" maxValue="2600000"/>
    </cacheField>
    <cacheField name="2025 생산(EST.) 계(Rounded)" numFmtId="41">
      <sharedItems containsSemiMixedTypes="0" containsString="0" containsNumber="1" containsInteger="1" minValue="0" maxValue="3900000"/>
    </cacheField>
    <cacheField name="2025 광종별 생산(EST.) _x000a_국가 점유율(%)" numFmtId="176">
      <sharedItems containsMixedTypes="1" containsNumber="1" minValue="0" maxValue="1"/>
    </cacheField>
    <cacheField name="2025 광종별 생산(EST.) _x000a_국가 순위" numFmtId="0">
      <sharedItems containsMixedTypes="1" containsNumber="1" containsInteger="1" minValue="1" maxValue="25"/>
    </cacheField>
    <cacheField name="2025 광종별 _x000a_가채매장량" numFmtId="41">
      <sharedItems containsSemiMixedTypes="0" containsString="0" containsNumber="1" containsInteger="1" minValue="0" maxValue="110000000"/>
    </cacheField>
    <cacheField name="2025 광종별 _x000a_가채매장량총계(Rounded)" numFmtId="41">
      <sharedItems containsSemiMixedTypes="0" containsString="0" containsNumber="1" containsInteger="1" minValue="0" maxValue="310000000"/>
    </cacheField>
    <cacheField name="2025 광종별 _x000a_가채매장량 국가 점유율(%)" numFmtId="176">
      <sharedItems containsMixedTypes="1" containsNumber="1" minValue="0" maxValue="0.92"/>
    </cacheField>
    <cacheField name="2025 광종별 _x000a_가채매장량  국가 순위" numFmtId="0">
      <sharedItems containsMixedTypes="1" containsNumber="1" containsInteger="1" minValue="1" maxValue="25"/>
    </cacheField>
  </cacheFields>
  <extLst>
    <ext xmlns:x14="http://schemas.microsoft.com/office/spreadsheetml/2009/9/main" uri="{725AE2AE-9491-48be-B2B4-4EB974FC3084}">
      <x14:pivotCacheDefinition pivotCacheId="1003419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2">
  <r>
    <s v="MCS2026"/>
    <x v="0"/>
    <x v="0"/>
    <s v="Mine production, antimony content"/>
    <s v="ton"/>
    <n v="1270"/>
    <n v="1300"/>
    <n v="110000"/>
    <n v="1.1818181818181818E-2"/>
    <n v="7"/>
    <n v="110000"/>
    <n v="2000000"/>
    <n v="5.5E-2"/>
    <n v="6"/>
  </r>
  <r>
    <s v="MCS2026"/>
    <x v="0"/>
    <x v="1"/>
    <s v="Mine production, antimony content"/>
    <s v="ton"/>
    <n v="5300"/>
    <n v="5000"/>
    <n v="110000"/>
    <n v="4.5454545454545456E-2"/>
    <n v="4"/>
    <n v="310000"/>
    <n v="2000000"/>
    <n v="0.155"/>
    <n v="3"/>
  </r>
  <r>
    <s v="MCS2026"/>
    <x v="0"/>
    <x v="2"/>
    <s v="Mine production, antimony content"/>
    <s v="ton"/>
    <n v="0"/>
    <n v="0"/>
    <n v="110000"/>
    <n v="0"/>
    <s v="-"/>
    <n v="78000"/>
    <n v="2000000"/>
    <n v="3.9E-2"/>
    <n v="8"/>
  </r>
  <r>
    <s v="MCS2026"/>
    <x v="0"/>
    <x v="3"/>
    <s v="Mine production, antimony content"/>
    <s v="ton"/>
    <n v="40000"/>
    <n v="40000"/>
    <n v="110000"/>
    <n v="0.36363636363636365"/>
    <n v="1"/>
    <n v="830000"/>
    <n v="2000000"/>
    <n v="0.41499999999999998"/>
    <n v="1"/>
  </r>
  <r>
    <s v="MCS2026"/>
    <x v="0"/>
    <x v="4"/>
    <s v="Mine production, antimony content"/>
    <s v="ton"/>
    <n v="50"/>
    <n v="50"/>
    <n v="110000"/>
    <n v="4.5454545454545455E-4"/>
    <n v="15"/>
    <n v="0"/>
    <n v="2000000"/>
    <n v="0"/>
    <s v="-"/>
  </r>
  <r>
    <s v="MCS2026"/>
    <x v="0"/>
    <x v="5"/>
    <s v="Mine production, antimony content"/>
    <s v="ton"/>
    <n v="90"/>
    <n v="90"/>
    <n v="110000"/>
    <n v="8.1818181818181816E-4"/>
    <n v="14"/>
    <n v="0"/>
    <n v="2000000"/>
    <n v="0"/>
    <s v="-"/>
  </r>
  <r>
    <s v="MCS2026"/>
    <x v="0"/>
    <x v="6"/>
    <s v="Mine production, antimony content"/>
    <s v="ton"/>
    <n v="800"/>
    <n v="800"/>
    <n v="110000"/>
    <n v="7.2727272727272727E-3"/>
    <n v="8"/>
    <n v="0"/>
    <n v="2000000"/>
    <n v="0"/>
    <s v="-"/>
  </r>
  <r>
    <s v="MCS2026"/>
    <x v="0"/>
    <x v="7"/>
    <s v="Mine production, antimony content"/>
    <s v="ton"/>
    <n v="700"/>
    <n v="700"/>
    <n v="110000"/>
    <n v="6.3636363636363638E-3"/>
    <n v="9"/>
    <n v="260000"/>
    <n v="2000000"/>
    <n v="0.13"/>
    <n v="4"/>
  </r>
  <r>
    <s v="MCS2026"/>
    <x v="0"/>
    <x v="8"/>
    <s v="Mine production, antimony content"/>
    <s v="ton"/>
    <n v="200"/>
    <n v="200"/>
    <n v="110000"/>
    <n v="1.8181818181818182E-3"/>
    <n v="13"/>
    <n v="0"/>
    <n v="2000000"/>
    <n v="0"/>
    <s v="-"/>
  </r>
  <r>
    <s v="MCS2026"/>
    <x v="0"/>
    <x v="9"/>
    <s v="Mine production, antimony content"/>
    <s v="ton"/>
    <n v="600"/>
    <n v="600"/>
    <n v="110000"/>
    <n v="5.454545454545455E-3"/>
    <n v="10"/>
    <n v="18000"/>
    <n v="2000000"/>
    <n v="8.9999999999999993E-3"/>
    <n v="13"/>
  </r>
  <r>
    <s v="MCS2026"/>
    <x v="0"/>
    <x v="10"/>
    <s v="Mine production, antimony content"/>
    <s v="ton"/>
    <n v="4500"/>
    <n v="4500"/>
    <n v="110000"/>
    <n v="4.0909090909090909E-2"/>
    <n v="5"/>
    <n v="140000"/>
    <n v="2000000"/>
    <n v="7.0000000000000007E-2"/>
    <n v="5"/>
  </r>
  <r>
    <s v="MCS2026"/>
    <x v="0"/>
    <x v="11"/>
    <s v="Mine production, antimony content"/>
    <s v="ton"/>
    <n v="260"/>
    <n v="260"/>
    <n v="110000"/>
    <n v="2.3636363636363638E-3"/>
    <n v="11"/>
    <n v="26000"/>
    <n v="2000000"/>
    <n v="1.2999999999999999E-2"/>
    <n v="12"/>
  </r>
  <r>
    <s v="MCS2026"/>
    <x v="0"/>
    <x v="12"/>
    <s v="Mine production, antimony content"/>
    <s v="ton"/>
    <n v="3000"/>
    <n v="3000"/>
    <n v="110000"/>
    <n v="2.7272727272727271E-2"/>
    <n v="6"/>
    <n v="99000"/>
    <n v="2000000"/>
    <n v="4.9500000000000002E-2"/>
    <n v="7"/>
  </r>
  <r>
    <s v="MCS2026"/>
    <x v="0"/>
    <x v="13"/>
    <s v="Mine production, antimony content"/>
    <s v="ton"/>
    <n v="40000"/>
    <n v="32000"/>
    <n v="110000"/>
    <n v="0.29090909090909089"/>
    <n v="2"/>
    <n v="350000"/>
    <n v="2000000"/>
    <n v="0.17499999999999999"/>
    <n v="2"/>
  </r>
  <r>
    <s v="MCS2026"/>
    <x v="0"/>
    <x v="14"/>
    <s v="Mine production, antimony content"/>
    <s v="ton"/>
    <n v="22000"/>
    <n v="22000"/>
    <n v="110000"/>
    <n v="0.2"/>
    <n v="3"/>
    <n v="60000"/>
    <n v="2000000"/>
    <n v="0.03"/>
    <n v="9"/>
  </r>
  <r>
    <s v="MCS2026"/>
    <x v="0"/>
    <x v="15"/>
    <s v="Mine production, antimony content"/>
    <s v="ton"/>
    <n v="0"/>
    <n v="0"/>
    <n v="110000"/>
    <n v="0"/>
    <s v="-"/>
    <n v="60000"/>
    <n v="2000000"/>
    <n v="0.03"/>
    <n v="9"/>
  </r>
  <r>
    <s v="MCS2026"/>
    <x v="0"/>
    <x v="16"/>
    <s v="Mine production, antimony content"/>
    <s v="ton"/>
    <n v="220"/>
    <n v="220"/>
    <n v="110000"/>
    <n v="2E-3"/>
    <n v="12"/>
    <n v="54000"/>
    <n v="2000000"/>
    <n v="2.7E-2"/>
    <n v="11"/>
  </r>
  <r>
    <s v="MCS2026"/>
    <x v="1"/>
    <x v="17"/>
    <s v="Plant production, arsenic trioxide or calculated equivalent."/>
    <s v="ton"/>
    <n v="1000"/>
    <n v="1000"/>
    <n v="61000"/>
    <n v="1.6393442622950821E-2"/>
    <n v="4"/>
    <n v="0"/>
    <n v="0"/>
    <s v="-"/>
    <s v="-"/>
  </r>
  <r>
    <s v="MCS2026"/>
    <x v="1"/>
    <x v="3"/>
    <s v="Plant production, arsenic trioxide or calculated equivalent."/>
    <s v="ton"/>
    <n v="24000"/>
    <n v="24000"/>
    <n v="61000"/>
    <n v="0.39344262295081966"/>
    <n v="2"/>
    <n v="0"/>
    <n v="0"/>
    <s v="-"/>
    <s v="-"/>
  </r>
  <r>
    <s v="MCS2026"/>
    <x v="1"/>
    <x v="18"/>
    <s v="Plant production, arsenic trioxide or calculated equivalent."/>
    <s v="ton"/>
    <n v="40"/>
    <n v="0"/>
    <n v="61000"/>
    <n v="0"/>
    <s v="-"/>
    <n v="0"/>
    <n v="0"/>
    <s v="-"/>
    <s v="-"/>
  </r>
  <r>
    <s v="MCS2026"/>
    <x v="1"/>
    <x v="19"/>
    <s v="Plant production, arsenic trioxide or calculated equivalent."/>
    <s v="ton"/>
    <n v="6000"/>
    <n v="5000"/>
    <n v="61000"/>
    <n v="8.1967213114754092E-2"/>
    <n v="3"/>
    <n v="0"/>
    <n v="0"/>
    <s v="-"/>
    <s v="-"/>
  </r>
  <r>
    <s v="MCS2026"/>
    <x v="1"/>
    <x v="20"/>
    <s v="Plant production, arsenic trioxide or calculated equivalent."/>
    <s v="ton"/>
    <n v="31000"/>
    <n v="30000"/>
    <n v="61000"/>
    <n v="0.49180327868852458"/>
    <n v="1"/>
    <n v="0"/>
    <n v="0"/>
    <s v="-"/>
    <s v="-"/>
  </r>
  <r>
    <s v="MCS2026"/>
    <x v="1"/>
    <x v="13"/>
    <s v="Plant production, arsenic trioxide or calculated equivalent."/>
    <s v="ton"/>
    <n v="500"/>
    <n v="500"/>
    <n v="61000"/>
    <n v="8.1967213114754103E-3"/>
    <n v="5"/>
    <n v="0"/>
    <n v="0"/>
    <s v="-"/>
    <s v="-"/>
  </r>
  <r>
    <s v="MCS2026"/>
    <x v="1"/>
    <x v="15"/>
    <s v="Plant production, arsenic trioxide or calculated equivalent."/>
    <s v="ton"/>
    <n v="0"/>
    <n v="0"/>
    <n v="61000"/>
    <n v="0"/>
    <s v="-"/>
    <n v="0"/>
    <n v="0"/>
    <s v="-"/>
    <s v="-"/>
  </r>
  <r>
    <s v="MCS2026"/>
    <x v="2"/>
    <x v="21"/>
    <s v="Mine production, asbestos"/>
    <s v="ton"/>
    <n v="116890"/>
    <n v="150000"/>
    <n v="960000"/>
    <n v="0.15625"/>
    <n v="4"/>
    <n v="11000000"/>
    <n v="150000000"/>
    <n v="7.3333333333333334E-2"/>
    <n v="3"/>
  </r>
  <r>
    <s v="MCS2026"/>
    <x v="2"/>
    <x v="3"/>
    <s v="Mine production, asbestos"/>
    <s v="ton"/>
    <n v="250000"/>
    <n v="250000"/>
    <n v="960000"/>
    <n v="0.26041666666666669"/>
    <n v="2"/>
    <n v="7100000"/>
    <n v="150000000"/>
    <n v="4.7333333333333331E-2"/>
    <n v="4"/>
  </r>
  <r>
    <s v="MCS2026"/>
    <x v="2"/>
    <x v="6"/>
    <s v="Mine production, asbestos"/>
    <s v="ton"/>
    <n v="225700"/>
    <n v="250000"/>
    <n v="960000"/>
    <n v="0.26041666666666669"/>
    <n v="2"/>
    <n v="20000000"/>
    <n v="150000000"/>
    <n v="0.13333333333333333"/>
    <n v="2"/>
  </r>
  <r>
    <s v="MCS2026"/>
    <x v="2"/>
    <x v="13"/>
    <s v="Mine production, asbestos"/>
    <s v="ton"/>
    <n v="306900"/>
    <n v="310000"/>
    <n v="960000"/>
    <n v="0.32291666666666669"/>
    <n v="1"/>
    <n v="110000000"/>
    <n v="150000000"/>
    <n v="0.73333333333333328"/>
    <n v="1"/>
  </r>
  <r>
    <s v="MCS2026"/>
    <x v="2"/>
    <x v="15"/>
    <s v="Mine production, asbestos"/>
    <s v="ton"/>
    <n v="0"/>
    <n v="0"/>
    <n v="960000"/>
    <n v="0"/>
    <s v="-"/>
    <n v="0"/>
    <n v="150000000"/>
    <n v="0"/>
    <s v="-"/>
  </r>
  <r>
    <s v="MCS2026"/>
    <x v="3"/>
    <x v="3"/>
    <s v="Mine production, barite, estimated"/>
    <s v="k ton"/>
    <n v="2100"/>
    <n v="2200"/>
    <n v="8700"/>
    <n v="0.25287356321839083"/>
    <n v="2"/>
    <n v="120000"/>
    <n v="0"/>
    <s v="-"/>
    <n v="1"/>
  </r>
  <r>
    <s v="MCS2026"/>
    <x v="3"/>
    <x v="22"/>
    <s v="Mine production, barite, estimated"/>
    <s v="k ton"/>
    <n v="2600"/>
    <n v="3000"/>
    <n v="8700"/>
    <n v="0.34482758620689657"/>
    <n v="1"/>
    <n v="51000"/>
    <n v="0"/>
    <s v="-"/>
    <n v="4"/>
  </r>
  <r>
    <s v="MCS2026"/>
    <x v="3"/>
    <x v="5"/>
    <s v="Mine production, barite, estimated"/>
    <s v="k ton"/>
    <n v="300"/>
    <n v="300"/>
    <n v="8700"/>
    <n v="3.4482758620689655E-2"/>
    <n v="5"/>
    <n v="100000"/>
    <n v="0"/>
    <s v="-"/>
    <n v="2"/>
  </r>
  <r>
    <s v="MCS2026"/>
    <x v="3"/>
    <x v="6"/>
    <s v="Mine production, barite, estimated"/>
    <s v="k ton"/>
    <n v="650"/>
    <n v="700"/>
    <n v="8700"/>
    <n v="8.0459770114942528E-2"/>
    <n v="4"/>
    <n v="85000"/>
    <n v="0"/>
    <s v="-"/>
    <n v="3"/>
  </r>
  <r>
    <s v="MCS2026"/>
    <x v="3"/>
    <x v="8"/>
    <s v="Mine production, barite, estimated"/>
    <s v="k ton"/>
    <n v="250"/>
    <n v="260"/>
    <n v="8700"/>
    <n v="2.9885057471264367E-2"/>
    <n v="7"/>
    <n v="0"/>
    <n v="0"/>
    <s v="-"/>
    <s v="-"/>
  </r>
  <r>
    <s v="MCS2026"/>
    <x v="3"/>
    <x v="9"/>
    <s v="Mine production, barite, estimated"/>
    <s v="k ton"/>
    <n v="244"/>
    <n v="300"/>
    <n v="8700"/>
    <n v="3.4482758620689655E-2"/>
    <n v="5"/>
    <n v="0"/>
    <n v="0"/>
    <s v="-"/>
    <s v="-"/>
  </r>
  <r>
    <s v="MCS2026"/>
    <x v="3"/>
    <x v="19"/>
    <s v="Mine production, barite, estimated"/>
    <s v="k ton"/>
    <n v="930"/>
    <n v="1000"/>
    <n v="8700"/>
    <n v="0.11494252873563218"/>
    <n v="3"/>
    <n v="0"/>
    <n v="0"/>
    <s v="-"/>
    <s v="-"/>
  </r>
  <r>
    <s v="MCS2026"/>
    <x v="3"/>
    <x v="23"/>
    <s v="Mine production, barite, estimated"/>
    <s v="k ton"/>
    <n v="340"/>
    <n v="350"/>
    <n v="8700"/>
    <n v="4.0229885057471264E-2"/>
    <n v="12"/>
    <n v="0"/>
    <n v="0"/>
    <s v="-"/>
    <n v="12"/>
  </r>
  <r>
    <s v="MCS2026"/>
    <x v="3"/>
    <x v="11"/>
    <s v="Mine production, barite, estimated"/>
    <s v="k ton"/>
    <n v="94"/>
    <n v="100"/>
    <n v="8700"/>
    <n v="1.1494252873563218E-2"/>
    <n v="10"/>
    <n v="0"/>
    <n v="0"/>
    <s v="-"/>
    <s v="-"/>
  </r>
  <r>
    <s v="MCS2026"/>
    <x v="3"/>
    <x v="12"/>
    <s v="Mine production, barite, estimated"/>
    <s v="k ton"/>
    <n v="261"/>
    <n v="260"/>
    <n v="8700"/>
    <n v="2.9885057471264367E-2"/>
    <n v="7"/>
    <n v="34000"/>
    <n v="0"/>
    <s v="-"/>
    <n v="5"/>
  </r>
  <r>
    <s v="MCS2026"/>
    <x v="3"/>
    <x v="13"/>
    <s v="Mine production, barite, estimated"/>
    <s v="k ton"/>
    <n v="200"/>
    <n v="230"/>
    <n v="8700"/>
    <n v="2.6436781609195402E-2"/>
    <n v="9"/>
    <n v="12000"/>
    <n v="0"/>
    <s v="-"/>
    <n v="6"/>
  </r>
  <r>
    <s v="MCS2026"/>
    <x v="3"/>
    <x v="15"/>
    <s v="Mine production, barite, estimated"/>
    <s v="k ton"/>
    <n v="0"/>
    <n v="0"/>
    <n v="8700"/>
    <n v="0"/>
    <s v="-"/>
    <n v="0"/>
    <n v="0"/>
    <s v="-"/>
    <s v="-"/>
  </r>
  <r>
    <s v="MCS2026"/>
    <x v="4"/>
    <x v="0"/>
    <s v="Mine production, bauxite, dry tons"/>
    <s v="k ton"/>
    <n v="100000"/>
    <n v="97000"/>
    <n v="440000"/>
    <n v="0.22045454545454546"/>
    <n v="2"/>
    <n v="3700000"/>
    <n v="29000000"/>
    <n v="0.12758620689655173"/>
    <n v="2"/>
  </r>
  <r>
    <s v="MCS2026"/>
    <x v="4"/>
    <x v="21"/>
    <s v="Mine production, bauxite, dry tons"/>
    <s v="k ton"/>
    <n v="33000"/>
    <n v="33000"/>
    <n v="440000"/>
    <n v="7.4999999999999997E-2"/>
    <n v="4"/>
    <n v="1700000"/>
    <n v="29000000"/>
    <n v="5.8620689655172413E-2"/>
    <n v="6"/>
  </r>
  <r>
    <s v="MCS2026"/>
    <x v="4"/>
    <x v="2"/>
    <s v="Mine production, bauxite, dry tons"/>
    <s v="k ton"/>
    <n v="0"/>
    <n v="0"/>
    <n v="440000"/>
    <n v="0"/>
    <s v="-"/>
    <n v="0"/>
    <n v="29000000"/>
    <n v="0"/>
    <s v="-"/>
  </r>
  <r>
    <s v="MCS2026"/>
    <x v="4"/>
    <x v="3"/>
    <s v="Mine production, bauxite, dry tons"/>
    <s v="k ton"/>
    <n v="80500"/>
    <n v="87000"/>
    <n v="440000"/>
    <n v="0.19772727272727272"/>
    <n v="3"/>
    <n v="710000"/>
    <n v="29000000"/>
    <n v="2.4482758620689656E-2"/>
    <n v="7"/>
  </r>
  <r>
    <s v="MCS2026"/>
    <x v="4"/>
    <x v="24"/>
    <s v="Mine production, bauxite, dry tons"/>
    <s v="k ton"/>
    <n v="0"/>
    <n v="0"/>
    <n v="440000"/>
    <n v="0"/>
    <s v="-"/>
    <n v="0"/>
    <n v="29000000"/>
    <n v="0"/>
    <s v="-"/>
  </r>
  <r>
    <s v="MCS2026"/>
    <x v="4"/>
    <x v="25"/>
    <s v="Mine production, bauxite, dry tons"/>
    <s v="k ton"/>
    <n v="970"/>
    <n v="960"/>
    <n v="440000"/>
    <n v="2.1818181818181819E-3"/>
    <n v="13"/>
    <n v="0"/>
    <n v="29000000"/>
    <n v="0"/>
    <s v="-"/>
  </r>
  <r>
    <s v="MCS2026"/>
    <x v="4"/>
    <x v="26"/>
    <s v="Mine production, bauxite, dry tons"/>
    <s v="k ton"/>
    <n v="142000"/>
    <n v="150000"/>
    <n v="440000"/>
    <n v="0.34090909090909088"/>
    <n v="1"/>
    <n v="7400000"/>
    <n v="29000000"/>
    <n v="0.25517241379310346"/>
    <n v="1"/>
  </r>
  <r>
    <s v="MCS2026"/>
    <x v="4"/>
    <x v="22"/>
    <s v="Mine production, bauxite, dry tons"/>
    <s v="k ton"/>
    <n v="25000"/>
    <n v="25000"/>
    <n v="440000"/>
    <n v="5.6818181818181816E-2"/>
    <n v="5"/>
    <n v="650000"/>
    <n v="29000000"/>
    <n v="2.2413793103448276E-2"/>
    <n v="8"/>
  </r>
  <r>
    <s v="MCS2026"/>
    <x v="4"/>
    <x v="27"/>
    <s v="Mine production, bauxite, dry tons"/>
    <s v="k ton"/>
    <n v="9900"/>
    <n v="10000"/>
    <n v="440000"/>
    <n v="2.2727272727272728E-2"/>
    <n v="6"/>
    <n v="2900000"/>
    <n v="29000000"/>
    <n v="0.1"/>
    <n v="4"/>
  </r>
  <r>
    <s v="MCS2026"/>
    <x v="4"/>
    <x v="28"/>
    <s v="Mine production, bauxite, dry tons"/>
    <s v="k ton"/>
    <n v="0"/>
    <n v="0"/>
    <n v="440000"/>
    <n v="0"/>
    <s v="-"/>
    <n v="0"/>
    <n v="29000000"/>
    <n v="0"/>
    <s v="-"/>
  </r>
  <r>
    <s v="MCS2026"/>
    <x v="4"/>
    <x v="29"/>
    <s v="Mine production, bauxite, dry tons"/>
    <s v="k ton"/>
    <n v="5890"/>
    <n v="6200"/>
    <n v="440000"/>
    <n v="1.4090909090909091E-2"/>
    <n v="7"/>
    <n v="2000000"/>
    <n v="29000000"/>
    <n v="6.8965517241379309E-2"/>
    <n v="5"/>
  </r>
  <r>
    <s v="MCS2026"/>
    <x v="4"/>
    <x v="6"/>
    <s v="Mine production, bauxite, dry tons"/>
    <s v="k ton"/>
    <n v="4780"/>
    <n v="4800"/>
    <n v="440000"/>
    <n v="1.090909090909091E-2"/>
    <n v="10"/>
    <n v="160000"/>
    <n v="29000000"/>
    <n v="5.5172413793103444E-3"/>
    <n v="11"/>
  </r>
  <r>
    <s v="MCS2026"/>
    <x v="4"/>
    <x v="23"/>
    <s v="Mine production, bauxite, dry tons"/>
    <s v="k ton"/>
    <n v="7780"/>
    <n v="8000"/>
    <n v="440000"/>
    <n v="1.8181818181818181E-2"/>
    <n v="20"/>
    <n v="5300000"/>
    <n v="29000000"/>
    <n v="0.18275862068965518"/>
    <n v="20"/>
  </r>
  <r>
    <s v="MCS2026"/>
    <x v="4"/>
    <x v="12"/>
    <s v="Mine production, bauxite, dry tons"/>
    <s v="k ton"/>
    <n v="3660"/>
    <n v="3800"/>
    <n v="440000"/>
    <n v="8.6363636363636365E-3"/>
    <n v="11"/>
    <n v="69000"/>
    <n v="29000000"/>
    <n v="2.3793103448275861E-3"/>
    <n v="12"/>
  </r>
  <r>
    <s v="MCS2026"/>
    <x v="4"/>
    <x v="13"/>
    <s v="Mine production, bauxite, dry tons"/>
    <s v="k ton"/>
    <n v="5470"/>
    <n v="5700"/>
    <n v="440000"/>
    <n v="1.2954545454545455E-2"/>
    <n v="8"/>
    <n v="650000"/>
    <n v="29000000"/>
    <n v="2.2413793103448276E-2"/>
    <n v="8"/>
  </r>
  <r>
    <s v="MCS2026"/>
    <x v="4"/>
    <x v="30"/>
    <s v="Mine production, bauxite, dry tons"/>
    <s v="k ton"/>
    <n v="5500"/>
    <n v="5700"/>
    <n v="440000"/>
    <n v="1.2954545454545455E-2"/>
    <n v="8"/>
    <n v="180000"/>
    <n v="29000000"/>
    <n v="6.2068965517241377E-3"/>
    <n v="10"/>
  </r>
  <r>
    <s v="MCS2026"/>
    <x v="4"/>
    <x v="31"/>
    <s v="Mine production, bauxite, dry tons"/>
    <s v="k ton"/>
    <n v="0"/>
    <n v="0"/>
    <n v="440000"/>
    <n v="0"/>
    <s v="-"/>
    <n v="0"/>
    <n v="29000000"/>
    <n v="0"/>
    <s v="-"/>
  </r>
  <r>
    <s v="MCS2026"/>
    <x v="4"/>
    <x v="32"/>
    <s v="Mine production, bauxite, dry tons"/>
    <s v="k ton"/>
    <n v="0"/>
    <n v="0"/>
    <n v="440000"/>
    <n v="0"/>
    <s v="-"/>
    <n v="0"/>
    <n v="29000000"/>
    <n v="0"/>
    <s v="-"/>
  </r>
  <r>
    <s v="MCS2026"/>
    <x v="4"/>
    <x v="15"/>
    <s v="Mine production, bauxite, dry tons"/>
    <s v="k ton"/>
    <n v="0"/>
    <n v="0"/>
    <n v="440000"/>
    <n v="0"/>
    <s v="-"/>
    <n v="20000"/>
    <n v="29000000"/>
    <n v="6.8965517241379305E-4"/>
    <n v="13"/>
  </r>
  <r>
    <s v="MCS2026"/>
    <x v="4"/>
    <x v="16"/>
    <s v="Mine production, bauxite, dry tons"/>
    <s v="k ton"/>
    <n v="3710"/>
    <n v="3800"/>
    <n v="440000"/>
    <n v="8.6363636363636365E-3"/>
    <n v="11"/>
    <n v="3100000"/>
    <n v="29000000"/>
    <n v="0.10689655172413794"/>
    <n v="3"/>
  </r>
  <r>
    <s v="MCS2026"/>
    <x v="5"/>
    <x v="21"/>
    <s v="Mine production, beryllium content"/>
    <s v="ton"/>
    <n v="80"/>
    <n v="80"/>
    <n v="430"/>
    <n v="0.18604651162790697"/>
    <n v="2"/>
    <n v="0"/>
    <n v="0"/>
    <s v="-"/>
    <s v="-"/>
  </r>
  <r>
    <s v="MCS2026"/>
    <x v="5"/>
    <x v="3"/>
    <s v="Mine production, beryllium content"/>
    <s v="ton"/>
    <n v="78"/>
    <n v="77"/>
    <n v="430"/>
    <n v="0.17906976744186046"/>
    <n v="3"/>
    <n v="0"/>
    <n v="0"/>
    <s v="-"/>
    <s v="-"/>
  </r>
  <r>
    <s v="MCS2026"/>
    <x v="5"/>
    <x v="33"/>
    <s v="Mine production, beryllium content"/>
    <s v="ton"/>
    <n v="1"/>
    <n v="1"/>
    <n v="430"/>
    <n v="2.3255813953488372E-3"/>
    <n v="6"/>
    <n v="0"/>
    <n v="0"/>
    <s v="-"/>
    <s v="-"/>
  </r>
  <r>
    <s v="MCS2026"/>
    <x v="5"/>
    <x v="34"/>
    <s v="Mine production, beryllium content"/>
    <s v="ton"/>
    <n v="3"/>
    <n v="3"/>
    <n v="430"/>
    <n v="6.9767441860465115E-3"/>
    <n v="5"/>
    <n v="0"/>
    <n v="0"/>
    <s v="-"/>
    <s v="-"/>
  </r>
  <r>
    <s v="MCS2026"/>
    <x v="5"/>
    <x v="35"/>
    <s v="Mine production, beryllium content"/>
    <s v="ton"/>
    <n v="40"/>
    <n v="40"/>
    <n v="430"/>
    <n v="9.3023255813953487E-2"/>
    <n v="4"/>
    <n v="0"/>
    <n v="0"/>
    <s v="-"/>
    <s v="-"/>
  </r>
  <r>
    <s v="MCS2026"/>
    <x v="5"/>
    <x v="36"/>
    <s v="Mine production, beryllium content"/>
    <s v="ton"/>
    <n v="1"/>
    <n v="1"/>
    <n v="430"/>
    <n v="2.3255813953488372E-3"/>
    <n v="6"/>
    <n v="0"/>
    <n v="0"/>
    <s v="-"/>
    <s v="-"/>
  </r>
  <r>
    <s v="MCS2026"/>
    <x v="5"/>
    <x v="15"/>
    <s v="Mine production, beryllium content"/>
    <s v="ton"/>
    <n v="230"/>
    <n v="230"/>
    <n v="430"/>
    <n v="0.53488372093023251"/>
    <n v="1"/>
    <n v="0"/>
    <n v="0"/>
    <s v="-"/>
    <s v="-"/>
  </r>
  <r>
    <s v="MCS2026"/>
    <x v="6"/>
    <x v="1"/>
    <s v="Refinery production"/>
    <s v="ton"/>
    <n v="50"/>
    <n v="50"/>
    <n v="16000"/>
    <n v="3.1250000000000002E-3"/>
    <n v="6"/>
    <n v="0"/>
    <n v="0"/>
    <s v="-"/>
    <s v="-"/>
  </r>
  <r>
    <s v="MCS2026"/>
    <x v="6"/>
    <x v="37"/>
    <s v="Refinery production"/>
    <s v="ton"/>
    <n v="48"/>
    <n v="50"/>
    <n v="16000"/>
    <n v="3.1250000000000002E-3"/>
    <n v="6"/>
    <n v="0"/>
    <n v="0"/>
    <s v="-"/>
    <s v="-"/>
  </r>
  <r>
    <s v="MCS2026"/>
    <x v="6"/>
    <x v="3"/>
    <s v="Refinery production"/>
    <s v="ton"/>
    <n v="14000"/>
    <n v="14000"/>
    <n v="16000"/>
    <n v="0.875"/>
    <n v="1"/>
    <n v="0"/>
    <n v="0"/>
    <s v="-"/>
    <s v="-"/>
  </r>
  <r>
    <s v="MCS2026"/>
    <x v="6"/>
    <x v="18"/>
    <s v="Refinery production"/>
    <s v="ton"/>
    <n v="500"/>
    <n v="500"/>
    <n v="16000"/>
    <n v="3.125E-2"/>
    <n v="3"/>
    <n v="0"/>
    <n v="0"/>
    <s v="-"/>
    <s v="-"/>
  </r>
  <r>
    <s v="MCS2026"/>
    <x v="6"/>
    <x v="6"/>
    <s v="Refinery production"/>
    <s v="ton"/>
    <n v="180"/>
    <n v="180"/>
    <n v="16000"/>
    <n v="1.125E-2"/>
    <n v="5"/>
    <n v="0"/>
    <n v="0"/>
    <s v="-"/>
    <s v="-"/>
  </r>
  <r>
    <s v="MCS2026"/>
    <x v="6"/>
    <x v="8"/>
    <s v="Refinery production"/>
    <s v="ton"/>
    <n v="492"/>
    <n v="500"/>
    <n v="16000"/>
    <n v="3.125E-2"/>
    <n v="3"/>
    <n v="0"/>
    <n v="0"/>
    <s v="-"/>
    <s v="-"/>
  </r>
  <r>
    <s v="MCS2026"/>
    <x v="6"/>
    <x v="38"/>
    <s v="Refinery production"/>
    <s v="ton"/>
    <n v="1000"/>
    <n v="1000"/>
    <n v="16000"/>
    <n v="6.25E-2"/>
    <n v="2"/>
    <n v="0"/>
    <n v="0"/>
    <s v="-"/>
    <s v="-"/>
  </r>
  <r>
    <s v="MCS2026"/>
    <x v="6"/>
    <x v="15"/>
    <s v="Refinery production"/>
    <s v="ton"/>
    <n v="0"/>
    <n v="0"/>
    <n v="16000"/>
    <n v="0"/>
    <s v="-"/>
    <n v="0"/>
    <n v="0"/>
    <s v="-"/>
    <s v="-"/>
  </r>
  <r>
    <s v="MCS2026"/>
    <x v="7"/>
    <x v="39"/>
    <s v="Boron all types"/>
    <s v="k ton"/>
    <n v="160"/>
    <n v="170"/>
    <n v="0"/>
    <s v="-"/>
    <n v="6"/>
    <n v="0"/>
    <n v="0"/>
    <s v="-"/>
    <s v="-"/>
  </r>
  <r>
    <s v="MCS2026"/>
    <x v="7"/>
    <x v="1"/>
    <s v="Boron all types"/>
    <s v="k ton"/>
    <n v="230"/>
    <n v="380"/>
    <n v="0"/>
    <s v="-"/>
    <n v="2"/>
    <n v="0"/>
    <n v="0"/>
    <s v="-"/>
    <s v="-"/>
  </r>
  <r>
    <s v="MCS2026"/>
    <x v="7"/>
    <x v="40"/>
    <s v="Boron all types"/>
    <s v="k ton"/>
    <n v="470"/>
    <n v="300"/>
    <n v="0"/>
    <s v="-"/>
    <n v="3"/>
    <n v="35000"/>
    <n v="0"/>
    <s v="-"/>
    <n v="4"/>
  </r>
  <r>
    <s v="MCS2026"/>
    <x v="7"/>
    <x v="3"/>
    <s v="Boron all types"/>
    <s v="k ton"/>
    <n v="210"/>
    <n v="230"/>
    <n v="0"/>
    <s v="-"/>
    <n v="4"/>
    <n v="9100"/>
    <n v="0"/>
    <s v="-"/>
    <n v="5"/>
  </r>
  <r>
    <s v="MCS2026"/>
    <x v="7"/>
    <x v="24"/>
    <s v="Boron all types"/>
    <s v="k ton"/>
    <n v="45"/>
    <n v="40"/>
    <n v="0"/>
    <s v="-"/>
    <n v="8"/>
    <n v="0"/>
    <n v="0"/>
    <s v="-"/>
    <s v="-"/>
  </r>
  <r>
    <s v="MCS2026"/>
    <x v="7"/>
    <x v="20"/>
    <s v="Boron all types"/>
    <s v="k ton"/>
    <n v="190"/>
    <n v="220"/>
    <n v="0"/>
    <s v="-"/>
    <n v="5"/>
    <n v="4000"/>
    <n v="0"/>
    <s v="-"/>
    <n v="6"/>
  </r>
  <r>
    <s v="MCS2026"/>
    <x v="7"/>
    <x v="12"/>
    <s v="Boron all types"/>
    <s v="k ton"/>
    <n v="1800"/>
    <n v="1500"/>
    <n v="0"/>
    <s v="-"/>
    <n v="1"/>
    <n v="950000"/>
    <n v="0"/>
    <s v="-"/>
    <n v="1"/>
  </r>
  <r>
    <s v="MCS2026"/>
    <x v="7"/>
    <x v="13"/>
    <s v="Boron all types"/>
    <s v="k ton"/>
    <n v="90"/>
    <n v="80"/>
    <n v="0"/>
    <s v="-"/>
    <n v="7"/>
    <n v="40000"/>
    <n v="0"/>
    <s v="-"/>
    <n v="3"/>
  </r>
  <r>
    <s v="MCS2026"/>
    <x v="7"/>
    <x v="15"/>
    <s v="Boron all types"/>
    <s v="k ton"/>
    <n v="0"/>
    <n v="0"/>
    <n v="0"/>
    <s v="-"/>
    <s v="-"/>
    <n v="48000"/>
    <n v="0"/>
    <s v="-"/>
    <n v="2"/>
  </r>
  <r>
    <s v="MCS2026"/>
    <x v="8"/>
    <x v="3"/>
    <s v="Production, bromine content, estimated"/>
    <s v="ton"/>
    <n v="100000"/>
    <n v="90000"/>
    <n v="430000"/>
    <n v="0.20930232558139536"/>
    <n v="3"/>
    <n v="130000"/>
    <n v="0"/>
    <s v="-"/>
    <n v="3"/>
  </r>
  <r>
    <s v="MCS2026"/>
    <x v="8"/>
    <x v="22"/>
    <s v="Production, bromine content, estimated"/>
    <s v="ton"/>
    <n v="7000"/>
    <n v="7000"/>
    <n v="430000"/>
    <n v="1.627906976744186E-2"/>
    <n v="5"/>
    <n v="0"/>
    <n v="0"/>
    <s v="-"/>
    <s v="-"/>
  </r>
  <r>
    <s v="MCS2026"/>
    <x v="8"/>
    <x v="41"/>
    <s v="Production, bromine content, estimated"/>
    <s v="ton"/>
    <n v="190000"/>
    <n v="200000"/>
    <n v="430000"/>
    <n v="0.46511627906976744"/>
    <n v="1"/>
    <n v="0"/>
    <n v="0"/>
    <s v="-"/>
    <s v="-"/>
  </r>
  <r>
    <s v="MCS2026"/>
    <x v="8"/>
    <x v="18"/>
    <s v="Production, bromine content, estimated"/>
    <s v="ton"/>
    <n v="20000"/>
    <n v="20000"/>
    <n v="430000"/>
    <n v="4.6511627906976744E-2"/>
    <n v="4"/>
    <n v="0"/>
    <n v="0"/>
    <s v="-"/>
    <s v="-"/>
  </r>
  <r>
    <s v="MCS2026"/>
    <x v="8"/>
    <x v="42"/>
    <s v="Production, bromine content, estimated"/>
    <s v="ton"/>
    <n v="112000"/>
    <n v="110000"/>
    <n v="430000"/>
    <n v="0.2558139534883721"/>
    <n v="2"/>
    <n v="360000"/>
    <n v="0"/>
    <s v="-"/>
    <n v="2"/>
  </r>
  <r>
    <s v="MCS2026"/>
    <x v="8"/>
    <x v="43"/>
    <s v="Production, bromine content, estimated"/>
    <s v="ton"/>
    <n v="11000"/>
    <n v="6000"/>
    <n v="430000"/>
    <n v="1.3953488372093023E-2"/>
    <n v="6"/>
    <n v="0"/>
    <n v="0"/>
    <s v="-"/>
    <s v="-"/>
  </r>
  <r>
    <s v="MCS2026"/>
    <x v="8"/>
    <x v="15"/>
    <s v="Production, bromine content, estimated"/>
    <s v="ton"/>
    <n v="0"/>
    <n v="0"/>
    <n v="430000"/>
    <n v="0"/>
    <s v="-"/>
    <n v="11000000"/>
    <n v="0"/>
    <s v="-"/>
    <n v="1"/>
  </r>
  <r>
    <s v="MCS2026"/>
    <x v="9"/>
    <x v="0"/>
    <s v="Refinery production, estimated"/>
    <s v="ton"/>
    <n v="601"/>
    <n v="600"/>
    <n v="23000"/>
    <n v="2.6086956521739129E-2"/>
    <n v="8"/>
    <n v="0"/>
    <n v="0"/>
    <s v="-"/>
    <s v="-"/>
  </r>
  <r>
    <s v="MCS2026"/>
    <x v="9"/>
    <x v="37"/>
    <s v="Refinery production, estimated"/>
    <s v="ton"/>
    <n v="379"/>
    <n v="380"/>
    <n v="23000"/>
    <n v="1.6521739130434782E-2"/>
    <n v="13"/>
    <n v="0"/>
    <n v="0"/>
    <s v="-"/>
    <s v="-"/>
  </r>
  <r>
    <s v="MCS2026"/>
    <x v="9"/>
    <x v="2"/>
    <s v="Refinery production, estimated"/>
    <s v="ton"/>
    <n v="1300"/>
    <n v="1300"/>
    <n v="23000"/>
    <n v="5.6521739130434782E-2"/>
    <n v="3"/>
    <n v="0"/>
    <n v="0"/>
    <s v="-"/>
    <s v="-"/>
  </r>
  <r>
    <s v="MCS2026"/>
    <x v="9"/>
    <x v="3"/>
    <s v="Refinery production, estimated"/>
    <s v="ton"/>
    <n v="8900"/>
    <n v="9500"/>
    <n v="23000"/>
    <n v="0.41304347826086957"/>
    <n v="1"/>
    <n v="0"/>
    <n v="0"/>
    <s v="-"/>
    <s v="-"/>
  </r>
  <r>
    <s v="MCS2026"/>
    <x v="9"/>
    <x v="24"/>
    <s v="Refinery production, estimated"/>
    <s v="ton"/>
    <n v="130"/>
    <n v="220"/>
    <n v="23000"/>
    <n v="9.5652173913043474E-3"/>
    <n v="15"/>
    <n v="0"/>
    <n v="0"/>
    <s v="-"/>
    <s v="-"/>
  </r>
  <r>
    <s v="MCS2026"/>
    <x v="9"/>
    <x v="18"/>
    <s v="Refinery production, estimated"/>
    <s v="ton"/>
    <n v="1580"/>
    <n v="1300"/>
    <n v="23000"/>
    <n v="5.6521739130434782E-2"/>
    <n v="3"/>
    <n v="0"/>
    <n v="0"/>
    <s v="-"/>
    <s v="-"/>
  </r>
  <r>
    <s v="MCS2026"/>
    <x v="9"/>
    <x v="6"/>
    <s v="Refinery production, estimated"/>
    <s v="ton"/>
    <n v="1100"/>
    <n v="1100"/>
    <n v="23000"/>
    <n v="4.7826086956521741E-2"/>
    <n v="5"/>
    <n v="0"/>
    <n v="0"/>
    <s v="-"/>
    <s v="-"/>
  </r>
  <r>
    <s v="MCS2026"/>
    <x v="9"/>
    <x v="9"/>
    <s v="Refinery production, estimated"/>
    <s v="ton"/>
    <n v="1190"/>
    <n v="1000"/>
    <n v="23000"/>
    <n v="4.3478260869565216E-2"/>
    <n v="6"/>
    <n v="0"/>
    <n v="0"/>
    <s v="-"/>
    <s v="-"/>
  </r>
  <r>
    <s v="MCS2026"/>
    <x v="9"/>
    <x v="44"/>
    <s v="Refinery production, estimated"/>
    <s v="ton"/>
    <n v="592"/>
    <n v="600"/>
    <n v="23000"/>
    <n v="2.6086956521739129E-2"/>
    <n v="8"/>
    <n v="0"/>
    <n v="0"/>
    <s v="-"/>
    <s v="-"/>
  </r>
  <r>
    <s v="MCS2026"/>
    <x v="9"/>
    <x v="45"/>
    <s v="Refinery production, estimated"/>
    <s v="ton"/>
    <n v="350"/>
    <n v="430"/>
    <n v="23000"/>
    <n v="1.8695652173913044E-2"/>
    <n v="11"/>
    <n v="0"/>
    <n v="0"/>
    <s v="-"/>
    <s v="-"/>
  </r>
  <r>
    <s v="MCS2026"/>
    <x v="9"/>
    <x v="20"/>
    <s v="Refinery production, estimated"/>
    <s v="ton"/>
    <n v="664"/>
    <n v="600"/>
    <n v="23000"/>
    <n v="2.6086956521739129E-2"/>
    <n v="8"/>
    <n v="0"/>
    <n v="0"/>
    <s v="-"/>
    <s v="-"/>
  </r>
  <r>
    <s v="MCS2026"/>
    <x v="9"/>
    <x v="46"/>
    <s v="Refinery production, estimated"/>
    <s v="ton"/>
    <n v="382"/>
    <n v="400"/>
    <n v="23000"/>
    <n v="1.7391304347826087E-2"/>
    <n v="12"/>
    <n v="0"/>
    <n v="0"/>
    <s v="-"/>
    <s v="-"/>
  </r>
  <r>
    <s v="MCS2026"/>
    <x v="9"/>
    <x v="13"/>
    <s v="Refinery production, estimated"/>
    <s v="ton"/>
    <n v="1000"/>
    <n v="1000"/>
    <n v="23000"/>
    <n v="4.3478260869565216E-2"/>
    <n v="6"/>
    <n v="0"/>
    <n v="0"/>
    <s v="-"/>
    <s v="-"/>
  </r>
  <r>
    <s v="MCS2026"/>
    <x v="9"/>
    <x v="38"/>
    <s v="Refinery production, estimated"/>
    <s v="ton"/>
    <n v="4300"/>
    <n v="4300"/>
    <n v="23000"/>
    <n v="0.18695652173913044"/>
    <n v="2"/>
    <n v="0"/>
    <n v="0"/>
    <s v="-"/>
    <s v="-"/>
  </r>
  <r>
    <s v="MCS2026"/>
    <x v="9"/>
    <x v="15"/>
    <s v="Refinery production, estimated"/>
    <s v="ton"/>
    <n v="180"/>
    <n v="200"/>
    <n v="23000"/>
    <n v="8.6956521739130436E-3"/>
    <n v="16"/>
    <n v="0"/>
    <n v="0"/>
    <s v="-"/>
    <s v="-"/>
  </r>
  <r>
    <s v="MCS2026"/>
    <x v="9"/>
    <x v="47"/>
    <s v="Refinery production, estimated"/>
    <s v="ton"/>
    <n v="170"/>
    <n v="230"/>
    <n v="23000"/>
    <n v="0.01"/>
    <n v="14"/>
    <n v="0"/>
    <n v="0"/>
    <s v="-"/>
    <s v="-"/>
  </r>
  <r>
    <s v="MCS2026"/>
    <x v="10"/>
    <x v="21"/>
    <s v="Mine production, grosss weight, marketable chromite ore"/>
    <s v="k ton"/>
    <n v="1400"/>
    <n v="2000"/>
    <n v="51000"/>
    <n v="3.9215686274509803E-2"/>
    <n v="5"/>
    <n v="1000"/>
    <n v="540000"/>
    <n v="1.8518518518518519E-3"/>
    <n v="7"/>
  </r>
  <r>
    <s v="MCS2026"/>
    <x v="10"/>
    <x v="48"/>
    <s v="Mine production, grosss weight, marketable chromite ore"/>
    <s v="k ton"/>
    <n v="1940"/>
    <n v="1900"/>
    <n v="51000"/>
    <n v="3.7254901960784313E-2"/>
    <n v="7"/>
    <n v="16000"/>
    <n v="540000"/>
    <n v="2.9629629629629631E-2"/>
    <n v="5"/>
  </r>
  <r>
    <s v="MCS2026"/>
    <x v="10"/>
    <x v="22"/>
    <s v="Mine production, grosss weight, marketable chromite ore"/>
    <s v="k ton"/>
    <n v="3370"/>
    <n v="3000"/>
    <n v="51000"/>
    <n v="5.8823529411764705E-2"/>
    <n v="4"/>
    <n v="27000"/>
    <n v="540000"/>
    <n v="0.05"/>
    <n v="4"/>
  </r>
  <r>
    <s v="MCS2026"/>
    <x v="10"/>
    <x v="6"/>
    <s v="Mine production, grosss weight, marketable chromite ore"/>
    <s v="k ton"/>
    <n v="6100"/>
    <n v="7000"/>
    <n v="51000"/>
    <n v="0.13725490196078433"/>
    <n v="3"/>
    <n v="100000"/>
    <n v="540000"/>
    <n v="0.18518518518518517"/>
    <n v="2"/>
  </r>
  <r>
    <s v="MCS2026"/>
    <x v="10"/>
    <x v="23"/>
    <s v="Mine production, grosss weight, marketable chromite ore"/>
    <s v="k ton"/>
    <n v="3000"/>
    <n v="3000"/>
    <n v="51000"/>
    <n v="5.8823529411764705E-2"/>
    <n v="9"/>
    <n v="0"/>
    <n v="540000"/>
    <n v="0"/>
    <n v="9"/>
  </r>
  <r>
    <s v="MCS2026"/>
    <x v="10"/>
    <x v="12"/>
    <s v="Mine production, grosss weight, marketable chromite ore"/>
    <s v="k ton"/>
    <n v="9300"/>
    <n v="9000"/>
    <n v="51000"/>
    <n v="0.17647058823529413"/>
    <n v="2"/>
    <n v="5700"/>
    <n v="540000"/>
    <n v="1.0555555555555556E-2"/>
    <n v="6"/>
  </r>
  <r>
    <s v="MCS2026"/>
    <x v="10"/>
    <x v="49"/>
    <s v="Mine production, grosss weight, marketable chromite ore"/>
    <s v="k ton"/>
    <n v="22900"/>
    <n v="23000"/>
    <n v="51000"/>
    <n v="0.45098039215686275"/>
    <n v="1"/>
    <n v="110000"/>
    <n v="540000"/>
    <n v="0.20370370370370369"/>
    <n v="1"/>
  </r>
  <r>
    <s v="MCS2026"/>
    <x v="10"/>
    <x v="15"/>
    <s v="Mine production, grosss weight, marketable chromite ore"/>
    <s v="k ton"/>
    <n v="0"/>
    <n v="0"/>
    <n v="51000"/>
    <n v="0"/>
    <s v="-"/>
    <n v="630"/>
    <n v="540000"/>
    <n v="1.1666666666666668E-3"/>
    <n v="8"/>
  </r>
  <r>
    <s v="MCS2026"/>
    <x v="10"/>
    <x v="50"/>
    <s v="Mine production, grosss weight, marketable chromite ore"/>
    <s v="k ton"/>
    <n v="1600"/>
    <n v="2000"/>
    <n v="51000"/>
    <n v="3.9215686274509803E-2"/>
    <n v="5"/>
    <n v="78000"/>
    <n v="540000"/>
    <n v="0.14444444444444443"/>
    <n v="3"/>
  </r>
  <r>
    <s v="MCS2026"/>
    <x v="11"/>
    <x v="0"/>
    <s v="Mine production, cobalt content, estimated"/>
    <s v="ton"/>
    <n v="4780"/>
    <n v="3700"/>
    <n v="310000"/>
    <n v="1.1935483870967743E-2"/>
    <n v="5"/>
    <n v="1700000"/>
    <n v="12000000"/>
    <n v="0.14166666666666666"/>
    <n v="2"/>
  </r>
  <r>
    <s v="MCS2026"/>
    <x v="11"/>
    <x v="2"/>
    <s v="Mine production, cobalt content, estimated"/>
    <s v="ton"/>
    <n v="3350"/>
    <n v="3500"/>
    <n v="310000"/>
    <n v="1.1290322580645161E-2"/>
    <n v="7"/>
    <n v="220000"/>
    <n v="12000000"/>
    <n v="1.8333333333333333E-2"/>
    <n v="7"/>
  </r>
  <r>
    <s v="MCS2026"/>
    <x v="11"/>
    <x v="3"/>
    <s v="Mine production, cobalt content, estimated"/>
    <s v="ton"/>
    <n v="2000"/>
    <n v="2000"/>
    <n v="310000"/>
    <n v="6.4516129032258064E-3"/>
    <n v="9"/>
    <n v="160000"/>
    <n v="12000000"/>
    <n v="1.3333333333333334E-2"/>
    <n v="8"/>
  </r>
  <r>
    <s v="MCS2026"/>
    <x v="11"/>
    <x v="51"/>
    <s v="Mine production, cobalt content, estimated"/>
    <s v="ton"/>
    <n v="3450"/>
    <n v="2000"/>
    <n v="310000"/>
    <n v="6.4516129032258064E-3"/>
    <n v="9"/>
    <n v="500000"/>
    <n v="12000000"/>
    <n v="4.1666666666666664E-2"/>
    <n v="5"/>
  </r>
  <r>
    <s v="MCS2026"/>
    <x v="11"/>
    <x v="52"/>
    <s v="Mine production, cobalt content, estimated"/>
    <s v="ton"/>
    <n v="226000"/>
    <n v="230000"/>
    <n v="310000"/>
    <n v="0.74193548387096775"/>
    <n v="1"/>
    <n v="6000000"/>
    <n v="12000000"/>
    <n v="0.5"/>
    <n v="1"/>
  </r>
  <r>
    <s v="MCS2026"/>
    <x v="11"/>
    <x v="27"/>
    <s v="Mine production, cobalt content, estimated"/>
    <s v="ton"/>
    <n v="35000"/>
    <n v="44000"/>
    <n v="310000"/>
    <n v="0.14193548387096774"/>
    <n v="2"/>
    <n v="760000"/>
    <n v="12000000"/>
    <n v="6.3333333333333339E-2"/>
    <n v="4"/>
  </r>
  <r>
    <s v="MCS2026"/>
    <x v="11"/>
    <x v="33"/>
    <s v="Mine production, cobalt content, estimated"/>
    <s v="ton"/>
    <n v="3100"/>
    <n v="3900"/>
    <n v="310000"/>
    <n v="1.2580645161290323E-2"/>
    <n v="4"/>
    <n v="100000"/>
    <n v="12000000"/>
    <n v="8.3333333333333332E-3"/>
    <n v="9"/>
  </r>
  <r>
    <s v="MCS2026"/>
    <x v="11"/>
    <x v="23"/>
    <s v="Mine production, cobalt content, estimated"/>
    <s v="ton"/>
    <n v="7780"/>
    <n v="9100"/>
    <n v="310000"/>
    <n v="2.9354838709677419E-2"/>
    <n v="13"/>
    <n v="780000"/>
    <n v="12000000"/>
    <n v="6.5000000000000002E-2"/>
    <n v="13"/>
  </r>
  <r>
    <s v="MCS2026"/>
    <x v="11"/>
    <x v="53"/>
    <s v="Mine production, cobalt content, estimated"/>
    <s v="ton"/>
    <n v="2630"/>
    <n v="2800"/>
    <n v="310000"/>
    <n v="9.0322580645161299E-3"/>
    <n v="8"/>
    <n v="84000"/>
    <n v="12000000"/>
    <n v="7.0000000000000001E-3"/>
    <n v="11"/>
  </r>
  <r>
    <s v="MCS2026"/>
    <x v="11"/>
    <x v="54"/>
    <s v="Mine production, cobalt content, estimated"/>
    <s v="ton"/>
    <n v="3100"/>
    <n v="3700"/>
    <n v="310000"/>
    <n v="1.1935483870967743E-2"/>
    <n v="5"/>
    <n v="260000"/>
    <n v="12000000"/>
    <n v="2.1666666666666667E-2"/>
    <n v="6"/>
  </r>
  <r>
    <s v="MCS2026"/>
    <x v="11"/>
    <x v="12"/>
    <s v="Mine production, cobalt content, estimated"/>
    <s v="ton"/>
    <n v="2200"/>
    <n v="1900"/>
    <n v="310000"/>
    <n v="6.1290322580645163E-3"/>
    <n v="11"/>
    <n v="91000"/>
    <n v="12000000"/>
    <n v="7.5833333333333334E-3"/>
    <n v="10"/>
  </r>
  <r>
    <s v="MCS2026"/>
    <x v="11"/>
    <x v="13"/>
    <s v="Mine production, cobalt content, estimated"/>
    <s v="ton"/>
    <n v="8000"/>
    <n v="7700"/>
    <n v="310000"/>
    <n v="2.4838709677419354E-2"/>
    <n v="3"/>
    <n v="800000"/>
    <n v="12000000"/>
    <n v="6.6666666666666666E-2"/>
    <n v="3"/>
  </r>
  <r>
    <s v="MCS2026"/>
    <x v="11"/>
    <x v="15"/>
    <s v="Mine production, estimated"/>
    <s v="ton"/>
    <n v="200"/>
    <n v="300"/>
    <n v="310000"/>
    <n v="9.6774193548387097E-4"/>
    <n v="12"/>
    <n v="70000"/>
    <n v="12000000"/>
    <n v="5.8333333333333336E-3"/>
    <n v="12"/>
  </r>
  <r>
    <s v="MCS2026"/>
    <x v="12"/>
    <x v="0"/>
    <s v="Mine production, recoverable copper content"/>
    <s v="k ton"/>
    <n v="765"/>
    <n v="730"/>
    <n v="23000"/>
    <n v="3.173913043478261E-2"/>
    <n v="8"/>
    <n v="100000"/>
    <n v="980000"/>
    <n v="0.10204081632653061"/>
    <n v="2"/>
  </r>
  <r>
    <s v="MCS2026"/>
    <x v="12"/>
    <x v="2"/>
    <s v="Mine production, recoverable copper content"/>
    <s v="k ton"/>
    <n v="515"/>
    <n v="500"/>
    <n v="23000"/>
    <n v="2.1739130434782608E-2"/>
    <n v="12"/>
    <n v="7000"/>
    <n v="980000"/>
    <n v="7.1428571428571426E-3"/>
    <n v="13"/>
  </r>
  <r>
    <s v="MCS2026"/>
    <x v="12"/>
    <x v="40"/>
    <s v="Mine production, recoverable copper content"/>
    <s v="k ton"/>
    <n v="5510"/>
    <n v="5300"/>
    <n v="23000"/>
    <n v="0.23043478260869565"/>
    <n v="1"/>
    <n v="180000"/>
    <n v="980000"/>
    <n v="0.18367346938775511"/>
    <n v="1"/>
  </r>
  <r>
    <s v="MCS2026"/>
    <x v="12"/>
    <x v="3"/>
    <s v="Mine production, recoverable copper content"/>
    <s v="k ton"/>
    <n v="1840"/>
    <n v="1800"/>
    <n v="23000"/>
    <n v="7.8260869565217397E-2"/>
    <n v="4"/>
    <n v="41000"/>
    <n v="980000"/>
    <n v="4.1836734693877553E-2"/>
    <n v="8"/>
  </r>
  <r>
    <s v="MCS2026"/>
    <x v="12"/>
    <x v="52"/>
    <s v="Mine production, recoverable copper content"/>
    <s v="k ton"/>
    <n v="2990"/>
    <n v="3200"/>
    <n v="23000"/>
    <n v="0.1391304347826087"/>
    <n v="2"/>
    <n v="80000"/>
    <n v="980000"/>
    <n v="8.1632653061224483E-2"/>
    <n v="4"/>
  </r>
  <r>
    <s v="MCS2026"/>
    <x v="12"/>
    <x v="24"/>
    <s v="Mine production, recoverable copper content"/>
    <s v="k ton"/>
    <n v="0"/>
    <n v="0"/>
    <n v="23000"/>
    <n v="0"/>
    <s v="-"/>
    <n v="0"/>
    <n v="980000"/>
    <n v="0"/>
    <s v="-"/>
  </r>
  <r>
    <s v="MCS2026"/>
    <x v="12"/>
    <x v="22"/>
    <s v="Mine production, recoverable copper content"/>
    <s v="k ton"/>
    <n v="27"/>
    <n v="23"/>
    <n v="23000"/>
    <n v="1E-3"/>
    <n v="14"/>
    <n v="2200"/>
    <n v="980000"/>
    <n v="2.2448979591836735E-3"/>
    <n v="14"/>
  </r>
  <r>
    <s v="MCS2026"/>
    <x v="12"/>
    <x v="27"/>
    <s v="Mine production, recoverable copper content"/>
    <s v="k ton"/>
    <n v="1010"/>
    <n v="710"/>
    <n v="23000"/>
    <n v="3.0869565217391304E-2"/>
    <n v="9"/>
    <n v="21000"/>
    <n v="980000"/>
    <n v="2.1428571428571429E-2"/>
    <n v="10"/>
  </r>
  <r>
    <s v="MCS2026"/>
    <x v="12"/>
    <x v="18"/>
    <s v="Mine production, recoverable copper content"/>
    <s v="k ton"/>
    <n v="0"/>
    <n v="0"/>
    <n v="23000"/>
    <n v="0"/>
    <s v="-"/>
    <n v="0"/>
    <n v="980000"/>
    <n v="0"/>
    <s v="-"/>
  </r>
  <r>
    <s v="MCS2026"/>
    <x v="12"/>
    <x v="6"/>
    <s v="Mine production, recoverable copper content"/>
    <s v="k ton"/>
    <n v="724"/>
    <n v="710"/>
    <n v="23000"/>
    <n v="3.0869565217391304E-2"/>
    <n v="9"/>
    <n v="20000"/>
    <n v="980000"/>
    <n v="2.0408163265306121E-2"/>
    <n v="12"/>
  </r>
  <r>
    <s v="MCS2026"/>
    <x v="12"/>
    <x v="9"/>
    <s v="Mine production, recoverable copper content"/>
    <s v="k ton"/>
    <n v="717"/>
    <n v="690"/>
    <n v="23000"/>
    <n v="0.03"/>
    <n v="11"/>
    <n v="53000"/>
    <n v="980000"/>
    <n v="5.4081632653061228E-2"/>
    <n v="6"/>
  </r>
  <r>
    <s v="MCS2026"/>
    <x v="12"/>
    <x v="23"/>
    <s v="Mine production, recoverable copper content"/>
    <s v="k ton"/>
    <n v="2850"/>
    <n v="3000"/>
    <n v="23000"/>
    <n v="0.13043478260869565"/>
    <n v="18"/>
    <n v="210000"/>
    <n v="980000"/>
    <n v="0.21428571428571427"/>
    <n v="18"/>
  </r>
  <r>
    <s v="MCS2026"/>
    <x v="12"/>
    <x v="20"/>
    <s v="Mine production, recoverable copper content"/>
    <s v="k ton"/>
    <n v="2740"/>
    <n v="2700"/>
    <n v="23000"/>
    <n v="0.11739130434782609"/>
    <n v="3"/>
    <n v="85000"/>
    <n v="980000"/>
    <n v="8.673469387755102E-2"/>
    <n v="3"/>
  </r>
  <r>
    <s v="MCS2026"/>
    <x v="12"/>
    <x v="46"/>
    <s v="Mine production, recoverable copper content"/>
    <s v="k ton"/>
    <n v="400"/>
    <n v="410"/>
    <n v="23000"/>
    <n v="1.7826086956521738E-2"/>
    <n v="13"/>
    <n v="33000"/>
    <n v="980000"/>
    <n v="3.3673469387755103E-2"/>
    <n v="9"/>
  </r>
  <r>
    <s v="MCS2026"/>
    <x v="12"/>
    <x v="13"/>
    <s v="Mine production, recoverable copper content"/>
    <s v="k ton"/>
    <n v="1020"/>
    <n v="1300"/>
    <n v="23000"/>
    <n v="5.6521739130434782E-2"/>
    <n v="5"/>
    <n v="80000"/>
    <n v="980000"/>
    <n v="8.1632653061224483E-2"/>
    <n v="4"/>
  </r>
  <r>
    <s v="MCS2026"/>
    <x v="12"/>
    <x v="38"/>
    <s v="Mine production, recoverable copper content"/>
    <s v="k ton"/>
    <n v="0"/>
    <n v="0"/>
    <n v="23000"/>
    <n v="0"/>
    <s v="-"/>
    <n v="0"/>
    <n v="980000"/>
    <n v="0"/>
    <s v="-"/>
  </r>
  <r>
    <s v="MCS2026"/>
    <x v="12"/>
    <x v="15"/>
    <s v="Mine production, recoverable copper content"/>
    <s v="k ton"/>
    <n v="1050"/>
    <n v="1000"/>
    <n v="23000"/>
    <n v="4.3478260869565216E-2"/>
    <n v="6"/>
    <n v="47000"/>
    <n v="980000"/>
    <n v="4.7959183673469387E-2"/>
    <n v="7"/>
  </r>
  <r>
    <s v="MCS2026"/>
    <x v="12"/>
    <x v="55"/>
    <s v="Mine production, recoverable copper content"/>
    <s v="k ton"/>
    <n v="823"/>
    <n v="940"/>
    <n v="23000"/>
    <n v="4.0869565217391303E-2"/>
    <n v="7"/>
    <n v="21000"/>
    <n v="980000"/>
    <n v="2.1428571428571429E-2"/>
    <n v="10"/>
  </r>
  <r>
    <s v="MCS2026"/>
    <x v="13"/>
    <x v="39"/>
    <s v="Mine production, estimated"/>
    <s v="k ton"/>
    <n v="185"/>
    <n v="190"/>
    <n v="2500"/>
    <n v="7.5999999999999998E-2"/>
    <n v="4"/>
    <n v="0"/>
    <n v="0"/>
    <s v="-"/>
    <s v="-"/>
  </r>
  <r>
    <s v="MCS2026"/>
    <x v="13"/>
    <x v="3"/>
    <s v="Mine production, estimated"/>
    <s v="k ton"/>
    <n v="140"/>
    <n v="140"/>
    <n v="2500"/>
    <n v="5.6000000000000001E-2"/>
    <n v="6"/>
    <n v="120000"/>
    <n v="0"/>
    <s v="-"/>
    <n v="2"/>
  </r>
  <r>
    <s v="MCS2026"/>
    <x v="13"/>
    <x v="56"/>
    <s v="Mine production, estimated"/>
    <s v="k ton"/>
    <n v="380"/>
    <n v="380"/>
    <n v="2500"/>
    <n v="0.152"/>
    <n v="2"/>
    <n v="0"/>
    <n v="0"/>
    <s v="-"/>
    <s v="-"/>
  </r>
  <r>
    <s v="MCS2026"/>
    <x v="13"/>
    <x v="57"/>
    <s v="Mine production, estimated"/>
    <s v="k ton"/>
    <n v="250"/>
    <n v="250"/>
    <n v="2500"/>
    <n v="0.1"/>
    <n v="3"/>
    <n v="0"/>
    <n v="0"/>
    <s v="-"/>
    <s v="-"/>
  </r>
  <r>
    <s v="MCS2026"/>
    <x v="13"/>
    <x v="24"/>
    <s v="Mine production, estimated"/>
    <s v="k ton"/>
    <n v="50"/>
    <n v="50"/>
    <n v="2500"/>
    <n v="0.02"/>
    <n v="10"/>
    <n v="0"/>
    <n v="0"/>
    <s v="-"/>
    <s v="-"/>
  </r>
  <r>
    <s v="MCS2026"/>
    <x v="13"/>
    <x v="18"/>
    <s v="Mine production, estimated"/>
    <s v="k ton"/>
    <n v="40"/>
    <n v="40"/>
    <n v="2500"/>
    <n v="1.6E-2"/>
    <n v="13"/>
    <n v="0"/>
    <n v="0"/>
    <s v="-"/>
    <s v="-"/>
  </r>
  <r>
    <s v="MCS2026"/>
    <x v="13"/>
    <x v="9"/>
    <s v="Mine production, estimated"/>
    <s v="k ton"/>
    <n v="100"/>
    <n v="100"/>
    <n v="2500"/>
    <n v="0.04"/>
    <n v="8"/>
    <n v="0"/>
    <n v="0"/>
    <s v="-"/>
    <s v="-"/>
  </r>
  <r>
    <s v="MCS2026"/>
    <x v="13"/>
    <x v="58"/>
    <s v="Mine production, estimated"/>
    <s v="k ton"/>
    <n v="40"/>
    <n v="40"/>
    <n v="2500"/>
    <n v="1.6E-2"/>
    <n v="13"/>
    <n v="0"/>
    <n v="0"/>
    <s v="-"/>
    <s v="-"/>
  </r>
  <r>
    <s v="MCS2026"/>
    <x v="13"/>
    <x v="23"/>
    <s v="Mine production, estimated"/>
    <s v="k ton"/>
    <n v="152"/>
    <n v="160"/>
    <n v="2500"/>
    <n v="6.4000000000000001E-2"/>
    <n v="15"/>
    <n v="0"/>
    <n v="0"/>
    <s v="-"/>
    <n v="15"/>
  </r>
  <r>
    <s v="MCS2026"/>
    <x v="13"/>
    <x v="20"/>
    <s v="Mine production, estimated"/>
    <s v="k ton"/>
    <n v="99"/>
    <n v="99"/>
    <n v="2500"/>
    <n v="3.9600000000000003E-2"/>
    <n v="9"/>
    <n v="0"/>
    <n v="0"/>
    <s v="-"/>
    <s v="-"/>
  </r>
  <r>
    <s v="MCS2026"/>
    <x v="13"/>
    <x v="12"/>
    <s v="Mine production, estimated"/>
    <s v="k ton"/>
    <n v="150"/>
    <n v="150"/>
    <n v="2500"/>
    <n v="0.06"/>
    <n v="5"/>
    <n v="44000"/>
    <n v="0"/>
    <s v="-"/>
    <n v="4"/>
  </r>
  <r>
    <s v="MCS2026"/>
    <x v="13"/>
    <x v="13"/>
    <s v="Mine production, estimated"/>
    <s v="k ton"/>
    <n v="50"/>
    <n v="50"/>
    <n v="2500"/>
    <n v="0.02"/>
    <n v="10"/>
    <n v="0"/>
    <n v="0"/>
    <s v="-"/>
    <s v="-"/>
  </r>
  <r>
    <s v="MCS2026"/>
    <x v="13"/>
    <x v="38"/>
    <s v="Mine production, estimated"/>
    <s v="k ton"/>
    <n v="120"/>
    <n v="120"/>
    <n v="2500"/>
    <n v="4.8000000000000001E-2"/>
    <n v="7"/>
    <n v="2200"/>
    <n v="0"/>
    <s v="-"/>
    <n v="5"/>
  </r>
  <r>
    <s v="MCS2026"/>
    <x v="13"/>
    <x v="31"/>
    <s v="Mine production, estimated"/>
    <s v="k ton"/>
    <n v="50"/>
    <n v="50"/>
    <n v="2500"/>
    <n v="0.02"/>
    <n v="10"/>
    <n v="57000"/>
    <n v="0"/>
    <s v="-"/>
    <n v="3"/>
  </r>
  <r>
    <s v="MCS2026"/>
    <x v="13"/>
    <x v="15"/>
    <s v="Mine production, estimated"/>
    <s v="k ton"/>
    <n v="721"/>
    <n v="720"/>
    <n v="2500"/>
    <n v="0.28799999999999998"/>
    <n v="1"/>
    <n v="250000"/>
    <n v="0"/>
    <s v="-"/>
    <n v="1"/>
  </r>
  <r>
    <s v="MCS2026"/>
    <x v="14"/>
    <x v="21"/>
    <s v="Mine production, estimated"/>
    <s v="k ton"/>
    <n v="620"/>
    <n v="620"/>
    <n v="31000"/>
    <n v="0.02"/>
    <n v="11"/>
    <n v="150000"/>
    <n v="0"/>
    <s v="-"/>
    <n v="5"/>
  </r>
  <r>
    <s v="MCS2026"/>
    <x v="14"/>
    <x v="3"/>
    <s v="Mine production, estimated"/>
    <s v="k ton"/>
    <n v="3700"/>
    <n v="3700"/>
    <n v="31000"/>
    <n v="0.11935483870967742"/>
    <n v="4"/>
    <n v="730000"/>
    <n v="0"/>
    <s v="-"/>
    <n v="1"/>
  </r>
  <r>
    <s v="MCS2026"/>
    <x v="14"/>
    <x v="22"/>
    <s v="Mine production, estimated"/>
    <s v="k ton"/>
    <n v="6000"/>
    <n v="6000"/>
    <n v="31000"/>
    <n v="0.19354838709677419"/>
    <n v="1"/>
    <n v="320000"/>
    <n v="0"/>
    <s v="-"/>
    <n v="3"/>
  </r>
  <r>
    <s v="MCS2026"/>
    <x v="14"/>
    <x v="5"/>
    <s v="Mine production, estimated"/>
    <s v="k ton"/>
    <n v="3900"/>
    <n v="3900"/>
    <n v="31000"/>
    <n v="0.12580645161290321"/>
    <n v="3"/>
    <n v="130000"/>
    <n v="0"/>
    <s v="-"/>
    <n v="6"/>
  </r>
  <r>
    <s v="MCS2026"/>
    <x v="14"/>
    <x v="59"/>
    <s v="Mine production, estimated"/>
    <s v="k ton"/>
    <n v="2200"/>
    <n v="2200"/>
    <n v="31000"/>
    <n v="7.0967741935483872E-2"/>
    <n v="5"/>
    <n v="0"/>
    <n v="0"/>
    <s v="-"/>
    <s v="-"/>
  </r>
  <r>
    <s v="MCS2026"/>
    <x v="14"/>
    <x v="19"/>
    <s v="Mine production, estimated"/>
    <s v="k ton"/>
    <n v="720"/>
    <n v="720"/>
    <n v="31000"/>
    <n v="2.3225806451612905E-2"/>
    <n v="8"/>
    <n v="0"/>
    <n v="0"/>
    <s v="-"/>
    <s v="-"/>
  </r>
  <r>
    <s v="MCS2026"/>
    <x v="14"/>
    <x v="23"/>
    <s v="Mine production, estimated"/>
    <s v="k ton"/>
    <n v="3400"/>
    <n v="3400"/>
    <n v="31000"/>
    <n v="0.10967741935483871"/>
    <n v="14"/>
    <n v="0"/>
    <n v="0"/>
    <s v="-"/>
    <n v="14"/>
  </r>
  <r>
    <s v="MCS2026"/>
    <x v="14"/>
    <x v="12"/>
    <s v="Mine production, estimated"/>
    <s v="k ton"/>
    <n v="5274"/>
    <n v="5300"/>
    <n v="31000"/>
    <n v="0.17096774193548386"/>
    <n v="2"/>
    <n v="720000"/>
    <n v="0"/>
    <s v="-"/>
    <n v="2"/>
  </r>
  <r>
    <s v="MCS2026"/>
    <x v="14"/>
    <x v="13"/>
    <s v="Mine production, estimated"/>
    <s v="k ton"/>
    <n v="650"/>
    <n v="650"/>
    <n v="31000"/>
    <n v="2.0967741935483872E-2"/>
    <n v="9"/>
    <n v="0"/>
    <n v="0"/>
    <s v="-"/>
    <s v="-"/>
  </r>
  <r>
    <s v="MCS2026"/>
    <x v="14"/>
    <x v="30"/>
    <s v="Mine production, estimated"/>
    <s v="k ton"/>
    <n v="650"/>
    <n v="650"/>
    <n v="31000"/>
    <n v="2.0967741935483872E-2"/>
    <n v="9"/>
    <n v="0"/>
    <n v="0"/>
    <s v="-"/>
    <s v="-"/>
  </r>
  <r>
    <s v="MCS2026"/>
    <x v="14"/>
    <x v="38"/>
    <s v="Mine production, estimated"/>
    <s v="k ton"/>
    <n v="990"/>
    <n v="1000"/>
    <n v="31000"/>
    <n v="3.2258064516129031E-2"/>
    <n v="7"/>
    <n v="200000"/>
    <n v="0"/>
    <s v="-"/>
    <n v="4"/>
  </r>
  <r>
    <s v="MCS2026"/>
    <x v="14"/>
    <x v="31"/>
    <s v="Mine production, estimated"/>
    <s v="k ton"/>
    <n v="620"/>
    <n v="620"/>
    <n v="31000"/>
    <n v="0.02"/>
    <n v="11"/>
    <n v="0"/>
    <n v="0"/>
    <s v="-"/>
    <s v="-"/>
  </r>
  <r>
    <s v="MCS2026"/>
    <x v="14"/>
    <x v="60"/>
    <s v="Mine production, estimated"/>
    <s v="k ton"/>
    <n v="1900"/>
    <n v="1900"/>
    <n v="31000"/>
    <n v="6.1290322580645158E-2"/>
    <n v="6"/>
    <n v="45000"/>
    <n v="0"/>
    <s v="-"/>
    <n v="7"/>
  </r>
  <r>
    <s v="MCS2026"/>
    <x v="14"/>
    <x v="15"/>
    <s v="Mine production, estimated"/>
    <s v="k ton"/>
    <n v="450"/>
    <n v="440"/>
    <n v="31000"/>
    <n v="1.4193548387096775E-2"/>
    <n v="13"/>
    <n v="0"/>
    <n v="0"/>
    <s v="-"/>
    <s v="-"/>
  </r>
  <r>
    <s v="MCS2026"/>
    <x v="15"/>
    <x v="21"/>
    <s v="Mine production, estimated"/>
    <s v="k ton"/>
    <n v="85"/>
    <n v="100"/>
    <n v="10000"/>
    <n v="0.01"/>
    <n v="7"/>
    <n v="2500"/>
    <n v="330000"/>
    <n v="7.575757575757576E-3"/>
    <n v="9"/>
  </r>
  <r>
    <s v="MCS2026"/>
    <x v="15"/>
    <x v="3"/>
    <s v="Mine production, estimated"/>
    <s v="k ton"/>
    <n v="6000"/>
    <n v="6000"/>
    <n v="10000"/>
    <n v="0.6"/>
    <n v="1"/>
    <n v="110000"/>
    <n v="330000"/>
    <n v="0.33333333333333331"/>
    <n v="1"/>
  </r>
  <r>
    <s v="MCS2026"/>
    <x v="15"/>
    <x v="24"/>
    <s v="Mine production, estimated"/>
    <s v="k ton"/>
    <n v="35"/>
    <n v="35"/>
    <n v="10000"/>
    <n v="3.5000000000000001E-3"/>
    <n v="11"/>
    <n v="0"/>
    <n v="330000"/>
    <n v="0"/>
    <s v="-"/>
  </r>
  <r>
    <s v="MCS2026"/>
    <x v="15"/>
    <x v="5"/>
    <s v="Mine production, estimated"/>
    <s v="k ton"/>
    <n v="53"/>
    <n v="70"/>
    <n v="10000"/>
    <n v="7.0000000000000001E-3"/>
    <n v="8"/>
    <n v="7600"/>
    <n v="330000"/>
    <n v="2.3030303030303029E-2"/>
    <n v="7"/>
  </r>
  <r>
    <s v="MCS2026"/>
    <x v="15"/>
    <x v="9"/>
    <s v="Mine production, estimated"/>
    <s v="k ton"/>
    <n v="1510"/>
    <n v="1500"/>
    <n v="10000"/>
    <n v="0.15"/>
    <n v="2"/>
    <n v="68000"/>
    <n v="330000"/>
    <n v="0.20606060606060606"/>
    <n v="2"/>
  </r>
  <r>
    <s v="MCS2026"/>
    <x v="15"/>
    <x v="61"/>
    <s v="Mine production, estimated"/>
    <s v="k ton"/>
    <n v="1430"/>
    <n v="1500"/>
    <n v="10000"/>
    <n v="0.15"/>
    <n v="2"/>
    <n v="34000"/>
    <n v="330000"/>
    <n v="0.10303030303030303"/>
    <n v="4"/>
  </r>
  <r>
    <s v="MCS2026"/>
    <x v="15"/>
    <x v="23"/>
    <s v="Mine production, estimated"/>
    <s v="k ton"/>
    <n v="316"/>
    <n v="200"/>
    <n v="10000"/>
    <n v="0.02"/>
    <n v="14"/>
    <n v="32000"/>
    <n v="330000"/>
    <n v="9.696969696969697E-2"/>
    <n v="14"/>
  </r>
  <r>
    <s v="MCS2026"/>
    <x v="15"/>
    <x v="11"/>
    <s v="Mine production, estimated"/>
    <s v="k ton"/>
    <n v="60"/>
    <n v="50"/>
    <n v="10000"/>
    <n v="5.0000000000000001E-3"/>
    <n v="10"/>
    <n v="0"/>
    <n v="330000"/>
    <n v="0"/>
    <s v="-"/>
  </r>
  <r>
    <s v="MCS2026"/>
    <x v="15"/>
    <x v="49"/>
    <s v="Mine production, estimated"/>
    <s v="k ton"/>
    <n v="447"/>
    <n v="410"/>
    <n v="10000"/>
    <n v="4.1000000000000002E-2"/>
    <n v="4"/>
    <n v="41000"/>
    <n v="330000"/>
    <n v="0.12424242424242424"/>
    <n v="3"/>
  </r>
  <r>
    <s v="MCS2026"/>
    <x v="15"/>
    <x v="31"/>
    <s v="Mine production, estimated"/>
    <s v="k ton"/>
    <n v="138"/>
    <n v="140"/>
    <n v="10000"/>
    <n v="1.4E-2"/>
    <n v="6"/>
    <n v="15000"/>
    <n v="330000"/>
    <n v="4.5454545454545456E-2"/>
    <n v="6"/>
  </r>
  <r>
    <s v="MCS2026"/>
    <x v="15"/>
    <x v="14"/>
    <s v="Mine production, estimated"/>
    <s v="k ton"/>
    <n v="15"/>
    <n v="15"/>
    <n v="10000"/>
    <n v="1.5E-3"/>
    <n v="12"/>
    <n v="0"/>
    <n v="330000"/>
    <n v="0"/>
    <s v="-"/>
  </r>
  <r>
    <s v="MCS2026"/>
    <x v="15"/>
    <x v="60"/>
    <s v="Mine production, estimated"/>
    <s v="k ton"/>
    <n v="75"/>
    <n v="55"/>
    <n v="10000"/>
    <n v="5.4999999999999997E-3"/>
    <n v="9"/>
    <n v="3600"/>
    <n v="330000"/>
    <n v="1.090909090909091E-2"/>
    <n v="8"/>
  </r>
  <r>
    <s v="MCS2026"/>
    <x v="15"/>
    <x v="15"/>
    <s v="Mine production, estimated"/>
    <s v="k ton"/>
    <n v="0"/>
    <n v="0"/>
    <n v="10000"/>
    <n v="0"/>
    <s v="-"/>
    <n v="0"/>
    <n v="330000"/>
    <n v="0"/>
    <s v="-"/>
  </r>
  <r>
    <s v="MCS2026"/>
    <x v="15"/>
    <x v="16"/>
    <s v="Mine production, estimated"/>
    <s v="k ton"/>
    <n v="146"/>
    <n v="160"/>
    <n v="10000"/>
    <n v="1.6E-2"/>
    <n v="5"/>
    <n v="16000"/>
    <n v="330000"/>
    <n v="4.8484848484848485E-2"/>
    <n v="5"/>
  </r>
  <r>
    <s v="MCS2026"/>
    <x v="16"/>
    <x v="3"/>
    <s v="Primary production"/>
    <s v="kg"/>
    <n v="839000"/>
    <n v="900000"/>
    <n v="900000"/>
    <n v="1"/>
    <n v="1"/>
    <n v="0"/>
    <n v="0"/>
    <s v="-"/>
    <s v="-"/>
  </r>
  <r>
    <s v="MCS2026"/>
    <x v="16"/>
    <x v="18"/>
    <s v="Primary production"/>
    <s v="kg"/>
    <n v="3000"/>
    <n v="3000"/>
    <n v="900000"/>
    <n v="3.3333333333333335E-3"/>
    <n v="3"/>
    <n v="0"/>
    <n v="0"/>
    <s v="-"/>
    <s v="-"/>
  </r>
  <r>
    <s v="MCS2026"/>
    <x v="16"/>
    <x v="23"/>
    <s v="Primary production"/>
    <s v="kg"/>
    <n v="0"/>
    <n v="0"/>
    <n v="900000"/>
    <n v="0"/>
    <n v="5"/>
    <n v="0"/>
    <n v="0"/>
    <s v="-"/>
    <n v="5"/>
  </r>
  <r>
    <s v="MCS2026"/>
    <x v="16"/>
    <x v="13"/>
    <s v="Primary production"/>
    <s v="kg"/>
    <n v="6000"/>
    <n v="6000"/>
    <n v="900000"/>
    <n v="6.6666666666666671E-3"/>
    <n v="2"/>
    <n v="0"/>
    <n v="0"/>
    <s v="-"/>
    <s v="-"/>
  </r>
  <r>
    <s v="MCS2026"/>
    <x v="16"/>
    <x v="15"/>
    <s v="Primary production"/>
    <s v="kg"/>
    <n v="0"/>
    <n v="0"/>
    <n v="900000"/>
    <n v="0"/>
    <s v="-"/>
    <n v="0"/>
    <n v="0"/>
    <s v="-"/>
    <s v="-"/>
  </r>
  <r>
    <s v="MCS2026"/>
    <x v="17"/>
    <x v="0"/>
    <s v="Mine production, estimated"/>
    <s v="ton"/>
    <n v="348000"/>
    <n v="350000"/>
    <n v="730000"/>
    <n v="0.47945205479452052"/>
    <n v="1"/>
    <n v="0"/>
    <n v="0"/>
    <s v="-"/>
    <s v="-"/>
  </r>
  <r>
    <s v="MCS2026"/>
    <x v="17"/>
    <x v="3"/>
    <s v="Mine production, estimated"/>
    <s v="ton"/>
    <n v="250000"/>
    <n v="280000"/>
    <n v="730000"/>
    <n v="0.38356164383561642"/>
    <n v="2"/>
    <n v="37000000"/>
    <n v="0"/>
    <s v="-"/>
    <n v="1"/>
  </r>
  <r>
    <s v="MCS2026"/>
    <x v="17"/>
    <x v="62"/>
    <s v="Mine production, estimated"/>
    <s v="ton"/>
    <n v="4000"/>
    <n v="4000"/>
    <n v="730000"/>
    <n v="5.4794520547945206E-3"/>
    <n v="5"/>
    <n v="0"/>
    <n v="0"/>
    <s v="-"/>
    <s v="-"/>
  </r>
  <r>
    <s v="MCS2026"/>
    <x v="17"/>
    <x v="22"/>
    <s v="Mine production, estimated"/>
    <s v="ton"/>
    <n v="15000"/>
    <n v="15000"/>
    <n v="730000"/>
    <n v="2.0547945205479451E-2"/>
    <n v="4"/>
    <n v="8600000"/>
    <n v="0"/>
    <s v="-"/>
    <n v="2"/>
  </r>
  <r>
    <s v="MCS2026"/>
    <x v="17"/>
    <x v="11"/>
    <s v="Mine production, estimated"/>
    <s v="ton"/>
    <n v="1900"/>
    <n v="1900"/>
    <n v="730000"/>
    <n v="2.6027397260273972E-3"/>
    <n v="6"/>
    <n v="0"/>
    <n v="0"/>
    <s v="-"/>
    <s v="-"/>
  </r>
  <r>
    <s v="MCS2026"/>
    <x v="17"/>
    <x v="49"/>
    <s v="Mine production, estimated"/>
    <s v="ton"/>
    <n v="40000"/>
    <n v="0"/>
    <n v="730000"/>
    <n v="0"/>
    <s v="-"/>
    <n v="1300000"/>
    <n v="0"/>
    <s v="-"/>
    <n v="4"/>
  </r>
  <r>
    <s v="MCS2026"/>
    <x v="17"/>
    <x v="15"/>
    <s v="Mine production, estimated"/>
    <s v="ton"/>
    <n v="74200"/>
    <n v="77000"/>
    <n v="730000"/>
    <n v="0.10547945205479452"/>
    <n v="3"/>
    <n v="5000000"/>
    <n v="0"/>
    <s v="-"/>
    <n v="3"/>
  </r>
  <r>
    <s v="MCS2026"/>
    <x v="18"/>
    <x v="0"/>
    <s v="mine production, gold content"/>
    <s v="ton"/>
    <n v="284"/>
    <n v="280"/>
    <n v="3300"/>
    <n v="8.4848484848484854E-2"/>
    <n v="3"/>
    <n v="13000"/>
    <n v="66000"/>
    <n v="0.19696969696969696"/>
    <n v="1"/>
  </r>
  <r>
    <s v="MCS2026"/>
    <x v="18"/>
    <x v="21"/>
    <s v="mine production, gold content"/>
    <s v="ton"/>
    <n v="82"/>
    <n v="80"/>
    <n v="3300"/>
    <n v="2.4242424242424242E-2"/>
    <n v="13"/>
    <n v="2500"/>
    <n v="66000"/>
    <n v="3.787878787878788E-2"/>
    <n v="8"/>
  </r>
  <r>
    <s v="MCS2026"/>
    <x v="18"/>
    <x v="2"/>
    <s v="mine production, gold content"/>
    <s v="ton"/>
    <n v="200"/>
    <n v="200"/>
    <n v="3300"/>
    <n v="6.0606060606060608E-2"/>
    <n v="4"/>
    <n v="3200"/>
    <n v="66000"/>
    <n v="4.8484848484848485E-2"/>
    <n v="5"/>
  </r>
  <r>
    <s v="MCS2026"/>
    <x v="18"/>
    <x v="3"/>
    <s v="mine production, gold content"/>
    <s v="ton"/>
    <n v="377"/>
    <n v="380"/>
    <n v="3300"/>
    <n v="0.11515151515151516"/>
    <n v="1"/>
    <n v="3200"/>
    <n v="66000"/>
    <n v="4.8484848484848485E-2"/>
    <n v="5"/>
  </r>
  <r>
    <s v="MCS2026"/>
    <x v="18"/>
    <x v="63"/>
    <s v="mine production, gold content"/>
    <s v="ton"/>
    <n v="149"/>
    <n v="150"/>
    <n v="3300"/>
    <n v="4.5454545454545456E-2"/>
    <n v="6"/>
    <n v="1000"/>
    <n v="66000"/>
    <n v="1.5151515151515152E-2"/>
    <n v="13"/>
  </r>
  <r>
    <s v="MCS2026"/>
    <x v="18"/>
    <x v="27"/>
    <s v="mine production, gold content"/>
    <s v="ton"/>
    <n v="94"/>
    <n v="90"/>
    <n v="3300"/>
    <n v="2.7272727272727271E-2"/>
    <n v="11"/>
    <n v="3600"/>
    <n v="66000"/>
    <n v="5.4545454545454543E-2"/>
    <n v="4"/>
  </r>
  <r>
    <s v="MCS2026"/>
    <x v="18"/>
    <x v="6"/>
    <s v="mine production, gold content"/>
    <s v="ton"/>
    <n v="130"/>
    <n v="130"/>
    <n v="3300"/>
    <n v="3.9393939393939391E-2"/>
    <n v="8"/>
    <n v="2300"/>
    <n v="66000"/>
    <n v="3.4848484848484851E-2"/>
    <n v="9"/>
  </r>
  <r>
    <s v="MCS2026"/>
    <x v="18"/>
    <x v="9"/>
    <s v="mine production, gold content"/>
    <s v="ton"/>
    <n v="140"/>
    <n v="140"/>
    <n v="3300"/>
    <n v="4.2424242424242427E-2"/>
    <n v="7"/>
    <n v="1400"/>
    <n v="66000"/>
    <n v="2.1212121212121213E-2"/>
    <n v="12"/>
  </r>
  <r>
    <s v="MCS2026"/>
    <x v="18"/>
    <x v="23"/>
    <s v="mine production, gold content"/>
    <s v="ton"/>
    <n v="1020"/>
    <n v="1000"/>
    <n v="3300"/>
    <n v="0.30303030303030304"/>
    <n v="14"/>
    <n v="11000"/>
    <n v="66000"/>
    <n v="0.16666666666666666"/>
    <n v="14"/>
  </r>
  <r>
    <s v="MCS2026"/>
    <x v="18"/>
    <x v="20"/>
    <s v="mine production, gold content"/>
    <s v="ton"/>
    <n v="108"/>
    <n v="110"/>
    <n v="3300"/>
    <n v="3.3333333333333333E-2"/>
    <n v="10"/>
    <n v="2200"/>
    <n v="66000"/>
    <n v="3.3333333333333333E-2"/>
    <n v="10"/>
  </r>
  <r>
    <s v="MCS2026"/>
    <x v="18"/>
    <x v="13"/>
    <s v="mine production, gold content"/>
    <s v="ton"/>
    <n v="310"/>
    <n v="310"/>
    <n v="3300"/>
    <n v="9.3939393939393934E-2"/>
    <n v="2"/>
    <n v="12000"/>
    <n v="66000"/>
    <n v="0.18181818181818182"/>
    <n v="2"/>
  </r>
  <r>
    <s v="MCS2026"/>
    <x v="18"/>
    <x v="49"/>
    <s v="mine production, gold content"/>
    <s v="ton"/>
    <n v="90"/>
    <n v="90"/>
    <n v="3300"/>
    <n v="2.7272727272727271E-2"/>
    <n v="11"/>
    <n v="5000"/>
    <n v="66000"/>
    <n v="7.575757575757576E-2"/>
    <n v="3"/>
  </r>
  <r>
    <s v="MCS2026"/>
    <x v="18"/>
    <x v="15"/>
    <s v="mine production, gold content"/>
    <s v="ton"/>
    <n v="163"/>
    <n v="160"/>
    <n v="3300"/>
    <n v="4.8484848484848485E-2"/>
    <n v="5"/>
    <n v="3000"/>
    <n v="66000"/>
    <n v="4.5454545454545456E-2"/>
    <n v="7"/>
  </r>
  <r>
    <s v="MCS2026"/>
    <x v="18"/>
    <x v="47"/>
    <s v="mine production, gold content"/>
    <s v="ton"/>
    <n v="129"/>
    <n v="130"/>
    <n v="3300"/>
    <n v="3.9393939393939391E-2"/>
    <n v="8"/>
    <n v="2200"/>
    <n v="66000"/>
    <n v="3.3333333333333333E-2"/>
    <n v="10"/>
  </r>
  <r>
    <s v="MCS2026"/>
    <x v="19"/>
    <x v="64"/>
    <s v="Mine production"/>
    <s v="ton"/>
    <n v="100"/>
    <n v="200"/>
    <n v="1800000"/>
    <n v="1.1111111111111112E-4"/>
    <n v="17"/>
    <n v="0"/>
    <n v="310000000"/>
    <n v="0"/>
    <s v="-"/>
  </r>
  <r>
    <s v="MCS2026"/>
    <x v="19"/>
    <x v="21"/>
    <s v="Mine production"/>
    <s v="ton"/>
    <n v="58000"/>
    <n v="65000"/>
    <n v="1800000"/>
    <n v="3.6111111111111108E-2"/>
    <n v="4"/>
    <n v="74000000"/>
    <n v="310000000"/>
    <n v="0.23870967741935484"/>
    <n v="2"/>
  </r>
  <r>
    <s v="MCS2026"/>
    <x v="19"/>
    <x v="2"/>
    <s v="Mine production"/>
    <s v="ton"/>
    <n v="11700"/>
    <n v="8000"/>
    <n v="1800000"/>
    <n v="4.4444444444444444E-3"/>
    <n v="8"/>
    <n v="5900000"/>
    <n v="310000000"/>
    <n v="1.9032258064516128E-2"/>
    <n v="10"/>
  </r>
  <r>
    <s v="MCS2026"/>
    <x v="19"/>
    <x v="3"/>
    <s v="Mine production"/>
    <s v="ton"/>
    <n v="1270000"/>
    <n v="1400000"/>
    <n v="1800000"/>
    <n v="0.77777777777777779"/>
    <n v="1"/>
    <n v="100000000"/>
    <n v="310000000"/>
    <n v="0.32258064516129031"/>
    <n v="1"/>
  </r>
  <r>
    <s v="MCS2026"/>
    <x v="19"/>
    <x v="24"/>
    <s v="Mine production"/>
    <s v="ton"/>
    <n v="140"/>
    <n v="140"/>
    <n v="1800000"/>
    <n v="7.7777777777777782E-5"/>
    <n v="18"/>
    <n v="0"/>
    <n v="310000000"/>
    <n v="0"/>
    <s v="-"/>
  </r>
  <r>
    <s v="MCS2026"/>
    <x v="19"/>
    <x v="22"/>
    <s v="Mine production"/>
    <s v="ton"/>
    <n v="17600"/>
    <n v="17000"/>
    <n v="1800000"/>
    <n v="9.4444444444444445E-3"/>
    <n v="7"/>
    <n v="8600000"/>
    <n v="310000000"/>
    <n v="2.7741935483870966E-2"/>
    <n v="8"/>
  </r>
  <r>
    <s v="MCS2026"/>
    <x v="19"/>
    <x v="33"/>
    <s v="Mine production"/>
    <s v="ton"/>
    <n v="85000"/>
    <n v="80000"/>
    <n v="1800000"/>
    <n v="4.4444444444444446E-2"/>
    <n v="2"/>
    <n v="27000000"/>
    <n v="310000000"/>
    <n v="8.7096774193548387E-2"/>
    <n v="3"/>
  </r>
  <r>
    <s v="MCS2026"/>
    <x v="19"/>
    <x v="9"/>
    <s v="Mine production"/>
    <s v="ton"/>
    <n v="706"/>
    <n v="740"/>
    <n v="1800000"/>
    <n v="4.1111111111111112E-4"/>
    <n v="14"/>
    <n v="3100000"/>
    <n v="310000000"/>
    <n v="0.01"/>
    <n v="11"/>
  </r>
  <r>
    <s v="MCS2026"/>
    <x v="19"/>
    <x v="34"/>
    <s v="Mine production"/>
    <s v="ton"/>
    <n v="39000"/>
    <n v="60000"/>
    <n v="1800000"/>
    <n v="3.3333333333333333E-2"/>
    <n v="5"/>
    <n v="25000000"/>
    <n v="310000000"/>
    <n v="8.0645161290322578E-2"/>
    <n v="4"/>
  </r>
  <r>
    <s v="MCS2026"/>
    <x v="19"/>
    <x v="65"/>
    <s v="Mine production"/>
    <s v="ton"/>
    <n v="8100"/>
    <n v="8000"/>
    <n v="1800000"/>
    <n v="4.4444444444444444E-3"/>
    <n v="8"/>
    <n v="2000000"/>
    <n v="310000000"/>
    <n v="6.4516129032258064E-3"/>
    <n v="12"/>
  </r>
  <r>
    <s v="MCS2026"/>
    <x v="19"/>
    <x v="45"/>
    <s v="Mine production"/>
    <s v="ton"/>
    <n v="5340"/>
    <n v="6600"/>
    <n v="1800000"/>
    <n v="3.6666666666666666E-3"/>
    <n v="10"/>
    <n v="600000"/>
    <n v="310000000"/>
    <n v="1.9354838709677419E-3"/>
    <n v="15"/>
  </r>
  <r>
    <s v="MCS2026"/>
    <x v="19"/>
    <x v="12"/>
    <s v="Mine production"/>
    <s v="ton"/>
    <n v="2600"/>
    <n v="2200"/>
    <n v="1800000"/>
    <n v="1.2222222222222222E-3"/>
    <n v="12"/>
    <n v="6900000"/>
    <n v="310000000"/>
    <n v="2.2258064516129033E-2"/>
    <n v="9"/>
  </r>
  <r>
    <s v="MCS2026"/>
    <x v="19"/>
    <x v="13"/>
    <s v="Mine production"/>
    <s v="ton"/>
    <n v="20000"/>
    <n v="25000"/>
    <n v="1800000"/>
    <n v="1.3888888888888888E-2"/>
    <n v="6"/>
    <n v="14000000"/>
    <n v="310000000"/>
    <n v="4.5161290322580643E-2"/>
    <n v="6"/>
  </r>
  <r>
    <s v="MCS2026"/>
    <x v="19"/>
    <x v="38"/>
    <s v="Mine production"/>
    <s v="ton"/>
    <n v="1000"/>
    <n v="500"/>
    <n v="1800000"/>
    <n v="2.7777777777777778E-4"/>
    <n v="15"/>
    <n v="1800000"/>
    <n v="310000000"/>
    <n v="5.8064516129032262E-3"/>
    <n v="13"/>
  </r>
  <r>
    <s v="MCS2026"/>
    <x v="19"/>
    <x v="66"/>
    <s v="Mine production"/>
    <s v="ton"/>
    <n v="3000"/>
    <n v="3200"/>
    <n v="1800000"/>
    <n v="1.7777777777777779E-3"/>
    <n v="11"/>
    <n v="1500000"/>
    <n v="310000000"/>
    <n v="4.8387096774193551E-3"/>
    <n v="14"/>
  </r>
  <r>
    <s v="MCS2026"/>
    <x v="19"/>
    <x v="67"/>
    <s v="Mine production"/>
    <s v="ton"/>
    <n v="27000"/>
    <n v="75000"/>
    <n v="1800000"/>
    <n v="4.1666666666666664E-2"/>
    <n v="3"/>
    <n v="18000000"/>
    <n v="310000000"/>
    <n v="5.8064516129032261E-2"/>
    <n v="5"/>
  </r>
  <r>
    <s v="MCS2026"/>
    <x v="19"/>
    <x v="43"/>
    <s v="Mine production"/>
    <s v="ton"/>
    <n v="900"/>
    <n v="800"/>
    <n v="1800000"/>
    <n v="4.4444444444444447E-4"/>
    <n v="13"/>
    <n v="0"/>
    <n v="310000000"/>
    <n v="0"/>
    <s v="-"/>
  </r>
  <r>
    <s v="MCS2026"/>
    <x v="19"/>
    <x v="15"/>
    <s v="Mine production"/>
    <s v="ton"/>
    <n v="0"/>
    <n v="0"/>
    <n v="1800000"/>
    <n v="0"/>
    <s v="-"/>
    <n v="0"/>
    <n v="310000000"/>
    <n v="0"/>
    <s v="-"/>
  </r>
  <r>
    <s v="MCS2026"/>
    <x v="19"/>
    <x v="16"/>
    <s v="Mine production"/>
    <s v="ton"/>
    <n v="500"/>
    <n v="500"/>
    <n v="1800000"/>
    <n v="2.7777777777777778E-4"/>
    <n v="15"/>
    <n v="9700000"/>
    <n v="310000000"/>
    <n v="3.1290322580645159E-2"/>
    <n v="7"/>
  </r>
  <r>
    <s v="MCS2026"/>
    <x v="20"/>
    <x v="68"/>
    <s v="Mine production, estimated"/>
    <s v="k ton"/>
    <n v="2500"/>
    <n v="2500"/>
    <n v="160000"/>
    <n v="1.5625E-2"/>
    <n v="17"/>
    <n v="0"/>
    <n v="0"/>
    <s v="-"/>
    <s v="-"/>
  </r>
  <r>
    <s v="MCS2026"/>
    <x v="20"/>
    <x v="0"/>
    <s v="Mine production, estimated"/>
    <s v="k ton"/>
    <n v="4200"/>
    <n v="4200"/>
    <n v="160000"/>
    <n v="2.6249999999999999E-2"/>
    <n v="14"/>
    <n v="0"/>
    <n v="0"/>
    <s v="-"/>
    <s v="-"/>
  </r>
  <r>
    <s v="MCS2026"/>
    <x v="20"/>
    <x v="21"/>
    <s v="Mine production, estimated"/>
    <s v="k ton"/>
    <n v="5800"/>
    <n v="5800"/>
    <n v="160000"/>
    <n v="3.6249999999999998E-2"/>
    <n v="8"/>
    <n v="450000"/>
    <n v="0"/>
    <s v="-"/>
    <n v="5"/>
  </r>
  <r>
    <s v="MCS2026"/>
    <x v="20"/>
    <x v="2"/>
    <s v="Mine production, estimated"/>
    <s v="k ton"/>
    <n v="3600"/>
    <n v="3600"/>
    <n v="160000"/>
    <n v="2.2499999999999999E-2"/>
    <n v="16"/>
    <n v="450000"/>
    <n v="0"/>
    <s v="-"/>
    <n v="5"/>
  </r>
  <r>
    <s v="MCS2026"/>
    <x v="20"/>
    <x v="3"/>
    <s v="Mine production, estimated"/>
    <s v="k ton"/>
    <n v="12000"/>
    <n v="12000"/>
    <n v="160000"/>
    <n v="7.4999999999999997E-2"/>
    <n v="4"/>
    <n v="1800000"/>
    <n v="0"/>
    <s v="-"/>
    <n v="1"/>
  </r>
  <r>
    <s v="MCS2026"/>
    <x v="20"/>
    <x v="57"/>
    <s v="Mine production, estimated"/>
    <s v="k ton"/>
    <n v="2400"/>
    <n v="2400"/>
    <n v="160000"/>
    <n v="1.4999999999999999E-2"/>
    <n v="19"/>
    <n v="300000"/>
    <n v="0"/>
    <s v="-"/>
    <n v="7"/>
  </r>
  <r>
    <s v="MCS2026"/>
    <x v="20"/>
    <x v="24"/>
    <s v="Mine production, estimated"/>
    <s v="k ton"/>
    <n v="4700"/>
    <n v="4700"/>
    <n v="160000"/>
    <n v="2.9374999999999998E-2"/>
    <n v="10"/>
    <n v="0"/>
    <n v="0"/>
    <s v="-"/>
    <s v="-"/>
  </r>
  <r>
    <s v="MCS2026"/>
    <x v="20"/>
    <x v="22"/>
    <s v="Mine production, estimated"/>
    <s v="k ton"/>
    <n v="4300"/>
    <n v="4300"/>
    <n v="160000"/>
    <n v="2.6875E-2"/>
    <n v="11"/>
    <n v="37000"/>
    <n v="0"/>
    <s v="-"/>
    <n v="9"/>
  </r>
  <r>
    <s v="MCS2026"/>
    <x v="20"/>
    <x v="5"/>
    <s v="Mine production, estimated"/>
    <s v="k ton"/>
    <n v="16000"/>
    <n v="16000"/>
    <n v="160000"/>
    <n v="0.1"/>
    <n v="2"/>
    <n v="750000"/>
    <n v="0"/>
    <s v="-"/>
    <n v="3"/>
  </r>
  <r>
    <s v="MCS2026"/>
    <x v="20"/>
    <x v="18"/>
    <s v="Mine production, estimated"/>
    <s v="k ton"/>
    <n v="4300"/>
    <n v="4300"/>
    <n v="160000"/>
    <n v="2.6875E-2"/>
    <n v="11"/>
    <n v="0"/>
    <n v="0"/>
    <s v="-"/>
    <s v="-"/>
  </r>
  <r>
    <s v="MCS2026"/>
    <x v="20"/>
    <x v="9"/>
    <s v="Mine production, estimated"/>
    <s v="k ton"/>
    <n v="5400"/>
    <n v="5400"/>
    <n v="160000"/>
    <n v="3.3750000000000002E-2"/>
    <n v="9"/>
    <n v="0"/>
    <n v="0"/>
    <s v="-"/>
    <s v="-"/>
  </r>
  <r>
    <s v="MCS2026"/>
    <x v="20"/>
    <x v="69"/>
    <s v="Mine production, estimated"/>
    <s v="k ton"/>
    <n v="14000"/>
    <n v="14000"/>
    <n v="160000"/>
    <n v="8.7499999999999994E-2"/>
    <n v="3"/>
    <n v="0"/>
    <n v="0"/>
    <s v="-"/>
    <s v="-"/>
  </r>
  <r>
    <s v="MCS2026"/>
    <x v="20"/>
    <x v="23"/>
    <s v="Mine production, estimated"/>
    <s v="k ton"/>
    <n v="22000"/>
    <n v="23000"/>
    <n v="160000"/>
    <n v="0.14374999999999999"/>
    <n v="20"/>
    <n v="0"/>
    <n v="0"/>
    <s v="-"/>
    <n v="20"/>
  </r>
  <r>
    <s v="MCS2026"/>
    <x v="20"/>
    <x v="12"/>
    <s v="Mine production, estimated"/>
    <s v="k ton"/>
    <n v="10000"/>
    <n v="10000"/>
    <n v="160000"/>
    <n v="6.25E-2"/>
    <n v="6"/>
    <n v="200000"/>
    <n v="0"/>
    <s v="-"/>
    <n v="8"/>
  </r>
  <r>
    <s v="MCS2026"/>
    <x v="20"/>
    <x v="13"/>
    <s v="Mine production, estimated"/>
    <s v="k ton"/>
    <n v="4300"/>
    <n v="4300"/>
    <n v="160000"/>
    <n v="2.6875E-2"/>
    <n v="11"/>
    <n v="0"/>
    <n v="0"/>
    <s v="-"/>
    <s v="-"/>
  </r>
  <r>
    <s v="MCS2026"/>
    <x v="20"/>
    <x v="30"/>
    <s v="Mine production, estimated"/>
    <s v="k ton"/>
    <n v="3800"/>
    <n v="3800"/>
    <n v="160000"/>
    <n v="2.375E-2"/>
    <n v="15"/>
    <n v="0"/>
    <n v="0"/>
    <s v="-"/>
    <s v="-"/>
  </r>
  <r>
    <s v="MCS2026"/>
    <x v="20"/>
    <x v="31"/>
    <s v="Mine production, estimated"/>
    <s v="k ton"/>
    <n v="11000"/>
    <n v="11000"/>
    <n v="160000"/>
    <n v="6.8750000000000006E-2"/>
    <n v="5"/>
    <n v="0"/>
    <n v="0"/>
    <s v="-"/>
    <s v="-"/>
  </r>
  <r>
    <s v="MCS2026"/>
    <x v="20"/>
    <x v="60"/>
    <s v="Mine production, estimated"/>
    <s v="k ton"/>
    <n v="8700"/>
    <n v="8700"/>
    <n v="160000"/>
    <n v="5.4375E-2"/>
    <n v="7"/>
    <n v="910000"/>
    <n v="0"/>
    <s v="-"/>
    <n v="2"/>
  </r>
  <r>
    <s v="MCS2026"/>
    <x v="20"/>
    <x v="15"/>
    <s v="Mine production, estimated"/>
    <s v="k ton"/>
    <n v="20800"/>
    <n v="20000"/>
    <n v="160000"/>
    <n v="0.125"/>
    <n v="1"/>
    <n v="700000"/>
    <n v="0"/>
    <s v="-"/>
    <n v="4"/>
  </r>
  <r>
    <s v="MCS2026"/>
    <x v="20"/>
    <x v="47"/>
    <s v="Mine production, estimated"/>
    <s v="k ton"/>
    <n v="2500"/>
    <n v="2500"/>
    <n v="160000"/>
    <n v="1.5625E-2"/>
    <n v="17"/>
    <n v="0"/>
    <n v="0"/>
    <s v="-"/>
    <s v="-"/>
  </r>
  <r>
    <s v="MCS2026"/>
    <x v="21"/>
    <x v="17"/>
    <s v="Refinery production"/>
    <s v="ton"/>
    <n v="19"/>
    <n v="10"/>
    <n v="1100"/>
    <n v="9.0909090909090905E-3"/>
    <n v="6"/>
    <n v="0"/>
    <n v="0"/>
    <s v="-"/>
    <s v="-"/>
  </r>
  <r>
    <s v="MCS2026"/>
    <x v="21"/>
    <x v="2"/>
    <s v="Refinery production"/>
    <s v="ton"/>
    <n v="40"/>
    <n v="40"/>
    <n v="1100"/>
    <n v="3.6363636363636362E-2"/>
    <n v="4"/>
    <n v="0"/>
    <n v="0"/>
    <s v="-"/>
    <s v="-"/>
  </r>
  <r>
    <s v="MCS2026"/>
    <x v="21"/>
    <x v="3"/>
    <s v="Refinery production"/>
    <s v="ton"/>
    <n v="760"/>
    <n v="760"/>
    <n v="1100"/>
    <n v="0.69090909090909092"/>
    <n v="1"/>
    <n v="0"/>
    <n v="0"/>
    <s v="-"/>
    <s v="-"/>
  </r>
  <r>
    <s v="MCS2026"/>
    <x v="21"/>
    <x v="57"/>
    <s v="Refinery production"/>
    <s v="ton"/>
    <n v="21"/>
    <n v="21"/>
    <n v="1100"/>
    <n v="1.9090909090909092E-2"/>
    <n v="5"/>
    <n v="0"/>
    <n v="0"/>
    <s v="-"/>
    <s v="-"/>
  </r>
  <r>
    <s v="MCS2026"/>
    <x v="21"/>
    <x v="18"/>
    <s v="Refinery production"/>
    <s v="ton"/>
    <n v="65"/>
    <n v="65"/>
    <n v="1100"/>
    <n v="5.909090909090909E-2"/>
    <n v="3"/>
    <n v="0"/>
    <n v="0"/>
    <s v="-"/>
    <s v="-"/>
  </r>
  <r>
    <s v="MCS2026"/>
    <x v="21"/>
    <x v="13"/>
    <s v="Refinery production"/>
    <s v="ton"/>
    <n v="5"/>
    <n v="5"/>
    <n v="1100"/>
    <n v="4.5454545454545452E-3"/>
    <n v="7"/>
    <n v="0"/>
    <n v="0"/>
    <s v="-"/>
    <s v="-"/>
  </r>
  <r>
    <s v="MCS2026"/>
    <x v="21"/>
    <x v="38"/>
    <s v="Refinery production"/>
    <s v="ton"/>
    <n v="180"/>
    <n v="180"/>
    <n v="1100"/>
    <n v="0.16363636363636364"/>
    <n v="2"/>
    <n v="0"/>
    <n v="0"/>
    <s v="-"/>
    <s v="-"/>
  </r>
  <r>
    <s v="MCS2026"/>
    <x v="21"/>
    <x v="15"/>
    <s v="Refinery production"/>
    <s v="ton"/>
    <n v="0"/>
    <n v="0"/>
    <n v="1100"/>
    <n v="0"/>
    <s v="-"/>
    <n v="0"/>
    <n v="0"/>
    <s v="-"/>
    <s v="-"/>
  </r>
  <r>
    <s v="MCS2026"/>
    <x v="21"/>
    <x v="47"/>
    <s v="Refinery production"/>
    <s v="ton"/>
    <n v="1"/>
    <n v="1"/>
    <n v="1100"/>
    <n v="9.0909090909090909E-4"/>
    <n v="8"/>
    <n v="0"/>
    <n v="0"/>
    <s v="-"/>
    <s v="-"/>
  </r>
  <r>
    <s v="MCS2026"/>
    <x v="22"/>
    <x v="70"/>
    <s v="Mine production, elemental iodine"/>
    <s v="ton"/>
    <n v="210"/>
    <n v="210"/>
    <n v="34000"/>
    <n v="6.1764705882352937E-3"/>
    <n v="5"/>
    <n v="170000"/>
    <n v="6300000"/>
    <n v="2.6984126984126985E-2"/>
    <n v="4"/>
  </r>
  <r>
    <s v="MCS2026"/>
    <x v="22"/>
    <x v="40"/>
    <s v="Mine production, elemental iodine"/>
    <s v="ton"/>
    <n v="22000"/>
    <n v="23000"/>
    <n v="34000"/>
    <n v="0.67647058823529416"/>
    <n v="1"/>
    <n v="750000"/>
    <n v="6300000"/>
    <n v="0.11904761904761904"/>
    <n v="2"/>
  </r>
  <r>
    <s v="MCS2026"/>
    <x v="22"/>
    <x v="27"/>
    <s v="Mine production, elemental iodine"/>
    <s v="ton"/>
    <n v="30"/>
    <n v="50"/>
    <n v="34000"/>
    <n v="1.4705882352941176E-3"/>
    <n v="6"/>
    <n v="0"/>
    <n v="6300000"/>
    <n v="0"/>
    <s v="-"/>
  </r>
  <r>
    <s v="MCS2026"/>
    <x v="22"/>
    <x v="5"/>
    <s v="Mine production, elemental iodine"/>
    <s v="ton"/>
    <n v="700"/>
    <n v="700"/>
    <n v="34000"/>
    <n v="2.0588235294117647E-2"/>
    <n v="4"/>
    <n v="40000"/>
    <n v="6300000"/>
    <n v="6.3492063492063492E-3"/>
    <n v="7"/>
  </r>
  <r>
    <s v="MCS2026"/>
    <x v="22"/>
    <x v="18"/>
    <s v="Mine production, elemental iodine"/>
    <s v="ton"/>
    <n v="9300"/>
    <n v="9000"/>
    <n v="34000"/>
    <n v="0.26470588235294118"/>
    <n v="2"/>
    <n v="4900000"/>
    <n v="6300000"/>
    <n v="0.77777777777777779"/>
    <n v="1"/>
  </r>
  <r>
    <s v="MCS2026"/>
    <x v="22"/>
    <x v="13"/>
    <s v="Mine production, elemental iodine"/>
    <s v="ton"/>
    <n v="5"/>
    <n v="8"/>
    <n v="34000"/>
    <n v="2.3529411764705883E-4"/>
    <n v="7"/>
    <n v="120000"/>
    <n v="6300000"/>
    <n v="1.9047619047619049E-2"/>
    <n v="5"/>
  </r>
  <r>
    <s v="MCS2026"/>
    <x v="22"/>
    <x v="71"/>
    <s v="Mine production, elemental iodine"/>
    <s v="ton"/>
    <n v="800"/>
    <n v="800"/>
    <n v="34000"/>
    <n v="2.3529411764705882E-2"/>
    <n v="3"/>
    <n v="70000"/>
    <n v="6300000"/>
    <n v="1.1111111111111112E-2"/>
    <n v="6"/>
  </r>
  <r>
    <s v="MCS2026"/>
    <x v="22"/>
    <x v="15"/>
    <s v="Mine production, elemental iodine"/>
    <s v="ton"/>
    <n v="0"/>
    <n v="0"/>
    <n v="34000"/>
    <n v="0"/>
    <s v="-"/>
    <n v="250000"/>
    <n v="6300000"/>
    <n v="3.968253968253968E-2"/>
    <n v="3"/>
  </r>
  <r>
    <s v="MCS2026"/>
    <x v="23"/>
    <x v="0"/>
    <s v="Mine production, iron content"/>
    <s v="k ton"/>
    <n v="607000"/>
    <n v="600000"/>
    <n v="1600000"/>
    <n v="0.375"/>
    <n v="1"/>
    <n v="27000000"/>
    <n v="87000000"/>
    <n v="0.31034482758620691"/>
    <n v="1"/>
  </r>
  <r>
    <s v="MCS2026"/>
    <x v="23"/>
    <x v="21"/>
    <s v="Mine production, iron content"/>
    <s v="k ton"/>
    <n v="268000"/>
    <n v="260000"/>
    <n v="1600000"/>
    <n v="0.16250000000000001"/>
    <n v="2"/>
    <n v="15000000"/>
    <n v="87000000"/>
    <n v="0.17241379310344829"/>
    <n v="2"/>
  </r>
  <r>
    <s v="MCS2026"/>
    <x v="23"/>
    <x v="2"/>
    <s v="Mine production, iron content"/>
    <s v="k ton"/>
    <n v="42000"/>
    <n v="41000"/>
    <n v="1600000"/>
    <n v="2.5624999999999998E-2"/>
    <n v="8"/>
    <n v="2300000"/>
    <n v="87000000"/>
    <n v="2.6436781609195402E-2"/>
    <n v="8"/>
  </r>
  <r>
    <s v="MCS2026"/>
    <x v="23"/>
    <x v="40"/>
    <s v="Mine production, iron content"/>
    <s v="k ton"/>
    <n v="11000"/>
    <n v="12000"/>
    <n v="1600000"/>
    <n v="7.4999999999999997E-3"/>
    <n v="13"/>
    <n v="740000"/>
    <n v="87000000"/>
    <n v="8.5057471264367822E-3"/>
    <n v="13"/>
  </r>
  <r>
    <s v="MCS2026"/>
    <x v="23"/>
    <x v="3"/>
    <s v="Mine production, iron content"/>
    <s v="k ton"/>
    <n v="183000"/>
    <n v="180000"/>
    <n v="1600000"/>
    <n v="0.1125"/>
    <n v="4"/>
    <n v="3000000"/>
    <n v="87000000"/>
    <n v="3.4482758620689655E-2"/>
    <n v="6"/>
  </r>
  <r>
    <s v="MCS2026"/>
    <x v="23"/>
    <x v="22"/>
    <s v="Mine production, iron content"/>
    <s v="k ton"/>
    <n v="175000"/>
    <n v="190000"/>
    <n v="1600000"/>
    <n v="0.11874999999999999"/>
    <n v="3"/>
    <n v="3400000"/>
    <n v="87000000"/>
    <n v="3.9080459770114942E-2"/>
    <n v="5"/>
  </r>
  <r>
    <s v="MCS2026"/>
    <x v="23"/>
    <x v="5"/>
    <s v="Mine production, iron content"/>
    <s v="k ton"/>
    <n v="59000"/>
    <n v="61000"/>
    <n v="1600000"/>
    <n v="3.8124999999999999E-2"/>
    <n v="5"/>
    <n v="1500000"/>
    <n v="87000000"/>
    <n v="1.7241379310344827E-2"/>
    <n v="10"/>
  </r>
  <r>
    <s v="MCS2026"/>
    <x v="23"/>
    <x v="6"/>
    <s v="Mine production, iron content"/>
    <s v="k ton"/>
    <n v="11100"/>
    <n v="11000"/>
    <n v="1600000"/>
    <n v="6.875E-3"/>
    <n v="14"/>
    <n v="1500000"/>
    <n v="87000000"/>
    <n v="1.7241379310344827E-2"/>
    <n v="10"/>
  </r>
  <r>
    <s v="MCS2026"/>
    <x v="23"/>
    <x v="72"/>
    <s v="Mine production, iron content"/>
    <s v="k ton"/>
    <n v="8940"/>
    <n v="9300"/>
    <n v="1600000"/>
    <n v="5.8125E-3"/>
    <n v="16"/>
    <n v="4400000"/>
    <n v="87000000"/>
    <n v="5.057471264367816E-2"/>
    <n v="4"/>
  </r>
  <r>
    <s v="MCS2026"/>
    <x v="23"/>
    <x v="9"/>
    <s v="Mine production, iron content"/>
    <s v="k ton"/>
    <n v="4900"/>
    <n v="4800"/>
    <n v="1600000"/>
    <n v="3.0000000000000001E-3"/>
    <n v="17"/>
    <n v="520000"/>
    <n v="87000000"/>
    <n v="5.9770114942528738E-3"/>
    <n v="16"/>
  </r>
  <r>
    <s v="MCS2026"/>
    <x v="23"/>
    <x v="23"/>
    <s v="Mine production, iron content"/>
    <s v="k ton"/>
    <n v="34700"/>
    <n v="36000"/>
    <n v="1600000"/>
    <n v="2.2499999999999999E-2"/>
    <n v="18"/>
    <n v="6000000"/>
    <n v="87000000"/>
    <n v="6.8965517241379309E-2"/>
    <n v="18"/>
  </r>
  <r>
    <s v="MCS2026"/>
    <x v="23"/>
    <x v="20"/>
    <s v="Mine production, iron content"/>
    <s v="k ton"/>
    <n v="13300"/>
    <n v="14000"/>
    <n v="1600000"/>
    <n v="8.7500000000000008E-3"/>
    <n v="12"/>
    <n v="1000000"/>
    <n v="87000000"/>
    <n v="1.1494252873563218E-2"/>
    <n v="12"/>
  </r>
  <r>
    <s v="MCS2026"/>
    <x v="23"/>
    <x v="12"/>
    <s v="Mine production, iron content"/>
    <s v="k ton"/>
    <n v="11000"/>
    <n v="11000"/>
    <n v="1600000"/>
    <n v="6.875E-3"/>
    <n v="14"/>
    <n v="99000"/>
    <n v="87000000"/>
    <n v="1.1379310344827587E-3"/>
    <n v="17"/>
  </r>
  <r>
    <s v="MCS2026"/>
    <x v="23"/>
    <x v="13"/>
    <s v="Mine production, iron content"/>
    <s v="k ton"/>
    <n v="53000"/>
    <n v="50000"/>
    <n v="1600000"/>
    <n v="3.125E-2"/>
    <n v="6"/>
    <n v="14000000"/>
    <n v="87000000"/>
    <n v="0.16091954022988506"/>
    <n v="3"/>
  </r>
  <r>
    <s v="MCS2026"/>
    <x v="23"/>
    <x v="49"/>
    <s v="Mine production, iron content"/>
    <s v="k ton"/>
    <n v="41000"/>
    <n v="42000"/>
    <n v="1600000"/>
    <n v="2.6249999999999999E-2"/>
    <n v="7"/>
    <n v="680000"/>
    <n v="87000000"/>
    <n v="7.8160919540229881E-3"/>
    <n v="14"/>
  </r>
  <r>
    <s v="MCS2026"/>
    <x v="23"/>
    <x v="73"/>
    <s v="Mine production, iron content"/>
    <s v="k ton"/>
    <n v="18000"/>
    <n v="18000"/>
    <n v="1600000"/>
    <n v="1.125E-2"/>
    <n v="11"/>
    <n v="600000"/>
    <n v="87000000"/>
    <n v="6.8965517241379309E-3"/>
    <n v="15"/>
  </r>
  <r>
    <s v="MCS2026"/>
    <x v="23"/>
    <x v="43"/>
    <s v="Mine production, iron content"/>
    <s v="k ton"/>
    <n v="34000"/>
    <n v="32000"/>
    <n v="1600000"/>
    <n v="0.02"/>
    <n v="9"/>
    <n v="2300000"/>
    <n v="87000000"/>
    <n v="2.6436781609195402E-2"/>
    <n v="8"/>
  </r>
  <r>
    <s v="MCS2026"/>
    <x v="23"/>
    <x v="15"/>
    <s v="Mine production, iron content"/>
    <s v="k ton"/>
    <n v="28600"/>
    <n v="24000"/>
    <n v="1600000"/>
    <n v="1.4999999999999999E-2"/>
    <n v="10"/>
    <n v="2700000"/>
    <n v="87000000"/>
    <n v="3.1034482758620689E-2"/>
    <n v="7"/>
  </r>
  <r>
    <s v="MCS2026"/>
    <x v="24"/>
    <x v="3"/>
    <s v="Mine production"/>
    <s v="ton"/>
    <n v="50000"/>
    <n v="50000"/>
    <n v="0"/>
    <s v="-"/>
    <n v="4"/>
    <n v="5000000"/>
    <n v="0"/>
    <s v="-"/>
    <n v="2"/>
  </r>
  <r>
    <s v="MCS2026"/>
    <x v="24"/>
    <x v="57"/>
    <s v="Mine production"/>
    <s v="ton"/>
    <n v="60000"/>
    <n v="60000"/>
    <n v="0"/>
    <s v="-"/>
    <n v="3"/>
    <n v="0"/>
    <n v="0"/>
    <s v="-"/>
    <s v="-"/>
  </r>
  <r>
    <s v="MCS2026"/>
    <x v="24"/>
    <x v="22"/>
    <s v="Mine production"/>
    <s v="ton"/>
    <n v="2710"/>
    <n v="2500"/>
    <n v="0"/>
    <s v="-"/>
    <n v="6"/>
    <n v="9100000"/>
    <n v="0"/>
    <s v="-"/>
    <n v="1"/>
  </r>
  <r>
    <s v="MCS2026"/>
    <x v="24"/>
    <x v="20"/>
    <s v="Mine production"/>
    <s v="ton"/>
    <n v="40000"/>
    <n v="40000"/>
    <n v="0"/>
    <s v="-"/>
    <n v="5"/>
    <n v="0"/>
    <n v="0"/>
    <s v="-"/>
    <s v="-"/>
  </r>
  <r>
    <s v="MCS2026"/>
    <x v="24"/>
    <x v="49"/>
    <s v="Mine production"/>
    <s v="ton"/>
    <n v="130000"/>
    <n v="120000"/>
    <n v="0"/>
    <s v="-"/>
    <n v="1"/>
    <n v="0"/>
    <n v="0"/>
    <s v="-"/>
    <s v="-"/>
  </r>
  <r>
    <s v="MCS2026"/>
    <x v="24"/>
    <x v="15"/>
    <s v="Mine production"/>
    <s v="ton"/>
    <n v="78600"/>
    <n v="80000"/>
    <n v="0"/>
    <s v="-"/>
    <n v="2"/>
    <n v="0"/>
    <n v="0"/>
    <s v="-"/>
    <s v="-"/>
  </r>
  <r>
    <s v="MCS2026"/>
    <x v="25"/>
    <x v="0"/>
    <s v="Mine production, lead content"/>
    <s v="k ton"/>
    <n v="481"/>
    <n v="480"/>
    <n v="4500"/>
    <n v="0.10666666666666667"/>
    <n v="2"/>
    <n v="34000"/>
    <n v="95000"/>
    <n v="0.35789473684210527"/>
    <n v="1"/>
  </r>
  <r>
    <s v="MCS2026"/>
    <x v="25"/>
    <x v="1"/>
    <s v="Mine production, lead content"/>
    <s v="k ton"/>
    <n v="110"/>
    <n v="100"/>
    <n v="4500"/>
    <n v="2.2222222222222223E-2"/>
    <n v="8"/>
    <n v="1600"/>
    <n v="95000"/>
    <n v="1.6842105263157894E-2"/>
    <n v="10"/>
  </r>
  <r>
    <s v="MCS2026"/>
    <x v="25"/>
    <x v="3"/>
    <s v="Mine production, lead content"/>
    <s v="k ton"/>
    <n v="1940"/>
    <n v="1900"/>
    <n v="4500"/>
    <n v="0.42222222222222222"/>
    <n v="1"/>
    <n v="22000"/>
    <n v="95000"/>
    <n v="0.23157894736842105"/>
    <n v="2"/>
  </r>
  <r>
    <s v="MCS2026"/>
    <x v="25"/>
    <x v="22"/>
    <s v="Mine production, lead content"/>
    <s v="k ton"/>
    <n v="226"/>
    <n v="220"/>
    <n v="4500"/>
    <n v="4.8888888888888891E-2"/>
    <n v="6"/>
    <n v="1900"/>
    <n v="95000"/>
    <n v="0.02"/>
    <n v="8"/>
  </r>
  <r>
    <s v="MCS2026"/>
    <x v="25"/>
    <x v="5"/>
    <s v="Mine production, lead content"/>
    <s v="k ton"/>
    <n v="70"/>
    <n v="70"/>
    <n v="4500"/>
    <n v="1.5555555555555555E-2"/>
    <n v="9"/>
    <n v="2000"/>
    <n v="95000"/>
    <n v="2.1052631578947368E-2"/>
    <n v="7"/>
  </r>
  <r>
    <s v="MCS2026"/>
    <x v="25"/>
    <x v="9"/>
    <s v="Mine production, lead content"/>
    <s v="k ton"/>
    <n v="240"/>
    <n v="200"/>
    <n v="4500"/>
    <n v="4.4444444444444446E-2"/>
    <n v="7"/>
    <n v="5600"/>
    <n v="95000"/>
    <n v="5.894736842105263E-2"/>
    <n v="4"/>
  </r>
  <r>
    <s v="MCS2026"/>
    <x v="25"/>
    <x v="23"/>
    <s v="Mine production, lead content"/>
    <s v="k ton"/>
    <n v="498"/>
    <n v="500"/>
    <n v="4500"/>
    <n v="0.1111111111111111"/>
    <n v="13"/>
    <n v="5900"/>
    <n v="95000"/>
    <n v="6.210526315789474E-2"/>
    <n v="13"/>
  </r>
  <r>
    <s v="MCS2026"/>
    <x v="25"/>
    <x v="20"/>
    <s v="Mine production, lead content"/>
    <s v="k ton"/>
    <n v="291"/>
    <n v="290"/>
    <n v="4500"/>
    <n v="6.4444444444444443E-2"/>
    <n v="3"/>
    <n v="5000"/>
    <n v="95000"/>
    <n v="5.2631578947368418E-2"/>
    <n v="5"/>
  </r>
  <r>
    <s v="MCS2026"/>
    <x v="25"/>
    <x v="12"/>
    <s v="Mine production, lead content"/>
    <s v="k ton"/>
    <n v="66"/>
    <n v="70"/>
    <n v="4500"/>
    <n v="1.5555555555555555E-2"/>
    <n v="9"/>
    <n v="1600"/>
    <n v="95000"/>
    <n v="1.6842105263157894E-2"/>
    <n v="10"/>
  </r>
  <r>
    <s v="MCS2026"/>
    <x v="25"/>
    <x v="13"/>
    <s v="Mine production, lead content"/>
    <s v="k ton"/>
    <n v="260"/>
    <n v="260"/>
    <n v="4500"/>
    <n v="5.7777777777777775E-2"/>
    <n v="5"/>
    <n v="8900"/>
    <n v="95000"/>
    <n v="9.3684210526315786E-2"/>
    <n v="3"/>
  </r>
  <r>
    <s v="MCS2026"/>
    <x v="25"/>
    <x v="73"/>
    <s v="Mine production, lead content"/>
    <s v="k ton"/>
    <n v="75"/>
    <n v="70"/>
    <n v="4500"/>
    <n v="1.5555555555555555E-2"/>
    <n v="9"/>
    <n v="1700"/>
    <n v="95000"/>
    <n v="1.7894736842105262E-2"/>
    <n v="9"/>
  </r>
  <r>
    <s v="MCS2026"/>
    <x v="25"/>
    <x v="14"/>
    <s v="Mine production, lead content"/>
    <s v="k ton"/>
    <n v="39"/>
    <n v="40"/>
    <n v="4500"/>
    <n v="8.8888888888888889E-3"/>
    <n v="12"/>
    <n v="0"/>
    <n v="95000"/>
    <n v="0"/>
    <s v="-"/>
  </r>
  <r>
    <s v="MCS2026"/>
    <x v="25"/>
    <x v="15"/>
    <s v="Mine production, lead content"/>
    <s v="k ton"/>
    <n v="304"/>
    <n v="280"/>
    <n v="4500"/>
    <n v="6.222222222222222E-2"/>
    <n v="4"/>
    <n v="4600"/>
    <n v="95000"/>
    <n v="4.8421052631578948E-2"/>
    <n v="6"/>
  </r>
  <r>
    <s v="MCS2026"/>
    <x v="26"/>
    <x v="0"/>
    <s v="Plant production, lime"/>
    <s v="k ton"/>
    <n v="1890"/>
    <n v="1900"/>
    <n v="420000"/>
    <n v="4.5238095238095237E-3"/>
    <n v="13"/>
    <n v="0"/>
    <n v="0"/>
    <s v="-"/>
    <s v="-"/>
  </r>
  <r>
    <s v="MCS2026"/>
    <x v="26"/>
    <x v="17"/>
    <s v="Plant production, lime"/>
    <s v="k ton"/>
    <n v="1100"/>
    <n v="1100"/>
    <n v="420000"/>
    <n v="2.6190476190476189E-3"/>
    <n v="20"/>
    <n v="0"/>
    <n v="0"/>
    <s v="-"/>
    <s v="-"/>
  </r>
  <r>
    <s v="MCS2026"/>
    <x v="26"/>
    <x v="21"/>
    <s v="Plant production, lime"/>
    <s v="k ton"/>
    <n v="8200"/>
    <n v="8200"/>
    <n v="420000"/>
    <n v="1.9523809523809523E-2"/>
    <n v="5"/>
    <n v="0"/>
    <n v="0"/>
    <s v="-"/>
    <s v="-"/>
  </r>
  <r>
    <s v="MCS2026"/>
    <x v="26"/>
    <x v="37"/>
    <s v="Plant production, lime"/>
    <s v="k ton"/>
    <n v="1300"/>
    <n v="1300"/>
    <n v="420000"/>
    <n v="3.0952380952380953E-3"/>
    <n v="17"/>
    <n v="0"/>
    <n v="0"/>
    <s v="-"/>
    <s v="-"/>
  </r>
  <r>
    <s v="MCS2026"/>
    <x v="26"/>
    <x v="2"/>
    <s v="Plant production, lime"/>
    <s v="k ton"/>
    <n v="1550"/>
    <n v="1600"/>
    <n v="420000"/>
    <n v="3.8095238095238095E-3"/>
    <n v="15"/>
    <n v="0"/>
    <n v="0"/>
    <s v="-"/>
    <s v="-"/>
  </r>
  <r>
    <s v="MCS2026"/>
    <x v="26"/>
    <x v="3"/>
    <s v="Plant production, lime"/>
    <s v="k ton"/>
    <n v="310000"/>
    <n v="310000"/>
    <n v="420000"/>
    <n v="0.73809523809523814"/>
    <n v="1"/>
    <n v="0"/>
    <n v="0"/>
    <s v="-"/>
    <s v="-"/>
  </r>
  <r>
    <s v="MCS2026"/>
    <x v="26"/>
    <x v="57"/>
    <s v="Plant production, lime"/>
    <s v="k ton"/>
    <n v="3500"/>
    <n v="3500"/>
    <n v="420000"/>
    <n v="8.3333333333333332E-3"/>
    <n v="11"/>
    <n v="0"/>
    <n v="0"/>
    <s v="-"/>
    <s v="-"/>
  </r>
  <r>
    <s v="MCS2026"/>
    <x v="26"/>
    <x v="24"/>
    <s v="Plant production, lime"/>
    <s v="k ton"/>
    <n v="4800"/>
    <n v="4800"/>
    <n v="420000"/>
    <n v="1.1428571428571429E-2"/>
    <n v="8"/>
    <n v="0"/>
    <n v="0"/>
    <s v="-"/>
    <s v="-"/>
  </r>
  <r>
    <s v="MCS2026"/>
    <x v="26"/>
    <x v="22"/>
    <s v="Plant production, lime"/>
    <s v="k ton"/>
    <n v="17000"/>
    <n v="17000"/>
    <n v="420000"/>
    <n v="4.0476190476190478E-2"/>
    <n v="2"/>
    <n v="0"/>
    <n v="0"/>
    <s v="-"/>
    <s v="-"/>
  </r>
  <r>
    <s v="MCS2026"/>
    <x v="26"/>
    <x v="5"/>
    <s v="Plant production, lime"/>
    <s v="k ton"/>
    <n v="4000"/>
    <n v="4000"/>
    <n v="420000"/>
    <n v="9.5238095238095247E-3"/>
    <n v="9"/>
    <n v="0"/>
    <n v="0"/>
    <s v="-"/>
    <s v="-"/>
  </r>
  <r>
    <s v="MCS2026"/>
    <x v="26"/>
    <x v="59"/>
    <s v="Plant production, lime"/>
    <s v="k ton"/>
    <n v="2500"/>
    <n v="2500"/>
    <n v="420000"/>
    <n v="5.9523809523809521E-3"/>
    <n v="12"/>
    <n v="0"/>
    <n v="0"/>
    <s v="-"/>
    <s v="-"/>
  </r>
  <r>
    <s v="MCS2026"/>
    <x v="26"/>
    <x v="18"/>
    <s v="Plant production, lime"/>
    <s v="k ton"/>
    <n v="5870"/>
    <n v="5900"/>
    <n v="420000"/>
    <n v="1.4047619047619048E-2"/>
    <n v="6"/>
    <n v="0"/>
    <n v="0"/>
    <s v="-"/>
    <s v="-"/>
  </r>
  <r>
    <s v="MCS2026"/>
    <x v="26"/>
    <x v="74"/>
    <s v="Plant production, lime"/>
    <s v="k ton"/>
    <n v="1400"/>
    <n v="1400"/>
    <n v="420000"/>
    <n v="3.3333333333333335E-3"/>
    <n v="16"/>
    <n v="0"/>
    <n v="0"/>
    <s v="-"/>
    <s v="-"/>
  </r>
  <r>
    <s v="MCS2026"/>
    <x v="26"/>
    <x v="23"/>
    <s v="Plant production, lime"/>
    <s v="k ton"/>
    <n v="16200"/>
    <n v="16000"/>
    <n v="420000"/>
    <n v="3.8095238095238099E-2"/>
    <n v="23"/>
    <n v="0"/>
    <n v="0"/>
    <s v="-"/>
    <n v="23"/>
  </r>
  <r>
    <s v="MCS2026"/>
    <x v="26"/>
    <x v="46"/>
    <s v="Plant production, lime"/>
    <s v="k ton"/>
    <n v="1290"/>
    <n v="1300"/>
    <n v="420000"/>
    <n v="3.0952380952380953E-3"/>
    <n v="17"/>
    <n v="0"/>
    <n v="0"/>
    <s v="-"/>
    <s v="-"/>
  </r>
  <r>
    <s v="MCS2026"/>
    <x v="26"/>
    <x v="12"/>
    <s v="Plant production, lime"/>
    <s v="k ton"/>
    <n v="4000"/>
    <n v="4000"/>
    <n v="420000"/>
    <n v="9.5238095238095247E-3"/>
    <n v="9"/>
    <n v="0"/>
    <n v="0"/>
    <s v="-"/>
    <s v="-"/>
  </r>
  <r>
    <s v="MCS2026"/>
    <x v="26"/>
    <x v="13"/>
    <s v="Plant production, lime"/>
    <s v="k ton"/>
    <n v="11800"/>
    <n v="12000"/>
    <n v="420000"/>
    <n v="2.8571428571428571E-2"/>
    <n v="4"/>
    <n v="0"/>
    <n v="0"/>
    <s v="-"/>
    <s v="-"/>
  </r>
  <r>
    <s v="MCS2026"/>
    <x v="26"/>
    <x v="49"/>
    <s v="Plant production, lime"/>
    <s v="k ton"/>
    <n v="1000"/>
    <n v="1000"/>
    <n v="420000"/>
    <n v="2.3809523809523812E-3"/>
    <n v="22"/>
    <n v="0"/>
    <n v="0"/>
    <s v="-"/>
    <s v="-"/>
  </r>
  <r>
    <s v="MCS2026"/>
    <x v="26"/>
    <x v="38"/>
    <s v="Plant production, lime"/>
    <s v="k ton"/>
    <n v="5000"/>
    <n v="5000"/>
    <n v="420000"/>
    <n v="1.1904761904761904E-2"/>
    <n v="7"/>
    <n v="0"/>
    <n v="0"/>
    <s v="-"/>
    <s v="-"/>
  </r>
  <r>
    <s v="MCS2026"/>
    <x v="26"/>
    <x v="31"/>
    <s v="Plant production, lime"/>
    <s v="k ton"/>
    <n v="1700"/>
    <n v="1700"/>
    <n v="420000"/>
    <n v="4.0476190476190473E-3"/>
    <n v="14"/>
    <n v="0"/>
    <n v="0"/>
    <s v="-"/>
    <s v="-"/>
  </r>
  <r>
    <s v="MCS2026"/>
    <x v="26"/>
    <x v="43"/>
    <s v="Plant production, lime"/>
    <s v="k ton"/>
    <n v="1100"/>
    <n v="1100"/>
    <n v="420000"/>
    <n v="2.6190476190476189E-3"/>
    <n v="20"/>
    <n v="0"/>
    <n v="0"/>
    <s v="-"/>
    <s v="-"/>
  </r>
  <r>
    <s v="MCS2026"/>
    <x v="26"/>
    <x v="75"/>
    <s v="Plant production, lime"/>
    <s v="k ton"/>
    <n v="1300"/>
    <n v="1300"/>
    <n v="420000"/>
    <n v="3.0952380952380953E-3"/>
    <n v="17"/>
    <n v="0"/>
    <n v="0"/>
    <s v="-"/>
    <s v="-"/>
  </r>
  <r>
    <s v="MCS2026"/>
    <x v="26"/>
    <x v="15"/>
    <s v="Plant production, lime"/>
    <s v="k ton"/>
    <n v="15000"/>
    <n v="15000"/>
    <n v="420000"/>
    <n v="3.5714285714285712E-2"/>
    <n v="3"/>
    <n v="0"/>
    <n v="0"/>
    <s v="-"/>
    <s v="-"/>
  </r>
  <r>
    <s v="MCS2026"/>
    <x v="27"/>
    <x v="39"/>
    <s v="Mine production, lithium content"/>
    <s v="ton"/>
    <n v="13800"/>
    <n v="23000"/>
    <n v="290000"/>
    <n v="7.9310344827586213E-2"/>
    <n v="5"/>
    <n v="4400000"/>
    <n v="37000000"/>
    <n v="0.11891891891891893"/>
    <n v="4"/>
  </r>
  <r>
    <s v="MCS2026"/>
    <x v="27"/>
    <x v="0"/>
    <s v="Mine production, lithium content"/>
    <s v="ton"/>
    <n v="82700"/>
    <n v="92000"/>
    <n v="290000"/>
    <n v="0.31724137931034485"/>
    <n v="1"/>
    <n v="8400000"/>
    <n v="37000000"/>
    <n v="0.22702702702702704"/>
    <n v="2"/>
  </r>
  <r>
    <s v="MCS2026"/>
    <x v="27"/>
    <x v="21"/>
    <s v="Mine production, lithium content"/>
    <s v="ton"/>
    <n v="10200"/>
    <n v="12000"/>
    <n v="290000"/>
    <n v="4.1379310344827586E-2"/>
    <n v="6"/>
    <n v="540000"/>
    <n v="37000000"/>
    <n v="1.4594594594594595E-2"/>
    <n v="7"/>
  </r>
  <r>
    <s v="MCS2026"/>
    <x v="27"/>
    <x v="2"/>
    <s v="Mine production, lithium content"/>
    <s v="ton"/>
    <n v="4820"/>
    <n v="5600"/>
    <n v="290000"/>
    <n v="1.9310344827586208E-2"/>
    <n v="8"/>
    <n v="1600000"/>
    <n v="37000000"/>
    <n v="4.3243243243243246E-2"/>
    <n v="6"/>
  </r>
  <r>
    <s v="MCS2026"/>
    <x v="27"/>
    <x v="40"/>
    <s v="Mine production, lithium content"/>
    <s v="ton"/>
    <n v="48900"/>
    <n v="56000"/>
    <n v="290000"/>
    <n v="0.19310344827586207"/>
    <n v="3"/>
    <n v="9200000"/>
    <n v="37000000"/>
    <n v="0.24864864864864866"/>
    <n v="1"/>
  </r>
  <r>
    <s v="MCS2026"/>
    <x v="27"/>
    <x v="3"/>
    <s v="Mine production, lithium content"/>
    <s v="ton"/>
    <n v="41400"/>
    <n v="62000"/>
    <n v="290000"/>
    <n v="0.21379310344827587"/>
    <n v="2"/>
    <n v="4600000"/>
    <n v="37000000"/>
    <n v="0.12432432432432433"/>
    <n v="3"/>
  </r>
  <r>
    <s v="MCS2026"/>
    <x v="27"/>
    <x v="76"/>
    <s v="Mine production, lithium content"/>
    <s v="ton"/>
    <n v="770"/>
    <n v="9400"/>
    <n v="290000"/>
    <n v="3.2413793103448274E-2"/>
    <n v="7"/>
    <n v="370000"/>
    <n v="37000000"/>
    <n v="0.01"/>
    <n v="9"/>
  </r>
  <r>
    <s v="MCS2026"/>
    <x v="27"/>
    <x v="23"/>
    <s v="Mine production, lithium content"/>
    <s v="ton"/>
    <n v="0"/>
    <n v="0"/>
    <n v="290000"/>
    <n v="0"/>
    <n v="11"/>
    <n v="2400000"/>
    <n v="37000000"/>
    <n v="6.4864864864864868E-2"/>
    <n v="11"/>
  </r>
  <r>
    <s v="MCS2026"/>
    <x v="27"/>
    <x v="77"/>
    <s v="Mine production, lithium content"/>
    <s v="ton"/>
    <n v="380"/>
    <n v="380"/>
    <n v="290000"/>
    <n v="1.310344827586207E-3"/>
    <n v="9"/>
    <n v="60000"/>
    <n v="37000000"/>
    <n v="1.6216216216216215E-3"/>
    <n v="10"/>
  </r>
  <r>
    <s v="MCS2026"/>
    <x v="27"/>
    <x v="15"/>
    <s v="Mine production, lithium content"/>
    <s v="ton"/>
    <n v="0"/>
    <n v="0"/>
    <n v="290000"/>
    <n v="0"/>
    <s v="-"/>
    <n v="4400000"/>
    <n v="37000000"/>
    <n v="0.11891891891891893"/>
    <n v="4"/>
  </r>
  <r>
    <s v="MCS2026"/>
    <x v="27"/>
    <x v="50"/>
    <s v="Mine production, lithium content"/>
    <s v="ton"/>
    <n v="20000"/>
    <n v="28000"/>
    <n v="290000"/>
    <n v="9.6551724137931033E-2"/>
    <n v="4"/>
    <n v="500000"/>
    <n v="37000000"/>
    <n v="1.3513513513513514E-2"/>
    <n v="8"/>
  </r>
  <r>
    <s v="MCS2026"/>
    <x v="28"/>
    <x v="0"/>
    <s v="Mine production, magnesite - gross weight"/>
    <s v="k ton"/>
    <n v="410"/>
    <n v="400"/>
    <n v="21000"/>
    <n v="1.9047619047619049E-2"/>
    <n v="7"/>
    <n v="280000"/>
    <n v="7800000"/>
    <n v="3.5897435897435895E-2"/>
    <n v="4"/>
  </r>
  <r>
    <s v="MCS2026"/>
    <x v="28"/>
    <x v="64"/>
    <s v="Mine production, magnesite - gross weight"/>
    <s v="k ton"/>
    <n v="664"/>
    <n v="650"/>
    <n v="21000"/>
    <n v="3.0952380952380953E-2"/>
    <n v="5"/>
    <n v="49000"/>
    <n v="7800000"/>
    <n v="6.2820512820512819E-3"/>
    <n v="9"/>
  </r>
  <r>
    <s v="MCS2026"/>
    <x v="28"/>
    <x v="21"/>
    <s v="Mine production, magnesite - gross weight"/>
    <s v="k ton"/>
    <n v="1850"/>
    <n v="1800"/>
    <n v="21000"/>
    <n v="8.5714285714285715E-2"/>
    <n v="2"/>
    <n v="200000"/>
    <n v="7800000"/>
    <n v="2.564102564102564E-2"/>
    <n v="6"/>
  </r>
  <r>
    <s v="MCS2026"/>
    <x v="28"/>
    <x v="2"/>
    <s v="Mine production, magnesite - gross weight"/>
    <s v="k ton"/>
    <n v="230"/>
    <n v="230"/>
    <n v="21000"/>
    <n v="1.0952380952380953E-2"/>
    <n v="9"/>
    <n v="0"/>
    <n v="7800000"/>
    <n v="0"/>
    <s v="-"/>
  </r>
  <r>
    <s v="MCS2026"/>
    <x v="28"/>
    <x v="3"/>
    <s v="Mine production, magnesite - gross weight"/>
    <s v="k ton"/>
    <n v="12900"/>
    <n v="12700"/>
    <n v="21000"/>
    <n v="0.60476190476190472"/>
    <n v="1"/>
    <n v="700000"/>
    <n v="7800000"/>
    <n v="8.9743589743589744E-2"/>
    <n v="3"/>
  </r>
  <r>
    <s v="MCS2026"/>
    <x v="28"/>
    <x v="25"/>
    <s v="Mine production, magnesite - gross weight"/>
    <s v="k ton"/>
    <n v="134"/>
    <n v="130"/>
    <n v="21000"/>
    <n v="6.1904761904761907E-3"/>
    <n v="11"/>
    <n v="280000"/>
    <n v="7800000"/>
    <n v="3.5897435897435895E-2"/>
    <n v="4"/>
  </r>
  <r>
    <s v="MCS2026"/>
    <x v="28"/>
    <x v="22"/>
    <s v="Mine production, magnesite - gross weight"/>
    <s v="k ton"/>
    <n v="117"/>
    <n v="85"/>
    <n v="21000"/>
    <n v="4.0476190476190473E-3"/>
    <n v="12"/>
    <n v="66000"/>
    <n v="7800000"/>
    <n v="8.4615384615384613E-3"/>
    <n v="8"/>
  </r>
  <r>
    <s v="MCS2026"/>
    <x v="28"/>
    <x v="5"/>
    <s v="Mine production, magnesite - gross weight"/>
    <s v="k ton"/>
    <n v="200"/>
    <n v="200"/>
    <n v="21000"/>
    <n v="9.5238095238095247E-3"/>
    <n v="10"/>
    <n v="10000"/>
    <n v="7800000"/>
    <n v="1.2820512820512821E-3"/>
    <n v="12"/>
  </r>
  <r>
    <s v="MCS2026"/>
    <x v="28"/>
    <x v="23"/>
    <s v="Mine production, magnesite - gross weight"/>
    <s v="k ton"/>
    <n v="341"/>
    <n v="340"/>
    <n v="21000"/>
    <n v="1.6190476190476189E-2"/>
    <n v="14"/>
    <n v="2500000"/>
    <n v="7800000"/>
    <n v="0.32051282051282054"/>
    <n v="14"/>
  </r>
  <r>
    <s v="MCS2026"/>
    <x v="28"/>
    <x v="12"/>
    <s v="Mine production, magnesite - gross weight"/>
    <s v="k ton"/>
    <n v="1600"/>
    <n v="1600"/>
    <n v="21000"/>
    <n v="7.6190476190476197E-2"/>
    <n v="4"/>
    <n v="110000"/>
    <n v="7800000"/>
    <n v="1.4102564102564103E-2"/>
    <n v="7"/>
  </r>
  <r>
    <s v="MCS2026"/>
    <x v="28"/>
    <x v="13"/>
    <s v="Mine production, magnesite - gross weight"/>
    <s v="k ton"/>
    <n v="1690"/>
    <n v="1700"/>
    <n v="21000"/>
    <n v="8.0952380952380956E-2"/>
    <n v="3"/>
    <n v="2300000"/>
    <n v="7800000"/>
    <n v="0.29487179487179488"/>
    <n v="1"/>
  </r>
  <r>
    <s v="MCS2026"/>
    <x v="28"/>
    <x v="78"/>
    <s v="Mine production, magnesite - gross weight"/>
    <s v="k ton"/>
    <n v="334"/>
    <n v="330"/>
    <n v="21000"/>
    <n v="1.5714285714285715E-2"/>
    <n v="8"/>
    <n v="1200000"/>
    <n v="7800000"/>
    <n v="0.15384615384615385"/>
    <n v="2"/>
  </r>
  <r>
    <s v="MCS2026"/>
    <x v="28"/>
    <x v="31"/>
    <s v="Mine production, magnesite - gross weight"/>
    <s v="k ton"/>
    <n v="655"/>
    <n v="640"/>
    <n v="21000"/>
    <n v="3.0476190476190476E-2"/>
    <n v="6"/>
    <n v="35000"/>
    <n v="7800000"/>
    <n v="4.4871794871794869E-3"/>
    <n v="10"/>
  </r>
  <r>
    <s v="MCS2026"/>
    <x v="28"/>
    <x v="15"/>
    <s v="Mine production, magnesite - gross weight"/>
    <s v="k ton"/>
    <n v="0"/>
    <n v="0"/>
    <n v="21000"/>
    <n v="0"/>
    <s v="-"/>
    <n v="35000"/>
    <n v="7800000"/>
    <n v="4.4871794871794869E-3"/>
    <n v="10"/>
  </r>
  <r>
    <s v="MCS2026"/>
    <x v="29"/>
    <x v="0"/>
    <s v="Mine production, manganese content"/>
    <s v="k ton"/>
    <n v="1600"/>
    <n v="1600"/>
    <n v="20000"/>
    <n v="0.08"/>
    <n v="4"/>
    <n v="580000"/>
    <n v="1800000"/>
    <n v="0.32222222222222224"/>
    <n v="1"/>
  </r>
  <r>
    <s v="MCS2026"/>
    <x v="29"/>
    <x v="21"/>
    <s v="Mine production, manganese content"/>
    <s v="k ton"/>
    <n v="705"/>
    <n v="800"/>
    <n v="20000"/>
    <n v="0.04"/>
    <n v="5"/>
    <n v="300000"/>
    <n v="1800000"/>
    <n v="0.16666666666666666"/>
    <n v="3"/>
  </r>
  <r>
    <s v="MCS2026"/>
    <x v="29"/>
    <x v="79"/>
    <s v="Mine production, manganese content"/>
    <s v="k ton"/>
    <n v="340"/>
    <n v="350"/>
    <n v="20000"/>
    <n v="1.7500000000000002E-2"/>
    <n v="8"/>
    <n v="0"/>
    <n v="1800000"/>
    <n v="0"/>
    <s v="-"/>
  </r>
  <r>
    <s v="MCS2026"/>
    <x v="29"/>
    <x v="3"/>
    <s v="Mine production, manganese content"/>
    <s v="k ton"/>
    <n v="690"/>
    <n v="700"/>
    <n v="20000"/>
    <n v="3.5000000000000003E-2"/>
    <n v="7"/>
    <n v="260000"/>
    <n v="1800000"/>
    <n v="0.14444444444444443"/>
    <n v="4"/>
  </r>
  <r>
    <s v="MCS2026"/>
    <x v="29"/>
    <x v="80"/>
    <s v="Mine production, manganese content"/>
    <s v="k ton"/>
    <n v="4640"/>
    <n v="5000"/>
    <n v="20000"/>
    <n v="0.25"/>
    <n v="2"/>
    <n v="61000"/>
    <n v="1800000"/>
    <n v="3.3888888888888892E-2"/>
    <n v="5"/>
  </r>
  <r>
    <s v="MCS2026"/>
    <x v="29"/>
    <x v="63"/>
    <s v="Mine production, manganese content"/>
    <s v="k ton"/>
    <n v="1280"/>
    <n v="2000"/>
    <n v="20000"/>
    <n v="0.1"/>
    <n v="3"/>
    <n v="13000"/>
    <n v="1800000"/>
    <n v="7.2222222222222219E-3"/>
    <n v="7"/>
  </r>
  <r>
    <s v="MCS2026"/>
    <x v="29"/>
    <x v="22"/>
    <s v="Mine production, manganese content"/>
    <s v="k ton"/>
    <n v="731"/>
    <n v="790"/>
    <n v="20000"/>
    <n v="3.95E-2"/>
    <n v="6"/>
    <n v="34000"/>
    <n v="1800000"/>
    <n v="1.8888888888888889E-2"/>
    <n v="6"/>
  </r>
  <r>
    <s v="MCS2026"/>
    <x v="29"/>
    <x v="23"/>
    <s v="Mine production, manganese content"/>
    <s v="k ton"/>
    <n v="1240"/>
    <n v="1300"/>
    <n v="20000"/>
    <n v="6.5000000000000002E-2"/>
    <n v="10"/>
    <n v="0"/>
    <n v="1800000"/>
    <n v="0"/>
    <n v="10"/>
  </r>
  <r>
    <s v="MCS2026"/>
    <x v="29"/>
    <x v="49"/>
    <s v="Mine production, manganese content"/>
    <s v="k ton"/>
    <n v="7490"/>
    <n v="7600"/>
    <n v="20000"/>
    <n v="0.38"/>
    <n v="1"/>
    <n v="550000"/>
    <n v="1800000"/>
    <n v="0.30555555555555558"/>
    <n v="2"/>
  </r>
  <r>
    <s v="MCS2026"/>
    <x v="29"/>
    <x v="15"/>
    <s v="Mine production, manganese content"/>
    <s v="k ton"/>
    <n v="0"/>
    <n v="0"/>
    <n v="20000"/>
    <n v="0"/>
    <s v="-"/>
    <n v="0"/>
    <n v="1800000"/>
    <n v="0"/>
    <s v="-"/>
  </r>
  <r>
    <s v="MCS2026"/>
    <x v="30"/>
    <x v="2"/>
    <s v="Mine production, mica scrap and flake"/>
    <s v="ton"/>
    <n v="14000"/>
    <n v="14000"/>
    <n v="350000"/>
    <n v="0.04"/>
    <n v="6"/>
    <n v="0"/>
    <n v="0"/>
    <s v="-"/>
    <s v="-"/>
  </r>
  <r>
    <s v="MCS2026"/>
    <x v="30"/>
    <x v="3"/>
    <s v="Mine production, mica scrap and flake"/>
    <s v="ton"/>
    <n v="85000"/>
    <n v="85000"/>
    <n v="350000"/>
    <n v="0.24285714285714285"/>
    <n v="1"/>
    <n v="1100000"/>
    <n v="0"/>
    <s v="-"/>
    <n v="2"/>
  </r>
  <r>
    <s v="MCS2026"/>
    <x v="30"/>
    <x v="48"/>
    <s v="Mine production, mica scrap and flake"/>
    <s v="ton"/>
    <n v="56900"/>
    <n v="57000"/>
    <n v="350000"/>
    <n v="0.16285714285714287"/>
    <n v="3"/>
    <n v="0"/>
    <n v="0"/>
    <s v="-"/>
    <s v="-"/>
  </r>
  <r>
    <s v="MCS2026"/>
    <x v="30"/>
    <x v="57"/>
    <s v="Mine production, mica scrap and flake"/>
    <s v="ton"/>
    <n v="14000"/>
    <n v="14000"/>
    <n v="350000"/>
    <n v="0.04"/>
    <n v="6"/>
    <n v="0"/>
    <n v="0"/>
    <s v="-"/>
    <s v="-"/>
  </r>
  <r>
    <s v="MCS2026"/>
    <x v="30"/>
    <x v="22"/>
    <s v="Mine production, mica scrap and flake"/>
    <s v="ton"/>
    <n v="14000"/>
    <n v="13000"/>
    <n v="350000"/>
    <n v="3.7142857142857144E-2"/>
    <n v="8"/>
    <n v="0"/>
    <n v="0"/>
    <s v="-"/>
    <s v="-"/>
  </r>
  <r>
    <s v="MCS2026"/>
    <x v="30"/>
    <x v="33"/>
    <s v="Mine production, mica scrap and flake"/>
    <s v="ton"/>
    <n v="90000"/>
    <n v="70000"/>
    <n v="350000"/>
    <n v="0.2"/>
    <n v="2"/>
    <n v="0"/>
    <n v="0"/>
    <s v="-"/>
    <s v="-"/>
  </r>
  <r>
    <s v="MCS2026"/>
    <x v="30"/>
    <x v="23"/>
    <s v="Mine production, mica scrap and flake"/>
    <s v="ton"/>
    <n v="44000"/>
    <n v="39000"/>
    <n v="350000"/>
    <n v="0.11142857142857143"/>
    <n v="11"/>
    <n v="0"/>
    <n v="0"/>
    <s v="-"/>
    <n v="11"/>
  </r>
  <r>
    <s v="MCS2026"/>
    <x v="30"/>
    <x v="12"/>
    <s v="Mine production, mica scrap and flake"/>
    <s v="ton"/>
    <n v="9640"/>
    <n v="9500"/>
    <n v="350000"/>
    <n v="2.7142857142857142E-2"/>
    <n v="9"/>
    <n v="620000"/>
    <n v="0"/>
    <s v="-"/>
    <n v="3"/>
  </r>
  <r>
    <s v="MCS2026"/>
    <x v="30"/>
    <x v="38"/>
    <s v="Mine production, mica scrap and flake"/>
    <s v="ton"/>
    <n v="21000"/>
    <n v="15000"/>
    <n v="350000"/>
    <n v="4.2857142857142858E-2"/>
    <n v="5"/>
    <n v="12000000"/>
    <n v="0"/>
    <s v="-"/>
    <n v="1"/>
  </r>
  <r>
    <s v="MCS2026"/>
    <x v="30"/>
    <x v="31"/>
    <s v="Mine production, mica scrap and flake"/>
    <s v="ton"/>
    <n v="8000"/>
    <n v="8000"/>
    <n v="350000"/>
    <n v="2.2857142857142857E-2"/>
    <n v="10"/>
    <n v="0"/>
    <n v="0"/>
    <s v="-"/>
    <s v="-"/>
  </r>
  <r>
    <s v="MCS2026"/>
    <x v="30"/>
    <x v="15"/>
    <s v="Mine production, mica scrap and flake"/>
    <s v="ton"/>
    <n v="24000"/>
    <n v="26000"/>
    <n v="350000"/>
    <n v="7.4285714285714288E-2"/>
    <n v="4"/>
    <n v="0"/>
    <n v="0"/>
    <s v="-"/>
    <s v="-"/>
  </r>
  <r>
    <s v="MCS2026"/>
    <x v="31"/>
    <x v="81"/>
    <s v="Mine production, molybdenum content"/>
    <s v="ton"/>
    <n v="8200"/>
    <n v="5300"/>
    <n v="260000"/>
    <n v="2.0384615384615383E-2"/>
    <n v="6"/>
    <n v="150000"/>
    <n v="17000000"/>
    <n v="8.8235294117647058E-3"/>
    <n v="7"/>
  </r>
  <r>
    <s v="MCS2026"/>
    <x v="31"/>
    <x v="0"/>
    <s v="Mine production, molybdenum content"/>
    <s v="ton"/>
    <n v="600"/>
    <n v="1000"/>
    <n v="260000"/>
    <n v="3.8461538461538464E-3"/>
    <n v="13"/>
    <n v="760000"/>
    <n v="17000000"/>
    <n v="4.4705882352941179E-2"/>
    <n v="6"/>
  </r>
  <r>
    <s v="MCS2026"/>
    <x v="31"/>
    <x v="2"/>
    <s v="Mine production, molybdenum content"/>
    <s v="ton"/>
    <n v="1540"/>
    <n v="2200"/>
    <n v="260000"/>
    <n v="8.4615384615384613E-3"/>
    <n v="10"/>
    <n v="64000"/>
    <n v="17000000"/>
    <n v="3.7647058823529413E-3"/>
    <n v="10"/>
  </r>
  <r>
    <s v="MCS2026"/>
    <x v="31"/>
    <x v="40"/>
    <s v="Mine production, molybdenum content"/>
    <s v="ton"/>
    <n v="38500"/>
    <n v="42000"/>
    <n v="260000"/>
    <n v="0.16153846153846155"/>
    <n v="2"/>
    <n v="2600000"/>
    <n v="17000000"/>
    <n v="0.15294117647058825"/>
    <n v="3"/>
  </r>
  <r>
    <s v="MCS2026"/>
    <x v="31"/>
    <x v="3"/>
    <s v="Mine production, molybdenum content"/>
    <s v="ton"/>
    <n v="100000"/>
    <n v="97000"/>
    <n v="260000"/>
    <n v="0.37307692307692308"/>
    <n v="1"/>
    <n v="7800000"/>
    <n v="17000000"/>
    <n v="0.45882352941176469"/>
    <n v="1"/>
  </r>
  <r>
    <s v="MCS2026"/>
    <x v="31"/>
    <x v="5"/>
    <s v="Mine production, molybdenum content"/>
    <s v="ton"/>
    <n v="2900"/>
    <n v="3300"/>
    <n v="260000"/>
    <n v="1.2692307692307692E-2"/>
    <n v="9"/>
    <n v="43000"/>
    <n v="17000000"/>
    <n v="2.5294117647058825E-3"/>
    <n v="11"/>
  </r>
  <r>
    <s v="MCS2026"/>
    <x v="31"/>
    <x v="6"/>
    <s v="Mine production, molybdenum content"/>
    <s v="ton"/>
    <n v="4080"/>
    <n v="4300"/>
    <n v="260000"/>
    <n v="1.653846153846154E-2"/>
    <n v="7"/>
    <n v="7000"/>
    <n v="17000000"/>
    <n v="4.1176470588235296E-4"/>
    <n v="15"/>
  </r>
  <r>
    <s v="MCS2026"/>
    <x v="31"/>
    <x v="9"/>
    <s v="Mine production, molybdenum content"/>
    <s v="ton"/>
    <n v="16200"/>
    <n v="17000"/>
    <n v="260000"/>
    <n v="6.5384615384615388E-2"/>
    <n v="5"/>
    <n v="130000"/>
    <n v="17000000"/>
    <n v="7.6470588235294122E-3"/>
    <n v="8"/>
  </r>
  <r>
    <s v="MCS2026"/>
    <x v="31"/>
    <x v="61"/>
    <s v="Mine production, molybdenum content"/>
    <s v="ton"/>
    <n v="3110"/>
    <n v="4200"/>
    <n v="260000"/>
    <n v="1.6153846153846154E-2"/>
    <n v="8"/>
    <n v="10000"/>
    <n v="17000000"/>
    <n v="5.8823529411764701E-4"/>
    <n v="13"/>
  </r>
  <r>
    <s v="MCS2026"/>
    <x v="31"/>
    <x v="65"/>
    <s v="Mine production, molybdenum content"/>
    <s v="ton"/>
    <n v="800"/>
    <n v="800"/>
    <n v="260000"/>
    <n v="3.0769230769230769E-3"/>
    <n v="14"/>
    <n v="78000"/>
    <n v="17000000"/>
    <n v="4.5882352941176473E-3"/>
    <n v="9"/>
  </r>
  <r>
    <s v="MCS2026"/>
    <x v="31"/>
    <x v="23"/>
    <s v="Mine production, molybdenum content"/>
    <s v="ton"/>
    <n v="0"/>
    <n v="0"/>
    <n v="260000"/>
    <n v="0"/>
    <n v="16"/>
    <n v="150000"/>
    <n v="17000000"/>
    <n v="8.8235294117647058E-3"/>
    <n v="16"/>
  </r>
  <r>
    <s v="MCS2026"/>
    <x v="31"/>
    <x v="20"/>
    <s v="Mine production, molybdenum content"/>
    <s v="ton"/>
    <n v="41900"/>
    <n v="39000"/>
    <n v="260000"/>
    <n v="0.15"/>
    <n v="4"/>
    <n v="1000000"/>
    <n v="17000000"/>
    <n v="5.8823529411764705E-2"/>
    <n v="5"/>
  </r>
  <r>
    <s v="MCS2026"/>
    <x v="31"/>
    <x v="13"/>
    <s v="Mine production, molybdenum content"/>
    <s v="ton"/>
    <n v="1500"/>
    <n v="1300"/>
    <n v="260000"/>
    <n v="5.0000000000000001E-3"/>
    <n v="12"/>
    <n v="1100000"/>
    <n v="17000000"/>
    <n v="6.4705882352941183E-2"/>
    <n v="4"/>
  </r>
  <r>
    <s v="MCS2026"/>
    <x v="31"/>
    <x v="38"/>
    <s v="Mine production, molybdenum content"/>
    <s v="ton"/>
    <n v="340"/>
    <n v="500"/>
    <n v="260000"/>
    <n v="1.9230769230769232E-3"/>
    <n v="15"/>
    <n v="8000"/>
    <n v="17000000"/>
    <n v="4.7058823529411766E-4"/>
    <n v="14"/>
  </r>
  <r>
    <s v="MCS2026"/>
    <x v="31"/>
    <x v="15"/>
    <s v="Mine production, molybdenum content"/>
    <s v="ton"/>
    <n v="34000"/>
    <n v="40000"/>
    <n v="260000"/>
    <n v="0.15384615384615385"/>
    <n v="3"/>
    <n v="3500000"/>
    <n v="17000000"/>
    <n v="0.20588235294117646"/>
    <n v="2"/>
  </r>
  <r>
    <s v="MCS2026"/>
    <x v="31"/>
    <x v="47"/>
    <s v="Mine production, molybdenum content"/>
    <s v="ton"/>
    <n v="2100"/>
    <n v="2000"/>
    <n v="260000"/>
    <n v="7.6923076923076927E-3"/>
    <n v="11"/>
    <n v="21000"/>
    <n v="17000000"/>
    <n v="1.2352941176470588E-3"/>
    <n v="12"/>
  </r>
  <r>
    <s v="MCS2026"/>
    <x v="32"/>
    <x v="0"/>
    <s v="Mine production, nickel content"/>
    <s v="ton"/>
    <n v="98000"/>
    <n v="45000"/>
    <n v="3900000"/>
    <n v="1.1538461538461539E-2"/>
    <n v="8"/>
    <n v="25000000"/>
    <n v="140000000"/>
    <n v="0.17857142857142858"/>
    <n v="2"/>
  </r>
  <r>
    <s v="MCS2026"/>
    <x v="32"/>
    <x v="21"/>
    <s v="Mine production, nickel content"/>
    <s v="ton"/>
    <n v="67500"/>
    <n v="70000"/>
    <n v="3900000"/>
    <n v="1.7948717948717947E-2"/>
    <n v="7"/>
    <n v="16000000"/>
    <n v="140000000"/>
    <n v="0.11428571428571428"/>
    <n v="3"/>
  </r>
  <r>
    <s v="MCS2026"/>
    <x v="32"/>
    <x v="2"/>
    <s v="Mine production, nickel content"/>
    <s v="ton"/>
    <n v="125000"/>
    <n v="140000"/>
    <n v="3900000"/>
    <n v="3.5897435897435895E-2"/>
    <n v="4"/>
    <n v="2200000"/>
    <n v="140000000"/>
    <n v="1.5714285714285715E-2"/>
    <n v="8"/>
  </r>
  <r>
    <s v="MCS2026"/>
    <x v="32"/>
    <x v="3"/>
    <s v="Mine production, nickel content"/>
    <s v="ton"/>
    <n v="115000"/>
    <n v="120000"/>
    <n v="3900000"/>
    <n v="3.0769230769230771E-2"/>
    <n v="6"/>
    <n v="4400000"/>
    <n v="140000000"/>
    <n v="3.1428571428571431E-2"/>
    <n v="7"/>
  </r>
  <r>
    <s v="MCS2026"/>
    <x v="32"/>
    <x v="27"/>
    <s v="Mine production, nickel content"/>
    <s v="ton"/>
    <n v="2310000"/>
    <n v="2600000"/>
    <n v="3900000"/>
    <n v="0.66666666666666663"/>
    <n v="1"/>
    <n v="62000000"/>
    <n v="140000000"/>
    <n v="0.44285714285714284"/>
    <n v="1"/>
  </r>
  <r>
    <s v="MCS2026"/>
    <x v="32"/>
    <x v="82"/>
    <s v="Mine production, nickel content"/>
    <s v="ton"/>
    <n v="116000"/>
    <n v="140000"/>
    <n v="3900000"/>
    <n v="3.5897435897435895E-2"/>
    <n v="4"/>
    <n v="7100000"/>
    <n v="140000000"/>
    <n v="5.0714285714285712E-2"/>
    <n v="5"/>
  </r>
  <r>
    <s v="MCS2026"/>
    <x v="32"/>
    <x v="23"/>
    <s v="Mine production, nickel content"/>
    <s v="ton"/>
    <n v="308000"/>
    <n v="290000"/>
    <n v="3900000"/>
    <n v="7.4358974358974358E-2"/>
    <n v="10"/>
    <n v="9100000"/>
    <n v="140000000"/>
    <n v="6.5000000000000002E-2"/>
    <n v="10"/>
  </r>
  <r>
    <s v="MCS2026"/>
    <x v="32"/>
    <x v="54"/>
    <s v="Mine production, nickel content"/>
    <s v="ton"/>
    <n v="354000"/>
    <n v="270000"/>
    <n v="3900000"/>
    <n v="6.9230769230769235E-2"/>
    <n v="2"/>
    <n v="4800000"/>
    <n v="140000000"/>
    <n v="3.4285714285714287E-2"/>
    <n v="6"/>
  </r>
  <r>
    <s v="MCS2026"/>
    <x v="32"/>
    <x v="13"/>
    <s v="Mine production, nickel content"/>
    <s v="ton"/>
    <n v="205000"/>
    <n v="200000"/>
    <n v="3900000"/>
    <n v="5.128205128205128E-2"/>
    <n v="3"/>
    <n v="8300000"/>
    <n v="140000000"/>
    <n v="5.9285714285714289E-2"/>
    <n v="4"/>
  </r>
  <r>
    <s v="MCS2026"/>
    <x v="32"/>
    <x v="15"/>
    <s v="Mine production, nickel content"/>
    <s v="ton"/>
    <n v="7490"/>
    <n v="10000"/>
    <n v="3900000"/>
    <n v="2.5641025641025641E-3"/>
    <n v="9"/>
    <n v="340000"/>
    <n v="140000000"/>
    <n v="2.4285714285714284E-3"/>
    <n v="9"/>
  </r>
  <r>
    <s v="MCS2026"/>
    <x v="33"/>
    <x v="21"/>
    <s v="Mine production, niobium content"/>
    <s v="ton"/>
    <n v="104000"/>
    <n v="104000"/>
    <n v="120000"/>
    <n v="0.8666666666666667"/>
    <n v="1"/>
    <n v="14000000"/>
    <n v="21000000"/>
    <n v="0.66666666666666663"/>
    <n v="1"/>
  </r>
  <r>
    <s v="MCS2026"/>
    <x v="33"/>
    <x v="2"/>
    <s v="Mine production, niobium content"/>
    <s v="ton"/>
    <n v="6900"/>
    <n v="6000"/>
    <n v="120000"/>
    <n v="0.05"/>
    <n v="2"/>
    <n v="640000"/>
    <n v="21000000"/>
    <n v="3.0476190476190476E-2"/>
    <n v="3"/>
  </r>
  <r>
    <s v="MCS2026"/>
    <x v="33"/>
    <x v="3"/>
    <s v="Mine production, niobium content"/>
    <s v="ton"/>
    <n v="44"/>
    <n v="40"/>
    <n v="120000"/>
    <n v="3.3333333333333332E-4"/>
    <n v="6"/>
    <n v="6500000"/>
    <n v="21000000"/>
    <n v="0.30952380952380953"/>
    <n v="2"/>
  </r>
  <r>
    <s v="MCS2026"/>
    <x v="33"/>
    <x v="52"/>
    <s v="Mine production, niobium content"/>
    <s v="ton"/>
    <n v="930"/>
    <n v="970"/>
    <n v="120000"/>
    <n v="8.083333333333333E-3"/>
    <n v="3"/>
    <n v="0"/>
    <n v="21000000"/>
    <n v="0"/>
    <s v="-"/>
  </r>
  <r>
    <s v="MCS2026"/>
    <x v="33"/>
    <x v="23"/>
    <s v="Mine production, niobium content"/>
    <s v="ton"/>
    <n v="160"/>
    <n v="120"/>
    <n v="120000"/>
    <n v="1E-3"/>
    <n v="8"/>
    <n v="0"/>
    <n v="21000000"/>
    <n v="0"/>
    <n v="8"/>
  </r>
  <r>
    <s v="MCS2026"/>
    <x v="33"/>
    <x v="13"/>
    <s v="Mine production, niobium content"/>
    <s v="ton"/>
    <n v="300"/>
    <n v="300"/>
    <n v="120000"/>
    <n v="2.5000000000000001E-3"/>
    <n v="4"/>
    <n v="3000"/>
    <n v="21000000"/>
    <n v="1.4285714285714287E-4"/>
    <n v="5"/>
  </r>
  <r>
    <s v="MCS2026"/>
    <x v="33"/>
    <x v="36"/>
    <s v="Mine production, niobium content"/>
    <s v="ton"/>
    <n v="210"/>
    <n v="200"/>
    <n v="120000"/>
    <n v="1.6666666666666668E-3"/>
    <n v="5"/>
    <n v="0"/>
    <n v="21000000"/>
    <n v="0"/>
    <s v="-"/>
  </r>
  <r>
    <s v="MCS2026"/>
    <x v="33"/>
    <x v="15"/>
    <s v="Mine production, niobium content"/>
    <s v="ton"/>
    <n v="0"/>
    <n v="0"/>
    <n v="120000"/>
    <n v="0"/>
    <s v="-"/>
    <n v="210000"/>
    <n v="21000000"/>
    <n v="0.01"/>
    <n v="4"/>
  </r>
  <r>
    <s v="MCS2026"/>
    <x v="34"/>
    <x v="68"/>
    <s v="Plant production, nitrogen content"/>
    <s v="k ton"/>
    <n v="2000"/>
    <n v="2000"/>
    <n v="160000"/>
    <n v="1.2500000000000001E-2"/>
    <n v="13"/>
    <n v="0"/>
    <n v="0"/>
    <s v="-"/>
    <s v="-"/>
  </r>
  <r>
    <s v="MCS2026"/>
    <x v="34"/>
    <x v="0"/>
    <s v="Plant production, nitrogen content"/>
    <s v="k ton"/>
    <n v="1500"/>
    <n v="1500"/>
    <n v="160000"/>
    <n v="9.3749999999999997E-3"/>
    <n v="19"/>
    <n v="0"/>
    <n v="0"/>
    <s v="-"/>
    <s v="-"/>
  </r>
  <r>
    <s v="MCS2026"/>
    <x v="34"/>
    <x v="2"/>
    <s v="Plant production, nitrogen content"/>
    <s v="k ton"/>
    <n v="3800"/>
    <n v="3800"/>
    <n v="160000"/>
    <n v="2.375E-2"/>
    <n v="9"/>
    <n v="0"/>
    <n v="0"/>
    <s v="-"/>
    <s v="-"/>
  </r>
  <r>
    <s v="MCS2026"/>
    <x v="34"/>
    <x v="3"/>
    <s v="Plant production, nitrogen content"/>
    <s v="k ton"/>
    <n v="49000"/>
    <n v="49000"/>
    <n v="160000"/>
    <n v="0.30625000000000002"/>
    <n v="1"/>
    <n v="0"/>
    <n v="0"/>
    <s v="-"/>
    <s v="-"/>
  </r>
  <r>
    <s v="MCS2026"/>
    <x v="34"/>
    <x v="83"/>
    <s v="Plant production, nitrogen content"/>
    <s v="k ton"/>
    <n v="3900"/>
    <n v="4000"/>
    <n v="160000"/>
    <n v="2.5000000000000001E-2"/>
    <n v="8"/>
    <n v="0"/>
    <n v="0"/>
    <s v="-"/>
    <s v="-"/>
  </r>
  <r>
    <s v="MCS2026"/>
    <x v="34"/>
    <x v="24"/>
    <s v="Plant production, nitrogen content"/>
    <s v="k ton"/>
    <n v="2220"/>
    <n v="2000"/>
    <n v="160000"/>
    <n v="1.2500000000000001E-2"/>
    <n v="13"/>
    <n v="0"/>
    <n v="0"/>
    <s v="-"/>
    <s v="-"/>
  </r>
  <r>
    <s v="MCS2026"/>
    <x v="34"/>
    <x v="22"/>
    <s v="Plant production, nitrogen content"/>
    <s v="k ton"/>
    <n v="15000"/>
    <n v="15000"/>
    <n v="160000"/>
    <n v="9.375E-2"/>
    <n v="2"/>
    <n v="0"/>
    <n v="0"/>
    <s v="-"/>
    <s v="-"/>
  </r>
  <r>
    <s v="MCS2026"/>
    <x v="34"/>
    <x v="27"/>
    <s v="Plant production, nitrogen content"/>
    <s v="k ton"/>
    <n v="5700"/>
    <n v="6000"/>
    <n v="160000"/>
    <n v="3.7499999999999999E-2"/>
    <n v="5"/>
    <n v="0"/>
    <n v="0"/>
    <s v="-"/>
    <s v="-"/>
  </r>
  <r>
    <s v="MCS2026"/>
    <x v="34"/>
    <x v="5"/>
    <s v="Plant production, nitrogen content"/>
    <s v="k ton"/>
    <n v="4800"/>
    <n v="4800"/>
    <n v="160000"/>
    <n v="0.03"/>
    <n v="7"/>
    <n v="0"/>
    <n v="0"/>
    <s v="-"/>
    <s v="-"/>
  </r>
  <r>
    <s v="MCS2026"/>
    <x v="34"/>
    <x v="74"/>
    <s v="Plant production, nitrogen content"/>
    <s v="k ton"/>
    <n v="1500"/>
    <n v="1500"/>
    <n v="160000"/>
    <n v="9.3749999999999997E-3"/>
    <n v="19"/>
    <n v="0"/>
    <n v="0"/>
    <s v="-"/>
    <s v="-"/>
  </r>
  <r>
    <s v="MCS2026"/>
    <x v="34"/>
    <x v="44"/>
    <s v="Plant production, nitrogen content"/>
    <s v="k ton"/>
    <n v="2100"/>
    <n v="2000"/>
    <n v="160000"/>
    <n v="1.2500000000000001E-2"/>
    <n v="13"/>
    <n v="0"/>
    <n v="0"/>
    <s v="-"/>
    <s v="-"/>
  </r>
  <r>
    <s v="MCS2026"/>
    <x v="34"/>
    <x v="35"/>
    <s v="Plant production, nitrogen content"/>
    <s v="k ton"/>
    <n v="2000"/>
    <n v="2000"/>
    <n v="160000"/>
    <n v="1.2500000000000001E-2"/>
    <n v="13"/>
    <n v="0"/>
    <n v="0"/>
    <s v="-"/>
    <s v="-"/>
  </r>
  <r>
    <s v="MCS2026"/>
    <x v="34"/>
    <x v="69"/>
    <s v="Plant production, nitrogen content"/>
    <s v="k ton"/>
    <n v="2000"/>
    <n v="2000"/>
    <n v="160000"/>
    <n v="1.2500000000000001E-2"/>
    <n v="13"/>
    <n v="0"/>
    <n v="0"/>
    <s v="-"/>
    <s v="-"/>
  </r>
  <r>
    <s v="MCS2026"/>
    <x v="34"/>
    <x v="23"/>
    <s v="Plant production, nitrogen content"/>
    <s v="k ton"/>
    <n v="12200"/>
    <n v="12000"/>
    <n v="160000"/>
    <n v="7.4999999999999997E-2"/>
    <n v="23"/>
    <n v="0"/>
    <n v="0"/>
    <s v="-"/>
    <n v="23"/>
  </r>
  <r>
    <s v="MCS2026"/>
    <x v="34"/>
    <x v="11"/>
    <s v="Plant production, nitrogen content"/>
    <s v="k ton"/>
    <n v="3800"/>
    <n v="3800"/>
    <n v="160000"/>
    <n v="2.375E-2"/>
    <n v="9"/>
    <n v="0"/>
    <n v="0"/>
    <s v="-"/>
    <s v="-"/>
  </r>
  <r>
    <s v="MCS2026"/>
    <x v="34"/>
    <x v="46"/>
    <s v="Plant production, nitrogen content"/>
    <s v="k ton"/>
    <n v="1700"/>
    <n v="1700"/>
    <n v="160000"/>
    <n v="1.0625000000000001E-2"/>
    <n v="18"/>
    <n v="0"/>
    <n v="0"/>
    <s v="-"/>
    <s v="-"/>
  </r>
  <r>
    <s v="MCS2026"/>
    <x v="34"/>
    <x v="84"/>
    <s v="Plant production, nitrogen content"/>
    <s v="k ton"/>
    <n v="3040"/>
    <n v="3000"/>
    <n v="160000"/>
    <n v="1.8749999999999999E-2"/>
    <n v="12"/>
    <n v="0"/>
    <n v="0"/>
    <s v="-"/>
    <s v="-"/>
  </r>
  <r>
    <s v="MCS2026"/>
    <x v="34"/>
    <x v="13"/>
    <s v="Plant production, nitrogen content"/>
    <s v="k ton"/>
    <n v="15000"/>
    <n v="15000"/>
    <n v="160000"/>
    <n v="9.375E-2"/>
    <n v="2"/>
    <n v="0"/>
    <n v="0"/>
    <s v="-"/>
    <s v="-"/>
  </r>
  <r>
    <s v="MCS2026"/>
    <x v="34"/>
    <x v="30"/>
    <s v="Plant production, nitrogen content"/>
    <s v="k ton"/>
    <n v="5200"/>
    <n v="5200"/>
    <n v="160000"/>
    <n v="3.2500000000000001E-2"/>
    <n v="6"/>
    <n v="0"/>
    <n v="0"/>
    <s v="-"/>
    <s v="-"/>
  </r>
  <r>
    <s v="MCS2026"/>
    <x v="34"/>
    <x v="85"/>
    <s v="Plant production, nitrogen content"/>
    <s v="k ton"/>
    <n v="3350"/>
    <n v="3300"/>
    <n v="160000"/>
    <n v="2.0625000000000001E-2"/>
    <n v="11"/>
    <n v="0"/>
    <n v="0"/>
    <s v="-"/>
    <s v="-"/>
  </r>
  <r>
    <s v="MCS2026"/>
    <x v="34"/>
    <x v="15"/>
    <s v="Plant production, nitrogen content"/>
    <s v="k ton"/>
    <n v="13600"/>
    <n v="14000"/>
    <n v="160000"/>
    <n v="8.7499999999999994E-2"/>
    <n v="4"/>
    <n v="0"/>
    <n v="0"/>
    <s v="-"/>
    <s v="-"/>
  </r>
  <r>
    <s v="MCS2026"/>
    <x v="34"/>
    <x v="47"/>
    <s v="Plant production, nitrogen content"/>
    <s v="k ton"/>
    <n v="1200"/>
    <n v="1300"/>
    <n v="160000"/>
    <n v="8.1250000000000003E-3"/>
    <n v="22"/>
    <n v="0"/>
    <n v="0"/>
    <s v="-"/>
    <s v="-"/>
  </r>
  <r>
    <s v="MCS2026"/>
    <x v="34"/>
    <x v="16"/>
    <s v="Plant production, nitrogen content"/>
    <s v="k ton"/>
    <n v="1440"/>
    <n v="1400"/>
    <n v="160000"/>
    <n v="8.7500000000000008E-3"/>
    <n v="21"/>
    <n v="0"/>
    <n v="0"/>
    <s v="-"/>
    <s v="-"/>
  </r>
  <r>
    <s v="MCS2026"/>
    <x v="35"/>
    <x v="2"/>
    <s v="Mine production, Palladium content"/>
    <s v="kg"/>
    <n v="17000"/>
    <n v="16000"/>
    <n v="190000"/>
    <n v="8.4210526315789472E-2"/>
    <n v="3"/>
    <n v="310000"/>
    <n v="76000000"/>
    <n v="4.0789473684210526E-3"/>
    <n v="5"/>
  </r>
  <r>
    <s v="MCS2026"/>
    <x v="35"/>
    <x v="23"/>
    <s v="Mine production, Palladium content"/>
    <s v="kg"/>
    <n v="2897"/>
    <n v="2900"/>
    <n v="190000"/>
    <n v="1.5263157894736841E-2"/>
    <n v="6"/>
    <n v="0"/>
    <n v="76000000"/>
    <n v="0"/>
    <n v="6"/>
  </r>
  <r>
    <s v="MCS2026"/>
    <x v="35"/>
    <x v="13"/>
    <s v="Mine production, Palladium content"/>
    <s v="kg"/>
    <n v="89000"/>
    <n v="84000"/>
    <n v="190000"/>
    <n v="0.44210526315789472"/>
    <n v="1"/>
    <n v="11000000"/>
    <n v="76000000"/>
    <n v="0.14473684210526316"/>
    <n v="2"/>
  </r>
  <r>
    <s v="MCS2026"/>
    <x v="35"/>
    <x v="49"/>
    <s v="Mine production, Palladium content"/>
    <s v="kg"/>
    <n v="82600"/>
    <n v="70000"/>
    <n v="190000"/>
    <n v="0.36842105263157893"/>
    <n v="2"/>
    <n v="63000000"/>
    <n v="76000000"/>
    <n v="0.82894736842105265"/>
    <n v="1"/>
  </r>
  <r>
    <s v="MCS2026"/>
    <x v="35"/>
    <x v="15"/>
    <s v="Mine production, Palladium content"/>
    <s v="kg"/>
    <n v="10200"/>
    <n v="6200"/>
    <n v="190000"/>
    <n v="3.2631578947368421E-2"/>
    <n v="5"/>
    <n v="590000"/>
    <n v="76000000"/>
    <n v="7.7631578947368425E-3"/>
    <n v="4"/>
  </r>
  <r>
    <s v="MCS2026"/>
    <x v="35"/>
    <x v="50"/>
    <s v="Mine production, Palladium content"/>
    <s v="kg"/>
    <n v="15200"/>
    <n v="15000"/>
    <n v="190000"/>
    <n v="7.8947368421052627E-2"/>
    <n v="4"/>
    <n v="1300000"/>
    <n v="76000000"/>
    <n v="1.7105263157894738E-2"/>
    <n v="3"/>
  </r>
  <r>
    <s v="MCS2026"/>
    <x v="36"/>
    <x v="39"/>
    <s v="Mine production, estimated"/>
    <s v="k ton"/>
    <n v="32"/>
    <n v="30"/>
    <n v="4600"/>
    <n v="6.5217391304347823E-3"/>
    <n v="9"/>
    <n v="0"/>
    <n v="0"/>
    <s v="-"/>
    <s v="-"/>
  </r>
  <r>
    <s v="MCS2026"/>
    <x v="36"/>
    <x v="81"/>
    <s v="Mine production, estimated"/>
    <s v="k ton"/>
    <n v="29"/>
    <n v="30"/>
    <n v="4600"/>
    <n v="6.5217391304347823E-3"/>
    <n v="9"/>
    <n v="0"/>
    <n v="0"/>
    <s v="-"/>
    <s v="-"/>
  </r>
  <r>
    <s v="MCS2026"/>
    <x v="36"/>
    <x v="3"/>
    <s v="Mine production, estimated"/>
    <s v="k ton"/>
    <n v="1500"/>
    <n v="1500"/>
    <n v="4600"/>
    <n v="0.32608695652173914"/>
    <n v="1"/>
    <n v="32000"/>
    <n v="0"/>
    <s v="-"/>
    <n v="3"/>
  </r>
  <r>
    <s v="MCS2026"/>
    <x v="36"/>
    <x v="86"/>
    <s v="Mine production, estimated"/>
    <s v="k ton"/>
    <n v="39"/>
    <n v="40"/>
    <n v="4600"/>
    <n v="8.6956521739130436E-3"/>
    <n v="7"/>
    <n v="0"/>
    <n v="0"/>
    <s v="-"/>
    <s v="-"/>
  </r>
  <r>
    <s v="MCS2026"/>
    <x v="36"/>
    <x v="25"/>
    <s v="Mine production, estimated"/>
    <s v="k ton"/>
    <n v="840"/>
    <n v="840"/>
    <n v="4600"/>
    <n v="0.18260869565217391"/>
    <n v="3"/>
    <n v="180000"/>
    <n v="0"/>
    <s v="-"/>
    <n v="1"/>
  </r>
  <r>
    <s v="MCS2026"/>
    <x v="36"/>
    <x v="87"/>
    <s v="Mine production, estimated"/>
    <s v="k ton"/>
    <n v="77"/>
    <n v="80"/>
    <n v="4600"/>
    <n v="1.7391304347826087E-2"/>
    <n v="5"/>
    <n v="0"/>
    <n v="0"/>
    <s v="-"/>
    <s v="-"/>
  </r>
  <r>
    <s v="MCS2026"/>
    <x v="36"/>
    <x v="5"/>
    <s v="Mine production, estimated"/>
    <s v="k ton"/>
    <n v="70"/>
    <n v="70"/>
    <n v="4600"/>
    <n v="1.5217391304347827E-2"/>
    <n v="6"/>
    <n v="15000"/>
    <n v="0"/>
    <s v="-"/>
    <n v="5"/>
  </r>
  <r>
    <s v="MCS2026"/>
    <x v="36"/>
    <x v="9"/>
    <s v="Mine production, estimated"/>
    <s v="k ton"/>
    <n v="29"/>
    <n v="30"/>
    <n v="4600"/>
    <n v="6.5217391304347823E-3"/>
    <n v="9"/>
    <n v="0"/>
    <n v="0"/>
    <s v="-"/>
    <s v="-"/>
  </r>
  <r>
    <s v="MCS2026"/>
    <x v="36"/>
    <x v="58"/>
    <s v="Mine production, estimated"/>
    <s v="k ton"/>
    <n v="18"/>
    <n v="20"/>
    <n v="4600"/>
    <n v="4.3478260869565218E-3"/>
    <n v="12"/>
    <n v="0"/>
    <n v="0"/>
    <s v="-"/>
    <s v="-"/>
  </r>
  <r>
    <s v="MCS2026"/>
    <x v="36"/>
    <x v="23"/>
    <s v="Mine production, estimated"/>
    <s v="k ton"/>
    <n v="12"/>
    <n v="10"/>
    <n v="4600"/>
    <n v="2.1739130434782609E-3"/>
    <n v="15"/>
    <n v="0"/>
    <n v="0"/>
    <s v="-"/>
    <n v="15"/>
  </r>
  <r>
    <s v="MCS2026"/>
    <x v="36"/>
    <x v="54"/>
    <s v="Mine production, estimated"/>
    <s v="k ton"/>
    <n v="15"/>
    <n v="20"/>
    <n v="4600"/>
    <n v="4.3478260869565218E-3"/>
    <n v="12"/>
    <n v="0"/>
    <n v="0"/>
    <s v="-"/>
    <s v="-"/>
  </r>
  <r>
    <s v="MCS2026"/>
    <x v="36"/>
    <x v="12"/>
    <s v="Mine production, estimated"/>
    <s v="k ton"/>
    <n v="1360"/>
    <n v="1400"/>
    <n v="4600"/>
    <n v="0.30434782608695654"/>
    <n v="2"/>
    <n v="0"/>
    <n v="0"/>
    <s v="-"/>
    <s v="-"/>
  </r>
  <r>
    <s v="MCS2026"/>
    <x v="36"/>
    <x v="78"/>
    <s v="Mine production, estimated"/>
    <s v="k ton"/>
    <n v="42"/>
    <n v="40"/>
    <n v="4600"/>
    <n v="8.6956521739130436E-3"/>
    <n v="7"/>
    <n v="30000"/>
    <n v="0"/>
    <s v="-"/>
    <n v="4"/>
  </r>
  <r>
    <s v="MCS2026"/>
    <x v="36"/>
    <x v="49"/>
    <s v="Mine production, estimated"/>
    <s v="k ton"/>
    <n v="11"/>
    <n v="10"/>
    <n v="4600"/>
    <n v="2.1739130434782609E-3"/>
    <n v="14"/>
    <n v="0"/>
    <n v="0"/>
    <s v="-"/>
    <s v="-"/>
  </r>
  <r>
    <s v="MCS2026"/>
    <x v="36"/>
    <x v="15"/>
    <s v="Mine production, estimated"/>
    <s v="k ton"/>
    <n v="452"/>
    <n v="460"/>
    <n v="4600"/>
    <n v="0.1"/>
    <n v="4"/>
    <n v="50000"/>
    <n v="0"/>
    <s v="-"/>
    <n v="2"/>
  </r>
  <r>
    <s v="MCS2026"/>
    <x v="37"/>
    <x v="68"/>
    <s v="Mine production, marketable phosphate rock"/>
    <s v="k ton"/>
    <n v="2000"/>
    <n v="2000"/>
    <n v="250000"/>
    <n v="8.0000000000000002E-3"/>
    <n v="16"/>
    <n v="2200000"/>
    <n v="73000000"/>
    <n v="3.0136986301369864E-2"/>
    <n v="6"/>
  </r>
  <r>
    <s v="MCS2026"/>
    <x v="37"/>
    <x v="0"/>
    <s v="Mine production, marketable phosphate rock"/>
    <s v="k ton"/>
    <n v="2500"/>
    <n v="2500"/>
    <n v="250000"/>
    <n v="0.01"/>
    <n v="13"/>
    <n v="800000"/>
    <n v="73000000"/>
    <n v="1.0958904109589041E-2"/>
    <n v="13"/>
  </r>
  <r>
    <s v="MCS2026"/>
    <x v="37"/>
    <x v="21"/>
    <s v="Mine production, marketable phosphate rock"/>
    <s v="k ton"/>
    <n v="5300"/>
    <n v="5000"/>
    <n v="250000"/>
    <n v="0.02"/>
    <n v="8"/>
    <n v="1600000"/>
    <n v="73000000"/>
    <n v="2.1917808219178082E-2"/>
    <n v="7"/>
  </r>
  <r>
    <s v="MCS2026"/>
    <x v="37"/>
    <x v="3"/>
    <s v="Mine production, marketable phosphate rock"/>
    <s v="k ton"/>
    <n v="105000"/>
    <n v="110000"/>
    <n v="250000"/>
    <n v="0.44"/>
    <n v="1"/>
    <n v="3400000"/>
    <n v="73000000"/>
    <n v="4.6575342465753428E-2"/>
    <n v="2"/>
  </r>
  <r>
    <s v="MCS2026"/>
    <x v="37"/>
    <x v="83"/>
    <s v="Mine production, marketable phosphate rock"/>
    <s v="k ton"/>
    <n v="5300"/>
    <n v="5500"/>
    <n v="250000"/>
    <n v="2.1999999999999999E-2"/>
    <n v="7"/>
    <n v="2800000"/>
    <n v="73000000"/>
    <n v="3.8356164383561646E-2"/>
    <n v="3"/>
  </r>
  <r>
    <s v="MCS2026"/>
    <x v="37"/>
    <x v="48"/>
    <s v="Mine production, marketable phosphate rock"/>
    <s v="k ton"/>
    <n v="974"/>
    <n v="980"/>
    <n v="250000"/>
    <n v="3.9199999999999999E-3"/>
    <n v="21"/>
    <n v="1000000"/>
    <n v="73000000"/>
    <n v="1.3698630136986301E-2"/>
    <n v="9"/>
  </r>
  <r>
    <s v="MCS2026"/>
    <x v="37"/>
    <x v="22"/>
    <s v="Mine production, marketable phosphate rock"/>
    <s v="k ton"/>
    <n v="1700"/>
    <n v="1500"/>
    <n v="250000"/>
    <n v="6.0000000000000001E-3"/>
    <n v="19"/>
    <n v="31000"/>
    <n v="73000000"/>
    <n v="4.2465753424657536E-4"/>
    <n v="21"/>
  </r>
  <r>
    <s v="MCS2026"/>
    <x v="37"/>
    <x v="41"/>
    <s v="Mine production, marketable phosphate rock"/>
    <s v="k ton"/>
    <n v="2380"/>
    <n v="2400"/>
    <n v="250000"/>
    <n v="9.5999999999999992E-3"/>
    <n v="14"/>
    <n v="60000"/>
    <n v="73000000"/>
    <n v="8.2191780821917813E-4"/>
    <n v="19"/>
  </r>
  <r>
    <s v="MCS2026"/>
    <x v="37"/>
    <x v="42"/>
    <s v="Mine production, marketable phosphate rock"/>
    <s v="k ton"/>
    <n v="11500"/>
    <n v="12000"/>
    <n v="250000"/>
    <n v="4.8000000000000001E-2"/>
    <n v="5"/>
    <n v="820000"/>
    <n v="73000000"/>
    <n v="1.1232876712328766E-2"/>
    <n v="12"/>
  </r>
  <r>
    <s v="MCS2026"/>
    <x v="37"/>
    <x v="6"/>
    <s v="Mine production, marketable phosphate rock"/>
    <s v="k ton"/>
    <n v="1700"/>
    <n v="1900"/>
    <n v="250000"/>
    <n v="7.6E-3"/>
    <n v="17"/>
    <n v="260000"/>
    <n v="73000000"/>
    <n v="3.5616438356164382E-3"/>
    <n v="14"/>
  </r>
  <r>
    <s v="MCS2026"/>
    <x v="37"/>
    <x v="9"/>
    <s v="Mine production, marketable phosphate rock"/>
    <s v="k ton"/>
    <n v="365"/>
    <n v="450"/>
    <n v="250000"/>
    <n v="1.8E-3"/>
    <n v="24"/>
    <n v="30000"/>
    <n v="73000000"/>
    <n v="4.1095890410958907E-4"/>
    <n v="22"/>
  </r>
  <r>
    <s v="MCS2026"/>
    <x v="37"/>
    <x v="19"/>
    <s v="Mine production, marketable phosphate rock"/>
    <s v="k ton"/>
    <n v="35300"/>
    <n v="36000"/>
    <n v="250000"/>
    <n v="0.14399999999999999"/>
    <n v="2"/>
    <n v="50000000"/>
    <n v="73000000"/>
    <n v="0.68493150684931503"/>
    <n v="1"/>
  </r>
  <r>
    <s v="MCS2026"/>
    <x v="37"/>
    <x v="23"/>
    <s v="Mine production, marketable phosphate rock"/>
    <s v="k ton"/>
    <n v="769"/>
    <n v="770"/>
    <n v="250000"/>
    <n v="3.0799999999999998E-3"/>
    <n v="25"/>
    <n v="800000"/>
    <n v="73000000"/>
    <n v="1.0958904109589041E-2"/>
    <n v="25"/>
  </r>
  <r>
    <s v="MCS2026"/>
    <x v="37"/>
    <x v="20"/>
    <s v="Mine production, marketable phosphate rock"/>
    <s v="k ton"/>
    <n v="4800"/>
    <n v="4800"/>
    <n v="250000"/>
    <n v="1.9199999999999998E-2"/>
    <n v="9"/>
    <n v="210000"/>
    <n v="73000000"/>
    <n v="2.8767123287671234E-3"/>
    <n v="16"/>
  </r>
  <r>
    <s v="MCS2026"/>
    <x v="37"/>
    <x v="12"/>
    <s v="Mine production, marketable phosphate rock"/>
    <s v="k ton"/>
    <n v="1220"/>
    <n v="1200"/>
    <n v="250000"/>
    <n v="4.7999999999999996E-3"/>
    <n v="20"/>
    <n v="71000"/>
    <n v="73000000"/>
    <n v="9.7260273972602743E-4"/>
    <n v="18"/>
  </r>
  <r>
    <s v="MCS2026"/>
    <x v="37"/>
    <x v="13"/>
    <s v="Mine production, marketable phosphate rock"/>
    <s v="k ton"/>
    <n v="14400"/>
    <n v="14000"/>
    <n v="250000"/>
    <n v="5.6000000000000001E-2"/>
    <n v="4"/>
    <n v="2400000"/>
    <n v="73000000"/>
    <n v="3.287671232876712E-2"/>
    <n v="5"/>
  </r>
  <r>
    <s v="MCS2026"/>
    <x v="37"/>
    <x v="30"/>
    <s v="Mine production, marketable phosphate rock"/>
    <s v="k ton"/>
    <n v="10000"/>
    <n v="10000"/>
    <n v="250000"/>
    <n v="0.04"/>
    <n v="6"/>
    <n v="1000000"/>
    <n v="73000000"/>
    <n v="1.3698630136986301E-2"/>
    <n v="9"/>
  </r>
  <r>
    <s v="MCS2026"/>
    <x v="37"/>
    <x v="88"/>
    <s v="Mine production, marketable phosphate rock"/>
    <s v="k ton"/>
    <n v="2800"/>
    <n v="2800"/>
    <n v="250000"/>
    <n v="1.12E-2"/>
    <n v="12"/>
    <n v="50000"/>
    <n v="73000000"/>
    <n v="6.8493150684931507E-4"/>
    <n v="20"/>
  </r>
  <r>
    <s v="MCS2026"/>
    <x v="37"/>
    <x v="49"/>
    <s v="Mine production, marketable phosphate rock"/>
    <s v="k ton"/>
    <n v="2220"/>
    <n v="2200"/>
    <n v="250000"/>
    <n v="8.8000000000000005E-3"/>
    <n v="15"/>
    <n v="1500000"/>
    <n v="73000000"/>
    <n v="2.0547945205479451E-2"/>
    <n v="8"/>
  </r>
  <r>
    <s v="MCS2026"/>
    <x v="37"/>
    <x v="89"/>
    <s v="Mine production, marketable phosphate rock"/>
    <s v="k ton"/>
    <n v="800"/>
    <n v="800"/>
    <n v="250000"/>
    <n v="3.2000000000000002E-3"/>
    <n v="23"/>
    <n v="250000"/>
    <n v="73000000"/>
    <n v="3.4246575342465752E-3"/>
    <n v="15"/>
  </r>
  <r>
    <s v="MCS2026"/>
    <x v="37"/>
    <x v="90"/>
    <s v="Mine production, marketable phosphate rock"/>
    <s v="k ton"/>
    <n v="1560"/>
    <n v="1600"/>
    <n v="250000"/>
    <n v="6.4000000000000003E-3"/>
    <n v="18"/>
    <n v="30000"/>
    <n v="73000000"/>
    <n v="4.1095890410958907E-4"/>
    <n v="22"/>
  </r>
  <r>
    <s v="MCS2026"/>
    <x v="37"/>
    <x v="91"/>
    <s v="Mine production, marketable phosphate rock"/>
    <s v="k ton"/>
    <n v="3280"/>
    <n v="3300"/>
    <n v="250000"/>
    <n v="1.32E-2"/>
    <n v="10"/>
    <n v="2500000"/>
    <n v="73000000"/>
    <n v="3.4246575342465752E-2"/>
    <n v="4"/>
  </r>
  <r>
    <s v="MCS2026"/>
    <x v="37"/>
    <x v="15"/>
    <s v="Mine production, marketable phosphate rock"/>
    <s v="k ton"/>
    <n v="19400"/>
    <n v="20000"/>
    <n v="250000"/>
    <n v="0.08"/>
    <n v="3"/>
    <n v="1000000"/>
    <n v="73000000"/>
    <n v="1.3698630136986301E-2"/>
    <n v="9"/>
  </r>
  <r>
    <s v="MCS2026"/>
    <x v="37"/>
    <x v="47"/>
    <s v="Mine production, marketable phosphate rock"/>
    <s v="k ton"/>
    <n v="950"/>
    <n v="950"/>
    <n v="250000"/>
    <n v="3.8E-3"/>
    <n v="22"/>
    <n v="100000"/>
    <n v="73000000"/>
    <n v="1.3698630136986301E-3"/>
    <n v="17"/>
  </r>
  <r>
    <s v="MCS2026"/>
    <x v="37"/>
    <x v="16"/>
    <s v="Mine production, marketable phosphate rock"/>
    <s v="k ton"/>
    <n v="3000"/>
    <n v="3000"/>
    <n v="250000"/>
    <n v="1.2E-2"/>
    <n v="11"/>
    <n v="30000"/>
    <n v="73000000"/>
    <n v="4.1095890410958907E-4"/>
    <n v="22"/>
  </r>
  <r>
    <s v="MCS2026"/>
    <x v="38"/>
    <x v="2"/>
    <s v="Mine production, Platinum content"/>
    <s v="kg"/>
    <n v="5700"/>
    <n v="5000"/>
    <n v="170000"/>
    <n v="2.9411764705882353E-2"/>
    <n v="4"/>
    <n v="310000"/>
    <n v="76000000"/>
    <n v="4.0789473684210526E-3"/>
    <n v="5"/>
  </r>
  <r>
    <s v="MCS2026"/>
    <x v="38"/>
    <x v="23"/>
    <s v="Mine production, Platinum content"/>
    <s v="kg"/>
    <n v="3860"/>
    <n v="3900"/>
    <n v="170000"/>
    <n v="2.2941176470588236E-2"/>
    <n v="6"/>
    <n v="0"/>
    <n v="76000000"/>
    <n v="0"/>
    <n v="6"/>
  </r>
  <r>
    <s v="MCS2026"/>
    <x v="38"/>
    <x v="13"/>
    <s v="Mine production, Platinum content"/>
    <s v="kg"/>
    <n v="22000"/>
    <n v="20000"/>
    <n v="170000"/>
    <n v="0.11764705882352941"/>
    <n v="2"/>
    <n v="11000000"/>
    <n v="76000000"/>
    <n v="0.14473684210526316"/>
    <n v="2"/>
  </r>
  <r>
    <s v="MCS2026"/>
    <x v="38"/>
    <x v="49"/>
    <s v="Mine production, Platinum content"/>
    <s v="kg"/>
    <n v="126000"/>
    <n v="120000"/>
    <n v="170000"/>
    <n v="0.70588235294117652"/>
    <n v="1"/>
    <n v="63000000"/>
    <n v="76000000"/>
    <n v="0.82894736842105265"/>
    <n v="1"/>
  </r>
  <r>
    <s v="MCS2026"/>
    <x v="38"/>
    <x v="15"/>
    <s v="Mine production, Platinum content"/>
    <s v="kg"/>
    <n v="3010"/>
    <n v="1800"/>
    <n v="170000"/>
    <n v="1.0588235294117647E-2"/>
    <n v="5"/>
    <n v="590000"/>
    <n v="76000000"/>
    <n v="7.7631578947368425E-3"/>
    <n v="4"/>
  </r>
  <r>
    <s v="MCS2026"/>
    <x v="38"/>
    <x v="50"/>
    <s v="Mine production, Platinum content"/>
    <s v="kg"/>
    <n v="18400"/>
    <n v="18000"/>
    <n v="170000"/>
    <n v="0.10588235294117647"/>
    <n v="3"/>
    <n v="1300000"/>
    <n v="76000000"/>
    <n v="1.7105263157894738E-2"/>
    <n v="3"/>
  </r>
  <r>
    <s v="MCS2026"/>
    <x v="39"/>
    <x v="92"/>
    <s v="Mine production, potassium oxide (K₂O) equivalent"/>
    <s v="k ton"/>
    <n v="5000"/>
    <n v="6000"/>
    <n v="49000"/>
    <n v="0.12244897959183673"/>
    <n v="4"/>
    <n v="750000"/>
    <n v="5900000"/>
    <n v="0.1271186440677966"/>
    <n v="4"/>
  </r>
  <r>
    <s v="MCS2026"/>
    <x v="39"/>
    <x v="21"/>
    <s v="Mine production, potassium oxide (K₂O) equivalent"/>
    <s v="k ton"/>
    <n v="331"/>
    <n v="300"/>
    <n v="49000"/>
    <n v="6.1224489795918364E-3"/>
    <n v="12"/>
    <n v="2300"/>
    <n v="5900000"/>
    <n v="3.8983050847457627E-4"/>
    <n v="10"/>
  </r>
  <r>
    <s v="MCS2026"/>
    <x v="39"/>
    <x v="2"/>
    <s v="Mine production, potassium oxide (K₂O) equivalent"/>
    <s v="k ton"/>
    <n v="14400"/>
    <n v="15000"/>
    <n v="49000"/>
    <n v="0.30612244897959184"/>
    <n v="1"/>
    <n v="1100000"/>
    <n v="5900000"/>
    <n v="0.1864406779661017"/>
    <n v="2"/>
  </r>
  <r>
    <s v="MCS2026"/>
    <x v="39"/>
    <x v="40"/>
    <s v="Mine production, potassium oxide (K₂O) equivalent"/>
    <s v="k ton"/>
    <n v="564"/>
    <n v="600"/>
    <n v="49000"/>
    <n v="1.2244897959183673E-2"/>
    <n v="9"/>
    <n v="100000"/>
    <n v="5900000"/>
    <n v="1.6949152542372881E-2"/>
    <n v="8"/>
  </r>
  <r>
    <s v="MCS2026"/>
    <x v="39"/>
    <x v="3"/>
    <s v="Mine production, potassium oxide (K₂O) equivalent"/>
    <s v="k ton"/>
    <n v="6300"/>
    <n v="6300"/>
    <n v="49000"/>
    <n v="0.12857142857142856"/>
    <n v="3"/>
    <n v="200000"/>
    <n v="5900000"/>
    <n v="3.3898305084745763E-2"/>
    <n v="6"/>
  </r>
  <r>
    <s v="MCS2026"/>
    <x v="39"/>
    <x v="24"/>
    <s v="Mine production, potassium oxide (K₂O) equivalent"/>
    <s v="k ton"/>
    <n v="2500"/>
    <n v="3000"/>
    <n v="49000"/>
    <n v="6.1224489795918366E-2"/>
    <n v="5"/>
    <n v="150000"/>
    <n v="5900000"/>
    <n v="2.5423728813559324E-2"/>
    <n v="7"/>
  </r>
  <r>
    <s v="MCS2026"/>
    <x v="39"/>
    <x v="41"/>
    <s v="Mine production, potassium oxide (K₂O) equivalent"/>
    <s v="k ton"/>
    <n v="2260"/>
    <n v="2000"/>
    <n v="49000"/>
    <n v="4.0816326530612242E-2"/>
    <n v="7"/>
    <n v="0"/>
    <n v="5900000"/>
    <n v="0"/>
    <s v="-"/>
  </r>
  <r>
    <s v="MCS2026"/>
    <x v="39"/>
    <x v="42"/>
    <s v="Mine production, potassium oxide (K₂O) equivalent"/>
    <s v="k ton"/>
    <n v="1730"/>
    <n v="1800"/>
    <n v="49000"/>
    <n v="3.6734693877551024E-2"/>
    <n v="8"/>
    <n v="0"/>
    <n v="5900000"/>
    <n v="0"/>
    <s v="-"/>
  </r>
  <r>
    <s v="MCS2026"/>
    <x v="39"/>
    <x v="8"/>
    <s v="Mine production, potassium oxide (K₂O) equivalent"/>
    <s v="k ton"/>
    <n v="2400"/>
    <n v="2400"/>
    <n v="49000"/>
    <n v="4.8979591836734691E-2"/>
    <n v="6"/>
    <n v="1000000"/>
    <n v="5900000"/>
    <n v="0.16949152542372881"/>
    <n v="3"/>
  </r>
  <r>
    <s v="MCS2026"/>
    <x v="39"/>
    <x v="23"/>
    <s v="Mine production, potassium oxide (K₂O) equivalent"/>
    <s v="k ton"/>
    <n v="350"/>
    <n v="350"/>
    <n v="49000"/>
    <n v="7.1428571428571426E-3"/>
    <n v="13"/>
    <n v="300000"/>
    <n v="5900000"/>
    <n v="5.0847457627118647E-2"/>
    <n v="13"/>
  </r>
  <r>
    <s v="MCS2026"/>
    <x v="39"/>
    <x v="13"/>
    <s v="Mine production, potassium oxide (K₂O) equivalent"/>
    <s v="k ton"/>
    <n v="10000"/>
    <n v="10000"/>
    <n v="49000"/>
    <n v="0.20408163265306123"/>
    <n v="2"/>
    <n v="2000000"/>
    <n v="5900000"/>
    <n v="0.33898305084745761"/>
    <n v="1"/>
  </r>
  <r>
    <s v="MCS2026"/>
    <x v="39"/>
    <x v="31"/>
    <s v="Mine production, potassium oxide (K₂O) equivalent"/>
    <s v="k ton"/>
    <n v="489"/>
    <n v="450"/>
    <n v="49000"/>
    <n v="9.1836734693877559E-3"/>
    <n v="11"/>
    <n v="100000"/>
    <n v="5900000"/>
    <n v="1.6949152542372881E-2"/>
    <n v="8"/>
  </r>
  <r>
    <s v="MCS2026"/>
    <x v="39"/>
    <x v="15"/>
    <s v="Mine production, potassium oxide (K₂O) equivalent"/>
    <s v="k ton"/>
    <n v="410"/>
    <n v="500"/>
    <n v="49000"/>
    <n v="1.020408163265306E-2"/>
    <n v="10"/>
    <n v="220000"/>
    <n v="5900000"/>
    <n v="3.7288135593220341E-2"/>
    <n v="5"/>
  </r>
  <r>
    <s v="MCS2026"/>
    <x v="40"/>
    <x v="0"/>
    <s v="Mine production, rare-earth-oxide equivalent"/>
    <s v="ton"/>
    <n v="29000"/>
    <n v="29000"/>
    <n v="390000"/>
    <n v="7.4358974358974358E-2"/>
    <n v="3"/>
    <n v="6300000"/>
    <n v="85000000"/>
    <n v="7.4117647058823524E-2"/>
    <n v="3"/>
  </r>
  <r>
    <s v="MCS2026"/>
    <x v="40"/>
    <x v="21"/>
    <s v="Mine production, rare-earth-oxide equivalent"/>
    <s v="ton"/>
    <n v="560"/>
    <n v="2000"/>
    <n v="390000"/>
    <n v="5.1282051282051282E-3"/>
    <n v="9"/>
    <n v="21000000"/>
    <n v="85000000"/>
    <n v="0.24705882352941178"/>
    <n v="2"/>
  </r>
  <r>
    <s v="MCS2026"/>
    <x v="40"/>
    <x v="2"/>
    <s v="Mine production, rare-earth-oxide equivalent"/>
    <s v="ton"/>
    <n v="0"/>
    <n v="0"/>
    <n v="390000"/>
    <n v="0"/>
    <s v="-"/>
    <n v="830000"/>
    <n v="85000000"/>
    <n v="9.764705882352941E-3"/>
    <n v="10"/>
  </r>
  <r>
    <s v="MCS2026"/>
    <x v="40"/>
    <x v="3"/>
    <s v="Mine production, rare-earth-oxide equivalent"/>
    <s v="ton"/>
    <n v="270000"/>
    <n v="270000"/>
    <n v="390000"/>
    <n v="0.69230769230769229"/>
    <n v="1"/>
    <n v="44000000"/>
    <n v="85000000"/>
    <n v="0.51764705882352946"/>
    <n v="1"/>
  </r>
  <r>
    <s v="MCS2026"/>
    <x v="40"/>
    <x v="93"/>
    <s v="Mine production, rare-earth-oxide equivalent"/>
    <s v="ton"/>
    <n v="0"/>
    <n v="0"/>
    <n v="390000"/>
    <n v="0"/>
    <s v="-"/>
    <n v="1500000"/>
    <n v="85000000"/>
    <n v="1.7647058823529412E-2"/>
    <n v="7"/>
  </r>
  <r>
    <s v="MCS2026"/>
    <x v="40"/>
    <x v="22"/>
    <s v="Mine production, rare-earth-oxide equivalent"/>
    <s v="ton"/>
    <n v="2900"/>
    <n v="2900"/>
    <n v="390000"/>
    <n v="7.4358974358974357E-3"/>
    <n v="6"/>
    <n v="0"/>
    <n v="85000000"/>
    <n v="0"/>
    <s v="-"/>
  </r>
  <r>
    <s v="MCS2026"/>
    <x v="40"/>
    <x v="33"/>
    <s v="Mine production, rare-earth-oxide equivalent"/>
    <s v="ton"/>
    <n v="1400"/>
    <n v="2700"/>
    <n v="390000"/>
    <n v="6.9230769230769233E-3"/>
    <n v="7"/>
    <n v="0"/>
    <n v="85000000"/>
    <n v="0"/>
    <s v="-"/>
  </r>
  <r>
    <s v="MCS2026"/>
    <x v="40"/>
    <x v="74"/>
    <s v="Mine production, rare-earth-oxide equivalent"/>
    <s v="ton"/>
    <n v="140"/>
    <n v="110"/>
    <n v="390000"/>
    <n v="2.8205128205128203E-4"/>
    <n v="12"/>
    <n v="710000"/>
    <n v="85000000"/>
    <n v="8.352941176470589E-3"/>
    <n v="11"/>
  </r>
  <r>
    <s v="MCS2026"/>
    <x v="40"/>
    <x v="10"/>
    <s v="Mine production, rare-earth-oxide equivalent"/>
    <s v="ton"/>
    <n v="27000"/>
    <n v="22000"/>
    <n v="390000"/>
    <n v="5.6410256410256411E-2"/>
    <n v="4"/>
    <n v="0"/>
    <n v="85000000"/>
    <n v="0"/>
    <s v="-"/>
  </r>
  <r>
    <s v="MCS2026"/>
    <x v="40"/>
    <x v="35"/>
    <s v="Mine production, rare-earth-oxide equivalent"/>
    <s v="ton"/>
    <n v="1500"/>
    <n v="1500"/>
    <n v="390000"/>
    <n v="3.8461538461538464E-3"/>
    <n v="10"/>
    <n v="0"/>
    <n v="85000000"/>
    <n v="0"/>
    <s v="-"/>
  </r>
  <r>
    <s v="MCS2026"/>
    <x v="40"/>
    <x v="23"/>
    <s v="Mine production, rare-earth-oxide equivalent"/>
    <s v="ton"/>
    <n v="1000"/>
    <n v="550"/>
    <n v="390000"/>
    <n v="1.4102564102564104E-3"/>
    <n v="17"/>
    <n v="0"/>
    <n v="85000000"/>
    <n v="0"/>
    <n v="17"/>
  </r>
  <r>
    <s v="MCS2026"/>
    <x v="40"/>
    <x v="13"/>
    <s v="Mine production, rare-earth-oxide equivalent"/>
    <s v="ton"/>
    <n v="2600"/>
    <n v="2600"/>
    <n v="390000"/>
    <n v="6.6666666666666671E-3"/>
    <n v="8"/>
    <n v="3800000"/>
    <n v="85000000"/>
    <n v="4.4705882352941179E-2"/>
    <n v="4"/>
  </r>
  <r>
    <s v="MCS2026"/>
    <x v="40"/>
    <x v="49"/>
    <s v="Mine production, rare-earth-oxide equivalent"/>
    <s v="ton"/>
    <n v="0"/>
    <n v="0"/>
    <n v="390000"/>
    <n v="0"/>
    <s v="-"/>
    <n v="860000"/>
    <n v="85000000"/>
    <n v="1.011764705882353E-2"/>
    <n v="9"/>
  </r>
  <r>
    <s v="MCS2026"/>
    <x v="40"/>
    <x v="67"/>
    <s v="Mine production, rare-earth-oxide equivalent"/>
    <s v="ton"/>
    <n v="0"/>
    <n v="0"/>
    <n v="390000"/>
    <n v="0"/>
    <s v="-"/>
    <n v="890000"/>
    <n v="85000000"/>
    <n v="1.0470588235294117E-2"/>
    <n v="8"/>
  </r>
  <r>
    <s v="MCS2026"/>
    <x v="40"/>
    <x v="60"/>
    <s v="Mine production, rare-earth-oxide equivalent"/>
    <s v="ton"/>
    <n v="2100"/>
    <n v="4800"/>
    <n v="390000"/>
    <n v="1.2307692307692308E-2"/>
    <n v="5"/>
    <n v="0"/>
    <n v="85000000"/>
    <n v="0"/>
    <s v="-"/>
  </r>
  <r>
    <s v="MCS2026"/>
    <x v="40"/>
    <x v="15"/>
    <s v="Mine production, rare-earth-oxide equivalent"/>
    <s v="ton"/>
    <n v="45500"/>
    <n v="51000"/>
    <n v="390000"/>
    <n v="0.13076923076923078"/>
    <n v="2"/>
    <n v="1900000"/>
    <n v="85000000"/>
    <n v="2.2352941176470589E-2"/>
    <n v="6"/>
  </r>
  <r>
    <s v="MCS2026"/>
    <x v="40"/>
    <x v="16"/>
    <s v="Mine production, rare-earth-oxide equivalent"/>
    <s v="ton"/>
    <n v="300"/>
    <n v="150"/>
    <n v="390000"/>
    <n v="3.8461538461538462E-4"/>
    <n v="11"/>
    <n v="3500000"/>
    <n v="85000000"/>
    <n v="4.1176470588235294E-2"/>
    <n v="5"/>
  </r>
  <r>
    <s v="MCS2026"/>
    <x v="41"/>
    <x v="81"/>
    <s v="Mine production, rhenium content"/>
    <s v="kg"/>
    <n v="200"/>
    <n v="200"/>
    <n v="81000"/>
    <n v="2.4691358024691358E-3"/>
    <n v="8"/>
    <n v="95000"/>
    <n v="0"/>
    <s v="-"/>
    <n v="6"/>
  </r>
  <r>
    <s v="MCS2026"/>
    <x v="41"/>
    <x v="40"/>
    <s v="Mine production, rhenium content"/>
    <s v="kg"/>
    <n v="29000"/>
    <n v="30000"/>
    <n v="81000"/>
    <n v="0.37037037037037035"/>
    <n v="1"/>
    <n v="1300000"/>
    <n v="0"/>
    <s v="-"/>
    <n v="1"/>
  </r>
  <r>
    <s v="MCS2026"/>
    <x v="41"/>
    <x v="3"/>
    <s v="Mine production, rhenium content"/>
    <s v="kg"/>
    <n v="20000"/>
    <n v="20000"/>
    <n v="81000"/>
    <n v="0.24691358024691357"/>
    <n v="2"/>
    <n v="200000"/>
    <n v="0"/>
    <s v="-"/>
    <n v="4"/>
  </r>
  <r>
    <s v="MCS2026"/>
    <x v="41"/>
    <x v="6"/>
    <s v="Mine production, rhenium content"/>
    <s v="kg"/>
    <n v="1500"/>
    <n v="1000"/>
    <n v="81000"/>
    <n v="1.2345679012345678E-2"/>
    <n v="7"/>
    <n v="190000"/>
    <n v="0"/>
    <s v="-"/>
    <n v="5"/>
  </r>
  <r>
    <s v="MCS2026"/>
    <x v="41"/>
    <x v="46"/>
    <s v="Mine production, rhenium content"/>
    <s v="kg"/>
    <n v="9400"/>
    <n v="10000"/>
    <n v="81000"/>
    <n v="0.12345679012345678"/>
    <n v="3"/>
    <n v="0"/>
    <n v="0"/>
    <s v="-"/>
    <s v="-"/>
  </r>
  <r>
    <s v="MCS2026"/>
    <x v="41"/>
    <x v="13"/>
    <s v="Mine production, rhenium content"/>
    <s v="kg"/>
    <n v="0"/>
    <n v="0"/>
    <n v="81000"/>
    <n v="0"/>
    <s v="-"/>
    <n v="310000"/>
    <n v="0"/>
    <s v="-"/>
    <n v="3"/>
  </r>
  <r>
    <s v="MCS2026"/>
    <x v="41"/>
    <x v="38"/>
    <s v="Mine production, rhenium content"/>
    <s v="kg"/>
    <n v="3000"/>
    <n v="3000"/>
    <n v="81000"/>
    <n v="3.7037037037037035E-2"/>
    <n v="6"/>
    <n v="0"/>
    <n v="0"/>
    <s v="-"/>
    <s v="-"/>
  </r>
  <r>
    <s v="MCS2026"/>
    <x v="41"/>
    <x v="15"/>
    <s v="Mine production, rhenium content"/>
    <s v="kg"/>
    <n v="9310"/>
    <n v="9800"/>
    <n v="81000"/>
    <n v="0.12098765432098765"/>
    <n v="4"/>
    <n v="400000"/>
    <n v="0"/>
    <s v="-"/>
    <n v="2"/>
  </r>
  <r>
    <s v="MCS2026"/>
    <x v="41"/>
    <x v="47"/>
    <s v="Mine production, rhenium content"/>
    <s v="kg"/>
    <n v="7400"/>
    <n v="7000"/>
    <n v="81000"/>
    <n v="8.6419753086419748E-2"/>
    <n v="5"/>
    <n v="0"/>
    <n v="0"/>
    <s v="-"/>
    <s v="-"/>
  </r>
  <r>
    <s v="MCS2026"/>
    <x v="42"/>
    <x v="17"/>
    <s v="Refinery production, selenium content"/>
    <s v="ton"/>
    <n v="200"/>
    <n v="200"/>
    <n v="3800"/>
    <n v="5.2631578947368418E-2"/>
    <n v="4"/>
    <n v="0"/>
    <n v="0"/>
    <s v="-"/>
    <s v="-"/>
  </r>
  <r>
    <s v="MCS2026"/>
    <x v="42"/>
    <x v="2"/>
    <s v="Refinery production, selenium content"/>
    <s v="ton"/>
    <n v="130"/>
    <n v="130"/>
    <n v="3800"/>
    <n v="3.4210526315789476E-2"/>
    <n v="5"/>
    <n v="0"/>
    <n v="0"/>
    <s v="-"/>
    <s v="-"/>
  </r>
  <r>
    <s v="MCS2026"/>
    <x v="42"/>
    <x v="3"/>
    <s v="Refinery production, selenium content"/>
    <s v="ton"/>
    <n v="1800"/>
    <n v="2000"/>
    <n v="3800"/>
    <n v="0.52631578947368418"/>
    <n v="1"/>
    <n v="0"/>
    <n v="0"/>
    <s v="-"/>
    <s v="-"/>
  </r>
  <r>
    <s v="MCS2026"/>
    <x v="42"/>
    <x v="48"/>
    <s v="Refinery production, selenium content"/>
    <s v="ton"/>
    <n v="38"/>
    <n v="39"/>
    <n v="3800"/>
    <n v="1.0263157894736842E-2"/>
    <n v="14"/>
    <n v="0"/>
    <n v="0"/>
    <s v="-"/>
    <s v="-"/>
  </r>
  <r>
    <s v="MCS2026"/>
    <x v="42"/>
    <x v="24"/>
    <s v="Refinery production, selenium content"/>
    <s v="ton"/>
    <n v="49"/>
    <n v="47"/>
    <n v="3800"/>
    <n v="1.2368421052631579E-2"/>
    <n v="12"/>
    <n v="0"/>
    <n v="0"/>
    <s v="-"/>
    <s v="-"/>
  </r>
  <r>
    <s v="MCS2026"/>
    <x v="42"/>
    <x v="22"/>
    <s v="Refinery production, selenium content"/>
    <s v="ton"/>
    <n v="88"/>
    <n v="90"/>
    <n v="3800"/>
    <n v="2.368421052631579E-2"/>
    <n v="6"/>
    <n v="0"/>
    <n v="0"/>
    <s v="-"/>
    <s v="-"/>
  </r>
  <r>
    <s v="MCS2026"/>
    <x v="42"/>
    <x v="18"/>
    <s v="Refinery production, selenium content"/>
    <s v="ton"/>
    <n v="730"/>
    <n v="640"/>
    <n v="3800"/>
    <n v="0.16842105263157894"/>
    <n v="2"/>
    <n v="0"/>
    <n v="0"/>
    <s v="-"/>
    <s v="-"/>
  </r>
  <r>
    <s v="MCS2026"/>
    <x v="42"/>
    <x v="6"/>
    <s v="Refinery production, selenium content"/>
    <s v="ton"/>
    <n v="2"/>
    <n v="50"/>
    <n v="3800"/>
    <n v="1.3157894736842105E-2"/>
    <n v="10"/>
    <n v="0"/>
    <n v="0"/>
    <s v="-"/>
    <s v="-"/>
  </r>
  <r>
    <s v="MCS2026"/>
    <x v="42"/>
    <x v="9"/>
    <s v="Refinery production, selenium content"/>
    <s v="ton"/>
    <n v="78"/>
    <n v="88"/>
    <n v="3800"/>
    <n v="2.3157894736842106E-2"/>
    <n v="7"/>
    <n v="0"/>
    <n v="0"/>
    <s v="-"/>
    <s v="-"/>
  </r>
  <r>
    <s v="MCS2026"/>
    <x v="42"/>
    <x v="23"/>
    <s v="Refinery production, selenium content"/>
    <s v="ton"/>
    <n v="0"/>
    <n v="0"/>
    <n v="3800"/>
    <n v="0"/>
    <n v="18"/>
    <n v="0"/>
    <n v="0"/>
    <s v="-"/>
    <n v="18"/>
  </r>
  <r>
    <s v="MCS2026"/>
    <x v="42"/>
    <x v="20"/>
    <s v="Refinery production, selenium content"/>
    <s v="ton"/>
    <n v="53"/>
    <n v="48"/>
    <n v="3800"/>
    <n v="1.2631578947368421E-2"/>
    <n v="11"/>
    <n v="0"/>
    <n v="0"/>
    <s v="-"/>
    <s v="-"/>
  </r>
  <r>
    <s v="MCS2026"/>
    <x v="42"/>
    <x v="46"/>
    <s v="Refinery production, selenium content"/>
    <s v="ton"/>
    <n v="68"/>
    <n v="67"/>
    <n v="3800"/>
    <n v="1.7631578947368422E-2"/>
    <n v="9"/>
    <n v="0"/>
    <n v="0"/>
    <s v="-"/>
    <s v="-"/>
  </r>
  <r>
    <s v="MCS2026"/>
    <x v="42"/>
    <x v="12"/>
    <s v="Refinery production, selenium content"/>
    <s v="ton"/>
    <n v="43"/>
    <n v="43"/>
    <n v="3800"/>
    <n v="1.1315789473684211E-2"/>
    <n v="13"/>
    <n v="0"/>
    <n v="0"/>
    <s v="-"/>
    <s v="-"/>
  </r>
  <r>
    <s v="MCS2026"/>
    <x v="42"/>
    <x v="13"/>
    <s v="Refinery production, selenium content"/>
    <s v="ton"/>
    <n v="310"/>
    <n v="320"/>
    <n v="3800"/>
    <n v="8.4210526315789472E-2"/>
    <n v="3"/>
    <n v="0"/>
    <n v="0"/>
    <s v="-"/>
    <s v="-"/>
  </r>
  <r>
    <s v="MCS2026"/>
    <x v="42"/>
    <x v="94"/>
    <s v="Refinery production, selenium content"/>
    <s v="ton"/>
    <n v="69"/>
    <n v="71"/>
    <n v="3800"/>
    <n v="1.8684210526315789E-2"/>
    <n v="8"/>
    <n v="0"/>
    <n v="0"/>
    <s v="-"/>
    <s v="-"/>
  </r>
  <r>
    <s v="MCS2026"/>
    <x v="42"/>
    <x v="49"/>
    <s v="Refinery production, selenium content"/>
    <s v="ton"/>
    <n v="11"/>
    <n v="10"/>
    <n v="3800"/>
    <n v="2.631578947368421E-3"/>
    <n v="15"/>
    <n v="0"/>
    <n v="0"/>
    <s v="-"/>
    <s v="-"/>
  </r>
  <r>
    <s v="MCS2026"/>
    <x v="42"/>
    <x v="15"/>
    <s v="Refinery production, selenium content"/>
    <s v="ton"/>
    <n v="0"/>
    <n v="0"/>
    <n v="3800"/>
    <n v="0"/>
    <s v="-"/>
    <n v="0"/>
    <n v="0"/>
    <s v="-"/>
    <s v="-"/>
  </r>
  <r>
    <s v="MCS2026"/>
    <x v="42"/>
    <x v="47"/>
    <s v="Refinery production, selenium content"/>
    <s v="ton"/>
    <n v="2"/>
    <n v="2"/>
    <n v="3800"/>
    <n v="5.263157894736842E-4"/>
    <n v="16"/>
    <n v="0"/>
    <n v="0"/>
    <s v="-"/>
    <s v="-"/>
  </r>
  <r>
    <s v="MCS2026"/>
    <x v="43"/>
    <x v="0"/>
    <s v="Plant production, Ferosilicon, silicon content + 메탈 합산"/>
    <s v="k ton"/>
    <n v="47"/>
    <n v="47"/>
    <n v="9600"/>
    <n v="4.8958333333333336E-3"/>
    <n v="12"/>
    <n v="0"/>
    <n v="0"/>
    <s v="-"/>
    <s v="-"/>
  </r>
  <r>
    <s v="MCS2026"/>
    <x v="43"/>
    <x v="95"/>
    <s v="Plant production, Ferosilicon, silicon content + 메탈 합산"/>
    <s v="k ton"/>
    <n v="98"/>
    <n v="98"/>
    <n v="9600"/>
    <n v="1.0208333333333333E-2"/>
    <n v="7"/>
    <n v="0"/>
    <n v="0"/>
    <s v="-"/>
    <s v="-"/>
  </r>
  <r>
    <s v="MCS2026"/>
    <x v="43"/>
    <x v="21"/>
    <s v="Plant production, Ferosilicon, silicon content + 메탈 합산"/>
    <s v="k ton"/>
    <n v="350"/>
    <n v="350"/>
    <n v="9600"/>
    <n v="3.6458333333333336E-2"/>
    <n v="3"/>
    <n v="0"/>
    <n v="0"/>
    <s v="-"/>
    <s v="-"/>
  </r>
  <r>
    <s v="MCS2026"/>
    <x v="43"/>
    <x v="2"/>
    <s v="Plant production, Ferosilicon, silicon content + 메탈 합산"/>
    <s v="k ton"/>
    <n v="57"/>
    <n v="57"/>
    <n v="9600"/>
    <n v="5.9375000000000001E-3"/>
    <n v="11"/>
    <n v="0"/>
    <n v="0"/>
    <s v="-"/>
    <s v="-"/>
  </r>
  <r>
    <s v="MCS2026"/>
    <x v="43"/>
    <x v="3"/>
    <s v="Plant production, Ferosilicon, silicon content + 메탈 합산"/>
    <s v="k ton"/>
    <n v="7900"/>
    <n v="7500"/>
    <n v="9600"/>
    <n v="0.78125"/>
    <n v="1"/>
    <n v="0"/>
    <n v="0"/>
    <s v="-"/>
    <s v="-"/>
  </r>
  <r>
    <s v="MCS2026"/>
    <x v="43"/>
    <x v="57"/>
    <s v="Plant production, Ferosilicon, silicon content + 메탈 합산"/>
    <s v="k ton"/>
    <n v="111"/>
    <n v="89"/>
    <n v="9600"/>
    <n v="9.2708333333333341E-3"/>
    <n v="8"/>
    <n v="0"/>
    <n v="0"/>
    <s v="-"/>
    <s v="-"/>
  </r>
  <r>
    <s v="MCS2026"/>
    <x v="43"/>
    <x v="24"/>
    <s v="Plant production, Ferosilicon, silicon content + 메탈 합산"/>
    <s v="k ton"/>
    <n v="29"/>
    <n v="13"/>
    <n v="9600"/>
    <n v="1.3541666666666667E-3"/>
    <n v="15"/>
    <n v="0"/>
    <n v="0"/>
    <s v="-"/>
    <s v="-"/>
  </r>
  <r>
    <s v="MCS2026"/>
    <x v="43"/>
    <x v="22"/>
    <s v="Plant production, Ferosilicon, silicon content + 메탈 합산"/>
    <s v="k ton"/>
    <n v="59"/>
    <n v="59"/>
    <n v="9600"/>
    <n v="6.145833333333333E-3"/>
    <n v="10"/>
    <n v="0"/>
    <n v="0"/>
    <s v="-"/>
    <s v="-"/>
  </r>
  <r>
    <s v="MCS2026"/>
    <x v="43"/>
    <x v="96"/>
    <s v="Plant production, Ferosilicon, silicon content + 메탈 합산"/>
    <s v="k ton"/>
    <n v="118"/>
    <n v="88"/>
    <n v="9600"/>
    <n v="9.1666666666666667E-3"/>
    <n v="9"/>
    <n v="0"/>
    <n v="0"/>
    <s v="-"/>
    <s v="-"/>
  </r>
  <r>
    <s v="MCS2026"/>
    <x v="43"/>
    <x v="6"/>
    <s v="Plant production, Ferosilicon, silicon content + 메탈 합산"/>
    <s v="k ton"/>
    <n v="127"/>
    <n v="127"/>
    <n v="9600"/>
    <n v="1.3229166666666667E-2"/>
    <n v="5"/>
    <n v="0"/>
    <n v="0"/>
    <s v="-"/>
    <s v="-"/>
  </r>
  <r>
    <s v="MCS2026"/>
    <x v="43"/>
    <x v="74"/>
    <s v="Plant production, Ferosilicon, silicon content + 메탈 합산"/>
    <s v="k ton"/>
    <n v="120"/>
    <n v="120"/>
    <n v="9600"/>
    <n v="1.2500000000000001E-2"/>
    <n v="6"/>
    <n v="0"/>
    <n v="0"/>
    <s v="-"/>
    <s v="-"/>
  </r>
  <r>
    <s v="MCS2026"/>
    <x v="43"/>
    <x v="45"/>
    <s v="Plant production, Ferosilicon, silicon content + 메탈 합산"/>
    <s v="k ton"/>
    <n v="300"/>
    <n v="280"/>
    <n v="9600"/>
    <n v="2.9166666666666667E-2"/>
    <n v="4"/>
    <n v="0"/>
    <n v="0"/>
    <s v="-"/>
    <s v="-"/>
  </r>
  <r>
    <s v="MCS2026"/>
    <x v="43"/>
    <x v="23"/>
    <s v="Plant production, Ferosilicon, silicon content + 메탈 합산"/>
    <s v="k ton"/>
    <n v="162"/>
    <n v="86"/>
    <n v="9600"/>
    <n v="8.9583333333333338E-3"/>
    <n v="17"/>
    <n v="0"/>
    <n v="0"/>
    <s v="-"/>
    <n v="17"/>
  </r>
  <r>
    <s v="MCS2026"/>
    <x v="43"/>
    <x v="13"/>
    <s v="Plant production, Ferosilicon, silicon content + 메탈 합산"/>
    <s v="k ton"/>
    <n v="479"/>
    <n v="455"/>
    <n v="9600"/>
    <n v="4.7395833333333331E-2"/>
    <n v="2"/>
    <n v="0"/>
    <n v="0"/>
    <s v="-"/>
    <s v="-"/>
  </r>
  <r>
    <s v="MCS2026"/>
    <x v="43"/>
    <x v="49"/>
    <s v="Plant production, Ferosilicon, silicon content + 메탈 합산"/>
    <s v="k ton"/>
    <n v="51"/>
    <n v="45"/>
    <n v="9600"/>
    <n v="4.6874999999999998E-3"/>
    <n v="13"/>
    <n v="0"/>
    <n v="0"/>
    <s v="-"/>
    <s v="-"/>
  </r>
  <r>
    <s v="MCS2026"/>
    <x v="43"/>
    <x v="31"/>
    <s v="Plant production, Ferosilicon, silicon content + 메탈 합산"/>
    <s v="k ton"/>
    <n v="47"/>
    <n v="44"/>
    <n v="9600"/>
    <n v="4.5833333333333334E-3"/>
    <n v="14"/>
    <n v="0"/>
    <n v="0"/>
    <s v="-"/>
    <s v="-"/>
  </r>
  <r>
    <s v="MCS2026"/>
    <x v="43"/>
    <x v="15"/>
    <s v="Plant production, Ferosilicon, silicon content + 메탈 합산"/>
    <s v="k ton"/>
    <n v="0"/>
    <n v="0"/>
    <n v="9600"/>
    <n v="0"/>
    <s v="-"/>
    <n v="0"/>
    <n v="0"/>
    <s v="-"/>
    <s v="-"/>
  </r>
  <r>
    <s v="MCS2026"/>
    <x v="44"/>
    <x v="39"/>
    <s v="Mine production, silver content"/>
    <s v="ton"/>
    <n v="774"/>
    <n v="800"/>
    <n v="26000"/>
    <n v="3.0769230769230771E-2"/>
    <n v="10"/>
    <n v="6500"/>
    <n v="610000"/>
    <n v="1.0655737704918032E-2"/>
    <n v="11"/>
  </r>
  <r>
    <s v="MCS2026"/>
    <x v="44"/>
    <x v="0"/>
    <s v="Mine production, silver content"/>
    <s v="ton"/>
    <n v="1050"/>
    <n v="1000"/>
    <n v="26000"/>
    <n v="3.8461538461538464E-2"/>
    <n v="9"/>
    <n v="91000"/>
    <n v="610000"/>
    <n v="0.14918032786885246"/>
    <n v="3"/>
  </r>
  <r>
    <s v="MCS2026"/>
    <x v="44"/>
    <x v="1"/>
    <s v="Mine production, silver content"/>
    <s v="ton"/>
    <n v="1490"/>
    <n v="1500"/>
    <n v="26000"/>
    <n v="5.7692307692307696E-2"/>
    <n v="4"/>
    <n v="22000"/>
    <n v="610000"/>
    <n v="3.6065573770491806E-2"/>
    <n v="9"/>
  </r>
  <r>
    <s v="MCS2026"/>
    <x v="44"/>
    <x v="2"/>
    <s v="Mine production, silver content"/>
    <s v="ton"/>
    <n v="366"/>
    <n v="400"/>
    <n v="26000"/>
    <n v="1.5384615384615385E-2"/>
    <n v="13"/>
    <n v="4900"/>
    <n v="610000"/>
    <n v="8.032786885245901E-3"/>
    <n v="12"/>
  </r>
  <r>
    <s v="MCS2026"/>
    <x v="44"/>
    <x v="40"/>
    <s v="Mine production, silver content"/>
    <s v="ton"/>
    <n v="1200"/>
    <n v="1400"/>
    <n v="26000"/>
    <n v="5.3846153846153849E-2"/>
    <n v="5"/>
    <n v="33000"/>
    <n v="610000"/>
    <n v="5.4098360655737705E-2"/>
    <n v="7"/>
  </r>
  <r>
    <s v="MCS2026"/>
    <x v="44"/>
    <x v="3"/>
    <s v="Mine production, silver content"/>
    <s v="ton"/>
    <n v="3430"/>
    <n v="3400"/>
    <n v="26000"/>
    <n v="0.13076923076923078"/>
    <n v="3"/>
    <n v="67000"/>
    <n v="610000"/>
    <n v="0.10983606557377049"/>
    <n v="4"/>
  </r>
  <r>
    <s v="MCS2026"/>
    <x v="44"/>
    <x v="22"/>
    <s v="Mine production, silver content"/>
    <s v="ton"/>
    <n v="700"/>
    <n v="800"/>
    <n v="26000"/>
    <n v="3.0769230769230771E-2"/>
    <n v="10"/>
    <n v="8000"/>
    <n v="610000"/>
    <n v="1.3114754098360656E-2"/>
    <n v="10"/>
  </r>
  <r>
    <s v="MCS2026"/>
    <x v="44"/>
    <x v="6"/>
    <s v="Mine production, silver content"/>
    <s v="ton"/>
    <n v="850"/>
    <n v="630"/>
    <n v="26000"/>
    <n v="2.4230769230769229E-2"/>
    <n v="12"/>
    <n v="0"/>
    <n v="610000"/>
    <n v="0"/>
    <s v="-"/>
  </r>
  <r>
    <s v="MCS2026"/>
    <x v="44"/>
    <x v="9"/>
    <s v="Mine production, silver content"/>
    <s v="ton"/>
    <n v="5780"/>
    <n v="6300"/>
    <n v="26000"/>
    <n v="0.24230769230769231"/>
    <n v="1"/>
    <n v="37000"/>
    <n v="610000"/>
    <n v="6.0655737704918035E-2"/>
    <n v="6"/>
  </r>
  <r>
    <s v="MCS2026"/>
    <x v="44"/>
    <x v="23"/>
    <s v="Mine production, silver content"/>
    <s v="ton"/>
    <n v="2110"/>
    <n v="2100"/>
    <n v="26000"/>
    <n v="8.0769230769230774E-2"/>
    <n v="15"/>
    <n v="57000"/>
    <n v="610000"/>
    <n v="9.3442622950819676E-2"/>
    <n v="15"/>
  </r>
  <r>
    <s v="MCS2026"/>
    <x v="44"/>
    <x v="20"/>
    <s v="Mine production, silver content"/>
    <s v="ton"/>
    <n v="3510"/>
    <n v="3600"/>
    <n v="26000"/>
    <n v="0.13846153846153847"/>
    <n v="2"/>
    <n v="110000"/>
    <n v="610000"/>
    <n v="0.18032786885245902"/>
    <n v="1"/>
  </r>
  <r>
    <s v="MCS2026"/>
    <x v="44"/>
    <x v="46"/>
    <s v="Mine production, silver content"/>
    <s v="ton"/>
    <n v="1320"/>
    <n v="1300"/>
    <n v="26000"/>
    <n v="0.05"/>
    <n v="6"/>
    <n v="59000"/>
    <n v="610000"/>
    <n v="9.6721311475409841E-2"/>
    <n v="5"/>
  </r>
  <r>
    <s v="MCS2026"/>
    <x v="44"/>
    <x v="13"/>
    <s v="Mine production, silver content"/>
    <s v="ton"/>
    <n v="1280"/>
    <n v="1200"/>
    <n v="26000"/>
    <n v="4.6153846153846156E-2"/>
    <n v="7"/>
    <n v="92000"/>
    <n v="610000"/>
    <n v="0.15081967213114755"/>
    <n v="2"/>
  </r>
  <r>
    <s v="MCS2026"/>
    <x v="44"/>
    <x v="73"/>
    <s v="Mine production, silver content"/>
    <s v="ton"/>
    <n v="432"/>
    <n v="400"/>
    <n v="26000"/>
    <n v="1.5384615384615385E-2"/>
    <n v="13"/>
    <n v="0"/>
    <n v="610000"/>
    <n v="0"/>
    <s v="-"/>
  </r>
  <r>
    <s v="MCS2026"/>
    <x v="44"/>
    <x v="15"/>
    <s v="Mine production, silver content"/>
    <s v="ton"/>
    <n v="1050"/>
    <n v="1100"/>
    <n v="26000"/>
    <n v="4.230769230769231E-2"/>
    <n v="8"/>
    <n v="23000"/>
    <n v="610000"/>
    <n v="3.7704918032786888E-2"/>
    <n v="8"/>
  </r>
  <r>
    <s v="MCS2026"/>
    <x v="45"/>
    <x v="97"/>
    <s v="Mine production, natural"/>
    <s v="k ton"/>
    <n v="298"/>
    <n v="290"/>
    <n v="19000"/>
    <n v="1.5263157894736841E-2"/>
    <n v="3"/>
    <n v="16000"/>
    <n v="25000000"/>
    <n v="6.4000000000000005E-4"/>
    <n v="4"/>
  </r>
  <r>
    <s v="MCS2026"/>
    <x v="45"/>
    <x v="98"/>
    <s v="Mine production, natural"/>
    <s v="k ton"/>
    <n v="18"/>
    <n v="18"/>
    <n v="19000"/>
    <n v="9.4736842105263154E-4"/>
    <n v="5"/>
    <n v="400000"/>
    <n v="25000000"/>
    <n v="1.6E-2"/>
    <n v="3"/>
  </r>
  <r>
    <s v="MCS2026"/>
    <x v="45"/>
    <x v="99"/>
    <s v="Mine production, natural"/>
    <s v="k ton"/>
    <n v="265"/>
    <n v="270"/>
    <n v="19000"/>
    <n v="1.4210526315789474E-2"/>
    <n v="4"/>
    <n v="7000"/>
    <n v="25000000"/>
    <n v="2.7999999999999998E-4"/>
    <n v="5"/>
  </r>
  <r>
    <s v="MCS2026"/>
    <x v="45"/>
    <x v="23"/>
    <s v="Mine production, natural"/>
    <s v="k ton"/>
    <n v="0"/>
    <n v="0"/>
    <n v="19000"/>
    <n v="0"/>
    <n v="6"/>
    <n v="280000"/>
    <n v="25000000"/>
    <n v="1.12E-2"/>
    <n v="6"/>
  </r>
  <r>
    <s v="MCS2026"/>
    <x v="45"/>
    <x v="12"/>
    <s v="Mine production, natural"/>
    <s v="k ton"/>
    <n v="6100"/>
    <n v="6000"/>
    <n v="19000"/>
    <n v="0.31578947368421051"/>
    <n v="2"/>
    <n v="840000"/>
    <n v="25000000"/>
    <n v="3.3599999999999998E-2"/>
    <n v="2"/>
  </r>
  <r>
    <s v="MCS2026"/>
    <x v="45"/>
    <x v="15"/>
    <s v="Soda ash, natural, mine production"/>
    <s v="k ton"/>
    <n v="11700"/>
    <n v="12000"/>
    <n v="19000"/>
    <n v="0.63157894736842102"/>
    <n v="1"/>
    <n v="23000000"/>
    <n v="25000000"/>
    <n v="0.92"/>
    <n v="1"/>
  </r>
  <r>
    <s v="MCS2026"/>
    <x v="46"/>
    <x v="39"/>
    <s v="Mine production, strontium content"/>
    <s v="ton"/>
    <n v="700"/>
    <n v="700"/>
    <n v="450000"/>
    <n v="1.5555555555555555E-3"/>
    <n v="5"/>
    <n v="0"/>
    <n v="0"/>
    <s v="-"/>
    <s v="-"/>
  </r>
  <r>
    <s v="MCS2026"/>
    <x v="46"/>
    <x v="3"/>
    <s v="Mine production, strontium content"/>
    <s v="ton"/>
    <n v="80000"/>
    <n v="80000"/>
    <n v="450000"/>
    <n v="0.17777777777777778"/>
    <n v="3"/>
    <n v="12000000"/>
    <n v="0"/>
    <s v="-"/>
    <n v="1"/>
  </r>
  <r>
    <s v="MCS2026"/>
    <x v="46"/>
    <x v="5"/>
    <s v="Mine production, strontium content"/>
    <s v="ton"/>
    <n v="200000"/>
    <n v="250000"/>
    <n v="450000"/>
    <n v="0.55555555555555558"/>
    <n v="1"/>
    <n v="2000000"/>
    <n v="0"/>
    <s v="-"/>
    <n v="2"/>
  </r>
  <r>
    <s v="MCS2026"/>
    <x v="46"/>
    <x v="9"/>
    <s v="Mine production, strontium content"/>
    <s v="ton"/>
    <n v="19000"/>
    <n v="20000"/>
    <n v="450000"/>
    <n v="4.4444444444444446E-2"/>
    <n v="4"/>
    <n v="0"/>
    <n v="0"/>
    <s v="-"/>
    <s v="-"/>
  </r>
  <r>
    <s v="MCS2026"/>
    <x v="46"/>
    <x v="31"/>
    <s v="Mine production, strontium content"/>
    <s v="ton"/>
    <n v="100000"/>
    <n v="100000"/>
    <n v="450000"/>
    <n v="0.22222222222222221"/>
    <n v="2"/>
    <n v="0"/>
    <n v="0"/>
    <s v="-"/>
    <s v="-"/>
  </r>
  <r>
    <s v="MCS2026"/>
    <x v="46"/>
    <x v="15"/>
    <s v="Mine production, strontium content"/>
    <s v="ton"/>
    <n v="0"/>
    <n v="0"/>
    <n v="450000"/>
    <n v="0"/>
    <s v="-"/>
    <n v="0"/>
    <n v="0"/>
    <s v="-"/>
    <s v="-"/>
  </r>
  <r>
    <s v="MCS2026"/>
    <x v="47"/>
    <x v="0"/>
    <s v="Production, all forms, sulfur content"/>
    <s v="k ton"/>
    <n v="900"/>
    <n v="900"/>
    <n v="84000"/>
    <n v="1.0714285714285714E-2"/>
    <n v="16"/>
    <n v="0"/>
    <n v="0"/>
    <s v="-"/>
    <s v="-"/>
  </r>
  <r>
    <s v="MCS2026"/>
    <x v="47"/>
    <x v="2"/>
    <s v="Production, all forms, sulfur content"/>
    <s v="k ton"/>
    <n v="5060"/>
    <n v="5000"/>
    <n v="84000"/>
    <n v="5.9523809523809521E-2"/>
    <n v="6"/>
    <n v="0"/>
    <n v="0"/>
    <s v="-"/>
    <s v="-"/>
  </r>
  <r>
    <s v="MCS2026"/>
    <x v="47"/>
    <x v="40"/>
    <s v="Production, all forms, sulfur content"/>
    <s v="k ton"/>
    <n v="1500"/>
    <n v="1400"/>
    <n v="84000"/>
    <n v="1.6666666666666666E-2"/>
    <n v="13"/>
    <n v="0"/>
    <n v="0"/>
    <s v="-"/>
    <s v="-"/>
  </r>
  <r>
    <s v="MCS2026"/>
    <x v="47"/>
    <x v="3"/>
    <s v="Production, all forms, sulfur content"/>
    <s v="k ton"/>
    <n v="19000"/>
    <n v="19000"/>
    <n v="84000"/>
    <n v="0.22619047619047619"/>
    <n v="1"/>
    <n v="0"/>
    <n v="0"/>
    <s v="-"/>
    <s v="-"/>
  </r>
  <r>
    <s v="MCS2026"/>
    <x v="47"/>
    <x v="22"/>
    <s v="Production, all forms, sulfur content"/>
    <s v="k ton"/>
    <n v="3700"/>
    <n v="3700"/>
    <n v="84000"/>
    <n v="4.4047619047619051E-2"/>
    <n v="8"/>
    <n v="0"/>
    <n v="0"/>
    <s v="-"/>
    <s v="-"/>
  </r>
  <r>
    <s v="MCS2026"/>
    <x v="47"/>
    <x v="5"/>
    <s v="Production, all forms, sulfur content"/>
    <s v="k ton"/>
    <n v="2000"/>
    <n v="2100"/>
    <n v="84000"/>
    <n v="2.5000000000000001E-2"/>
    <n v="12"/>
    <n v="0"/>
    <n v="0"/>
    <s v="-"/>
    <s v="-"/>
  </r>
  <r>
    <s v="MCS2026"/>
    <x v="47"/>
    <x v="18"/>
    <s v="Production, all forms, sulfur content"/>
    <s v="k ton"/>
    <n v="2750"/>
    <n v="2700"/>
    <n v="84000"/>
    <n v="3.214285714285714E-2"/>
    <n v="11"/>
    <n v="0"/>
    <n v="0"/>
    <s v="-"/>
    <s v="-"/>
  </r>
  <r>
    <s v="MCS2026"/>
    <x v="47"/>
    <x v="6"/>
    <s v="Production, all forms, sulfur content"/>
    <s v="k ton"/>
    <n v="4740"/>
    <n v="4800"/>
    <n v="84000"/>
    <n v="5.7142857142857141E-2"/>
    <n v="7"/>
    <n v="0"/>
    <n v="0"/>
    <s v="-"/>
    <s v="-"/>
  </r>
  <r>
    <s v="MCS2026"/>
    <x v="47"/>
    <x v="100"/>
    <s v="Production, all forms, sulfur content"/>
    <s v="k ton"/>
    <n v="1300"/>
    <n v="1300"/>
    <n v="84000"/>
    <n v="1.5476190476190477E-2"/>
    <n v="14"/>
    <n v="0"/>
    <n v="0"/>
    <s v="-"/>
    <s v="-"/>
  </r>
  <r>
    <s v="MCS2026"/>
    <x v="47"/>
    <x v="23"/>
    <s v="Production, all forms, sulfur content"/>
    <s v="k ton"/>
    <n v="5100"/>
    <n v="5700"/>
    <n v="84000"/>
    <n v="6.7857142857142852E-2"/>
    <n v="18"/>
    <n v="0"/>
    <n v="0"/>
    <s v="-"/>
    <n v="18"/>
  </r>
  <r>
    <s v="MCS2026"/>
    <x v="47"/>
    <x v="46"/>
    <s v="Production, all forms, sulfur content"/>
    <s v="k ton"/>
    <n v="1000"/>
    <n v="1100"/>
    <n v="84000"/>
    <n v="1.3095238095238096E-2"/>
    <n v="15"/>
    <n v="0"/>
    <n v="0"/>
    <s v="-"/>
    <s v="-"/>
  </r>
  <r>
    <s v="MCS2026"/>
    <x v="47"/>
    <x v="84"/>
    <s v="Production, all forms, sulfur content"/>
    <s v="k ton"/>
    <n v="3000"/>
    <n v="3100"/>
    <n v="84000"/>
    <n v="3.6904761904761905E-2"/>
    <n v="9"/>
    <n v="0"/>
    <n v="0"/>
    <s v="-"/>
    <s v="-"/>
  </r>
  <r>
    <s v="MCS2026"/>
    <x v="47"/>
    <x v="13"/>
    <s v="Production, all forms, sulfur content"/>
    <s v="k ton"/>
    <n v="7400"/>
    <n v="7500"/>
    <n v="84000"/>
    <n v="8.9285714285714288E-2"/>
    <n v="3"/>
    <n v="0"/>
    <n v="0"/>
    <s v="-"/>
    <s v="-"/>
  </r>
  <r>
    <s v="MCS2026"/>
    <x v="47"/>
    <x v="30"/>
    <s v="Production, all forms, sulfur content"/>
    <s v="k ton"/>
    <n v="7200"/>
    <n v="7200"/>
    <n v="84000"/>
    <n v="8.5714285714285715E-2"/>
    <n v="4"/>
    <n v="0"/>
    <n v="0"/>
    <s v="-"/>
    <s v="-"/>
  </r>
  <r>
    <s v="MCS2026"/>
    <x v="47"/>
    <x v="38"/>
    <s v="Production, all forms, sulfur content"/>
    <s v="k ton"/>
    <n v="3100"/>
    <n v="3100"/>
    <n v="84000"/>
    <n v="3.6904761904761905E-2"/>
    <n v="9"/>
    <n v="0"/>
    <n v="0"/>
    <s v="-"/>
    <s v="-"/>
  </r>
  <r>
    <s v="MCS2026"/>
    <x v="47"/>
    <x v="71"/>
    <s v="Production, all forms, sulfur content"/>
    <s v="k ton"/>
    <n v="880"/>
    <n v="870"/>
    <n v="84000"/>
    <n v="1.0357142857142856E-2"/>
    <n v="17"/>
    <n v="0"/>
    <n v="0"/>
    <s v="-"/>
    <s v="-"/>
  </r>
  <r>
    <s v="MCS2026"/>
    <x v="47"/>
    <x v="32"/>
    <s v="Production, all forms, sulfur content"/>
    <s v="k ton"/>
    <n v="6300"/>
    <n v="6300"/>
    <n v="84000"/>
    <n v="7.4999999999999997E-2"/>
    <n v="5"/>
    <n v="0"/>
    <n v="0"/>
    <s v="-"/>
    <s v="-"/>
  </r>
  <r>
    <s v="MCS2026"/>
    <x v="47"/>
    <x v="15"/>
    <s v="Production, all forms, sulfur content"/>
    <s v="k ton"/>
    <n v="8320"/>
    <n v="8100"/>
    <n v="84000"/>
    <n v="9.6428571428571433E-2"/>
    <n v="2"/>
    <n v="0"/>
    <n v="0"/>
    <s v="-"/>
    <s v="-"/>
  </r>
  <r>
    <s v="MCS2026"/>
    <x v="48"/>
    <x v="101"/>
    <s v="Mine production, estimated"/>
    <s v="k ton"/>
    <n v="190"/>
    <n v="200"/>
    <n v="6900"/>
    <n v="2.8985507246376812E-2"/>
    <n v="9"/>
    <n v="0"/>
    <n v="0"/>
    <s v="-"/>
    <s v="-"/>
  </r>
  <r>
    <s v="MCS2026"/>
    <x v="48"/>
    <x v="21"/>
    <s v="Mine production, estimated"/>
    <s v="k ton"/>
    <n v="649"/>
    <n v="570"/>
    <n v="6900"/>
    <n v="8.2608695652173908E-2"/>
    <n v="3"/>
    <n v="48000"/>
    <n v="0"/>
    <s v="-"/>
    <n v="6"/>
  </r>
  <r>
    <s v="MCS2026"/>
    <x v="48"/>
    <x v="2"/>
    <s v="Mine production, estimated"/>
    <s v="k ton"/>
    <n v="150"/>
    <n v="150"/>
    <n v="6900"/>
    <n v="2.1739130434782608E-2"/>
    <n v="13"/>
    <n v="0"/>
    <n v="0"/>
    <s v="-"/>
    <s v="-"/>
  </r>
  <r>
    <s v="MCS2026"/>
    <x v="48"/>
    <x v="3"/>
    <s v="Mine production, estimated"/>
    <s v="k ton"/>
    <n v="1300"/>
    <n v="1300"/>
    <n v="6900"/>
    <n v="0.18840579710144928"/>
    <n v="2"/>
    <n v="60000"/>
    <n v="0"/>
    <s v="-"/>
    <n v="5"/>
  </r>
  <r>
    <s v="MCS2026"/>
    <x v="48"/>
    <x v="48"/>
    <s v="Mine production, estimated"/>
    <s v="k ton"/>
    <n v="212"/>
    <n v="200"/>
    <n v="6900"/>
    <n v="2.8985507246376812E-2"/>
    <n v="9"/>
    <n v="0"/>
    <n v="0"/>
    <s v="-"/>
    <s v="-"/>
  </r>
  <r>
    <s v="MCS2026"/>
    <x v="48"/>
    <x v="57"/>
    <s v="Mine production, estimated"/>
    <s v="k ton"/>
    <n v="280"/>
    <n v="300"/>
    <n v="6900"/>
    <n v="4.3478260869565216E-2"/>
    <n v="5"/>
    <n v="0"/>
    <n v="0"/>
    <s v="-"/>
    <s v="-"/>
  </r>
  <r>
    <s v="MCS2026"/>
    <x v="48"/>
    <x v="22"/>
    <s v="Mine production, estimated"/>
    <s v="k ton"/>
    <n v="1540"/>
    <n v="1500"/>
    <n v="6900"/>
    <n v="0.21739130434782608"/>
    <n v="1"/>
    <n v="110000"/>
    <n v="0"/>
    <s v="-"/>
    <n v="2"/>
  </r>
  <r>
    <s v="MCS2026"/>
    <x v="48"/>
    <x v="59"/>
    <s v="Mine production, estimated"/>
    <s v="k ton"/>
    <n v="170"/>
    <n v="170"/>
    <n v="6900"/>
    <n v="2.4637681159420291E-2"/>
    <n v="12"/>
    <n v="0"/>
    <n v="0"/>
    <s v="-"/>
    <s v="-"/>
  </r>
  <r>
    <s v="MCS2026"/>
    <x v="48"/>
    <x v="18"/>
    <s v="Mine production, estimated"/>
    <s v="k ton"/>
    <n v="130"/>
    <n v="130"/>
    <n v="6900"/>
    <n v="1.8840579710144929E-2"/>
    <n v="14"/>
    <n v="100000"/>
    <n v="0"/>
    <s v="-"/>
    <n v="3"/>
  </r>
  <r>
    <s v="MCS2026"/>
    <x v="48"/>
    <x v="23"/>
    <s v="Mine production, estimated"/>
    <s v="k ton"/>
    <n v="882"/>
    <n v="790"/>
    <n v="6900"/>
    <n v="0.11449275362318841"/>
    <n v="15"/>
    <n v="0"/>
    <n v="0"/>
    <s v="-"/>
    <n v="15"/>
  </r>
  <r>
    <s v="MCS2026"/>
    <x v="48"/>
    <x v="11"/>
    <s v="Mine production, estimated"/>
    <s v="k ton"/>
    <n v="221"/>
    <n v="200"/>
    <n v="6900"/>
    <n v="2.8985507246376812E-2"/>
    <n v="9"/>
    <n v="0"/>
    <n v="0"/>
    <s v="-"/>
    <s v="-"/>
  </r>
  <r>
    <s v="MCS2026"/>
    <x v="48"/>
    <x v="12"/>
    <s v="Mine production, estimated"/>
    <s v="k ton"/>
    <n v="304"/>
    <n v="300"/>
    <n v="6900"/>
    <n v="4.3478260869565216E-2"/>
    <n v="5"/>
    <n v="15000"/>
    <n v="0"/>
    <s v="-"/>
    <n v="7"/>
  </r>
  <r>
    <s v="MCS2026"/>
    <x v="48"/>
    <x v="49"/>
    <s v="Mine production, estimated"/>
    <s v="k ton"/>
    <n v="390"/>
    <n v="300"/>
    <n v="6900"/>
    <n v="4.3478260869565216E-2"/>
    <n v="5"/>
    <n v="0"/>
    <n v="0"/>
    <s v="-"/>
    <s v="-"/>
  </r>
  <r>
    <s v="MCS2026"/>
    <x v="48"/>
    <x v="38"/>
    <s v="Mine production, estimated"/>
    <s v="k ton"/>
    <n v="322"/>
    <n v="300"/>
    <n v="6900"/>
    <n v="4.3478260869565216E-2"/>
    <n v="5"/>
    <n v="81000"/>
    <n v="0"/>
    <s v="-"/>
    <n v="4"/>
  </r>
  <r>
    <s v="MCS2026"/>
    <x v="48"/>
    <x v="15"/>
    <s v="Mine production, estimated"/>
    <s v="k ton"/>
    <n v="457"/>
    <n v="490"/>
    <n v="6900"/>
    <n v="7.101449275362319E-2"/>
    <n v="4"/>
    <n v="140000"/>
    <n v="0"/>
    <s v="-"/>
    <n v="1"/>
  </r>
  <r>
    <s v="MCS2026"/>
    <x v="49"/>
    <x v="0"/>
    <s v="Mine production, tantalum content"/>
    <s v="ton"/>
    <n v="52"/>
    <n v="50"/>
    <n v="2500"/>
    <n v="0.02"/>
    <n v="6"/>
    <n v="120000"/>
    <n v="0"/>
    <s v="-"/>
    <n v="2"/>
  </r>
  <r>
    <s v="MCS2026"/>
    <x v="49"/>
    <x v="1"/>
    <s v="Mine production, tantalum content"/>
    <s v="ton"/>
    <n v="2"/>
    <n v="2"/>
    <n v="2500"/>
    <n v="8.0000000000000004E-4"/>
    <n v="9"/>
    <n v="0"/>
    <n v="0"/>
    <s v="-"/>
    <s v="-"/>
  </r>
  <r>
    <s v="MCS2026"/>
    <x v="49"/>
    <x v="21"/>
    <s v="Mine production, tantalum content"/>
    <s v="ton"/>
    <n v="210"/>
    <n v="190"/>
    <n v="2500"/>
    <n v="7.5999999999999998E-2"/>
    <n v="4"/>
    <n v="40000"/>
    <n v="0"/>
    <s v="-"/>
    <n v="3"/>
  </r>
  <r>
    <s v="MCS2026"/>
    <x v="49"/>
    <x v="102"/>
    <s v="Mine production, tantalum content"/>
    <s v="ton"/>
    <n v="2"/>
    <n v="2"/>
    <n v="2500"/>
    <n v="8.0000000000000004E-4"/>
    <n v="9"/>
    <n v="0"/>
    <n v="0"/>
    <s v="-"/>
    <s v="-"/>
  </r>
  <r>
    <s v="MCS2026"/>
    <x v="49"/>
    <x v="3"/>
    <s v="Mine production, tantalum content"/>
    <s v="ton"/>
    <n v="76"/>
    <n v="80"/>
    <n v="2500"/>
    <n v="3.2000000000000001E-2"/>
    <n v="5"/>
    <n v="240000"/>
    <n v="0"/>
    <s v="-"/>
    <n v="1"/>
  </r>
  <r>
    <s v="MCS2026"/>
    <x v="49"/>
    <x v="52"/>
    <s v="Mine production, tantalum content"/>
    <s v="ton"/>
    <n v="1270"/>
    <n v="1300"/>
    <n v="2500"/>
    <n v="0.52"/>
    <n v="1"/>
    <n v="0"/>
    <n v="0"/>
    <s v="-"/>
    <s v="-"/>
  </r>
  <r>
    <s v="MCS2026"/>
    <x v="49"/>
    <x v="98"/>
    <s v="Mine production, tantalum content"/>
    <s v="ton"/>
    <n v="40"/>
    <n v="40"/>
    <n v="2500"/>
    <n v="1.6E-2"/>
    <n v="7"/>
    <n v="0"/>
    <n v="0"/>
    <s v="-"/>
    <s v="-"/>
  </r>
  <r>
    <s v="MCS2026"/>
    <x v="49"/>
    <x v="34"/>
    <s v="Mine production, tantalum content"/>
    <s v="ton"/>
    <n v="55"/>
    <n v="1"/>
    <n v="2500"/>
    <n v="4.0000000000000002E-4"/>
    <n v="11"/>
    <n v="0"/>
    <n v="0"/>
    <s v="-"/>
    <s v="-"/>
  </r>
  <r>
    <s v="MCS2026"/>
    <x v="49"/>
    <x v="35"/>
    <s v="Mine production, tantalum content"/>
    <s v="ton"/>
    <n v="390"/>
    <n v="390"/>
    <n v="2500"/>
    <n v="0.156"/>
    <n v="3"/>
    <n v="0"/>
    <n v="0"/>
    <s v="-"/>
    <s v="-"/>
  </r>
  <r>
    <s v="MCS2026"/>
    <x v="49"/>
    <x v="13"/>
    <s v="Mine production, tantalum content"/>
    <s v="ton"/>
    <n v="29"/>
    <n v="30"/>
    <n v="2500"/>
    <n v="1.2E-2"/>
    <n v="8"/>
    <n v="150"/>
    <n v="0"/>
    <s v="-"/>
    <n v="4"/>
  </r>
  <r>
    <s v="MCS2026"/>
    <x v="49"/>
    <x v="36"/>
    <s v="Mine production, tantalum content"/>
    <s v="ton"/>
    <n v="374"/>
    <n v="400"/>
    <n v="2500"/>
    <n v="0.16"/>
    <n v="2"/>
    <n v="0"/>
    <n v="0"/>
    <s v="-"/>
    <s v="-"/>
  </r>
  <r>
    <s v="MCS2026"/>
    <x v="49"/>
    <x v="15"/>
    <s v="Mine production, tantalum content"/>
    <s v="ton"/>
    <n v="0"/>
    <n v="0"/>
    <n v="2500"/>
    <n v="0"/>
    <s v="-"/>
    <n v="0"/>
    <n v="0"/>
    <s v="-"/>
    <s v="-"/>
  </r>
  <r>
    <s v="MCS2026"/>
    <x v="50"/>
    <x v="37"/>
    <s v="Refinery production, tellurium content"/>
    <s v="ton"/>
    <n v="1"/>
    <n v="1"/>
    <n v="1000"/>
    <n v="1E-3"/>
    <n v="8"/>
    <n v="0"/>
    <n v="0"/>
    <s v="-"/>
    <s v="-"/>
  </r>
  <r>
    <s v="MCS2026"/>
    <x v="50"/>
    <x v="2"/>
    <s v="Refinery production, tellurium content"/>
    <s v="ton"/>
    <n v="27"/>
    <n v="28"/>
    <n v="1000"/>
    <n v="2.8000000000000001E-2"/>
    <n v="5"/>
    <n v="0"/>
    <n v="0"/>
    <s v="-"/>
    <s v="-"/>
  </r>
  <r>
    <s v="MCS2026"/>
    <x v="50"/>
    <x v="3"/>
    <s v="Refinery production, tellurium content"/>
    <s v="ton"/>
    <n v="750"/>
    <n v="800"/>
    <n v="1000"/>
    <n v="0.8"/>
    <n v="1"/>
    <n v="0"/>
    <n v="0"/>
    <s v="-"/>
    <s v="-"/>
  </r>
  <r>
    <s v="MCS2026"/>
    <x v="50"/>
    <x v="18"/>
    <s v="Refinery production, tellurium content"/>
    <s v="ton"/>
    <n v="70"/>
    <n v="61"/>
    <n v="1000"/>
    <n v="6.0999999999999999E-2"/>
    <n v="3"/>
    <n v="0"/>
    <n v="0"/>
    <s v="-"/>
    <s v="-"/>
  </r>
  <r>
    <s v="MCS2026"/>
    <x v="50"/>
    <x v="23"/>
    <s v="Refinery production, tellurium content"/>
    <s v="ton"/>
    <n v="0"/>
    <n v="0"/>
    <n v="1000"/>
    <n v="0"/>
    <n v="10"/>
    <n v="0"/>
    <n v="0"/>
    <s v="-"/>
    <n v="10"/>
  </r>
  <r>
    <s v="MCS2026"/>
    <x v="50"/>
    <x v="13"/>
    <s v="Refinery production, tellurium content"/>
    <s v="ton"/>
    <n v="64"/>
    <n v="67"/>
    <n v="1000"/>
    <n v="6.7000000000000004E-2"/>
    <n v="2"/>
    <n v="0"/>
    <n v="0"/>
    <s v="-"/>
    <s v="-"/>
  </r>
  <r>
    <s v="MCS2026"/>
    <x v="50"/>
    <x v="49"/>
    <s v="Refinery production, tellurium content"/>
    <s v="ton"/>
    <n v="5"/>
    <n v="5"/>
    <n v="1000"/>
    <n v="5.0000000000000001E-3"/>
    <n v="7"/>
    <n v="0"/>
    <n v="0"/>
    <s v="-"/>
    <s v="-"/>
  </r>
  <r>
    <s v="MCS2026"/>
    <x v="50"/>
    <x v="73"/>
    <s v="Refinery production, tellurium content"/>
    <s v="ton"/>
    <n v="46"/>
    <n v="48"/>
    <n v="1000"/>
    <n v="4.8000000000000001E-2"/>
    <n v="4"/>
    <n v="0"/>
    <n v="0"/>
    <s v="-"/>
    <s v="-"/>
  </r>
  <r>
    <s v="MCS2026"/>
    <x v="50"/>
    <x v="15"/>
    <s v="Refinery production, tellurium content"/>
    <s v="ton"/>
    <n v="0"/>
    <n v="0"/>
    <n v="1000"/>
    <n v="0"/>
    <s v="-"/>
    <n v="0"/>
    <n v="0"/>
    <s v="-"/>
    <s v="-"/>
  </r>
  <r>
    <s v="MCS2026"/>
    <x v="50"/>
    <x v="47"/>
    <s v="Refinery production, tellurium content"/>
    <s v="ton"/>
    <n v="18"/>
    <n v="18"/>
    <n v="1000"/>
    <n v="1.7999999999999999E-2"/>
    <n v="6"/>
    <n v="0"/>
    <n v="0"/>
    <s v="-"/>
    <s v="-"/>
  </r>
  <r>
    <s v="MCS2026"/>
    <x v="51"/>
    <x v="0"/>
    <s v="Mine production, tin content"/>
    <s v="ton"/>
    <n v="11300"/>
    <n v="12000"/>
    <n v="290000"/>
    <n v="4.1379310344827586E-2"/>
    <n v="7"/>
    <n v="570000"/>
    <n v="6000000"/>
    <n v="9.5000000000000001E-2"/>
    <n v="5"/>
  </r>
  <r>
    <s v="MCS2026"/>
    <x v="51"/>
    <x v="1"/>
    <s v="Mine production, tin content"/>
    <s v="ton"/>
    <n v="21200"/>
    <n v="15000"/>
    <n v="290000"/>
    <n v="5.1724137931034482E-2"/>
    <n v="6"/>
    <n v="400000"/>
    <n v="6000000"/>
    <n v="6.6666666666666666E-2"/>
    <n v="7"/>
  </r>
  <r>
    <s v="MCS2026"/>
    <x v="51"/>
    <x v="21"/>
    <s v="Mine production, tin content"/>
    <s v="ton"/>
    <n v="27600"/>
    <n v="28000"/>
    <n v="290000"/>
    <n v="9.6551724137931033E-2"/>
    <n v="4"/>
    <n v="700000"/>
    <n v="6000000"/>
    <n v="0.11666666666666667"/>
    <n v="3"/>
  </r>
  <r>
    <s v="MCS2026"/>
    <x v="51"/>
    <x v="3"/>
    <s v="Mine production, tin content"/>
    <s v="ton"/>
    <n v="71000"/>
    <n v="71000"/>
    <n v="290000"/>
    <n v="0.24482758620689654"/>
    <n v="1"/>
    <n v="1200000"/>
    <n v="6000000"/>
    <n v="0.2"/>
    <n v="2"/>
  </r>
  <r>
    <s v="MCS2026"/>
    <x v="51"/>
    <x v="52"/>
    <s v="Mine production, tin content"/>
    <s v="ton"/>
    <n v="26000"/>
    <n v="27000"/>
    <n v="290000"/>
    <n v="9.3103448275862075E-2"/>
    <n v="5"/>
    <n v="91000"/>
    <n v="6000000"/>
    <n v="1.5166666666666667E-2"/>
    <n v="9"/>
  </r>
  <r>
    <s v="MCS2026"/>
    <x v="51"/>
    <x v="27"/>
    <s v="Mine production, tin content"/>
    <s v="ton"/>
    <n v="55000"/>
    <n v="61000"/>
    <n v="290000"/>
    <n v="0.2103448275862069"/>
    <n v="2"/>
    <n v="1400000"/>
    <n v="6000000"/>
    <n v="0.23333333333333334"/>
    <n v="1"/>
  </r>
  <r>
    <s v="MCS2026"/>
    <x v="51"/>
    <x v="8"/>
    <s v="Mine production, tin content"/>
    <s v="ton"/>
    <n v="1860"/>
    <n v="1800"/>
    <n v="290000"/>
    <n v="6.2068965517241377E-3"/>
    <n v="14"/>
    <n v="0"/>
    <n v="6000000"/>
    <n v="0"/>
    <s v="-"/>
  </r>
  <r>
    <s v="MCS2026"/>
    <x v="51"/>
    <x v="74"/>
    <s v="Mine production, tin content"/>
    <s v="ton"/>
    <n v="5460"/>
    <n v="5000"/>
    <n v="290000"/>
    <n v="1.7241379310344827E-2"/>
    <n v="10"/>
    <n v="0"/>
    <n v="6000000"/>
    <n v="0"/>
    <s v="-"/>
  </r>
  <r>
    <s v="MCS2026"/>
    <x v="51"/>
    <x v="10"/>
    <s v="Mine production, tin content"/>
    <s v="ton"/>
    <n v="20000"/>
    <n v="12000"/>
    <n v="290000"/>
    <n v="4.1379310344827586E-2"/>
    <n v="7"/>
    <n v="700000"/>
    <n v="6000000"/>
    <n v="0.11666666666666667"/>
    <n v="3"/>
  </r>
  <r>
    <s v="MCS2026"/>
    <x v="51"/>
    <x v="35"/>
    <s v="Mine production, tin content"/>
    <s v="ton"/>
    <n v="3100"/>
    <n v="3500"/>
    <n v="290000"/>
    <n v="1.2068965517241379E-2"/>
    <n v="13"/>
    <n v="0"/>
    <n v="6000000"/>
    <n v="0"/>
    <s v="-"/>
  </r>
  <r>
    <s v="MCS2026"/>
    <x v="51"/>
    <x v="23"/>
    <s v="Mine production, tin content"/>
    <s v="ton"/>
    <n v="1570"/>
    <n v="1700"/>
    <n v="290000"/>
    <n v="5.8620689655172415E-3"/>
    <n v="16"/>
    <n v="310000"/>
    <n v="6000000"/>
    <n v="5.1666666666666666E-2"/>
    <n v="16"/>
  </r>
  <r>
    <s v="MCS2026"/>
    <x v="51"/>
    <x v="20"/>
    <s v="Mine production, tin content"/>
    <s v="ton"/>
    <n v="32300"/>
    <n v="33000"/>
    <n v="290000"/>
    <n v="0.11379310344827587"/>
    <n v="3"/>
    <n v="150000"/>
    <n v="6000000"/>
    <n v="2.5000000000000001E-2"/>
    <n v="8"/>
  </r>
  <r>
    <s v="MCS2026"/>
    <x v="51"/>
    <x v="13"/>
    <s v="Mine production, tin content"/>
    <s v="ton"/>
    <n v="3260"/>
    <n v="4500"/>
    <n v="290000"/>
    <n v="1.5517241379310345E-2"/>
    <n v="12"/>
    <n v="460000"/>
    <n v="6000000"/>
    <n v="7.6666666666666661E-2"/>
    <n v="6"/>
  </r>
  <r>
    <s v="MCS2026"/>
    <x v="51"/>
    <x v="36"/>
    <s v="Mine production, tin content"/>
    <s v="ton"/>
    <n v="4100"/>
    <n v="4600"/>
    <n v="290000"/>
    <n v="1.5862068965517243E-2"/>
    <n v="11"/>
    <n v="0"/>
    <n v="6000000"/>
    <n v="0"/>
    <s v="-"/>
  </r>
  <r>
    <s v="MCS2026"/>
    <x v="51"/>
    <x v="15"/>
    <s v="Mine production, tin content"/>
    <s v="ton"/>
    <n v="0"/>
    <n v="0"/>
    <n v="290000"/>
    <n v="0"/>
    <s v="-"/>
    <n v="0"/>
    <n v="6000000"/>
    <n v="0"/>
    <s v="-"/>
  </r>
  <r>
    <s v="MCS2026"/>
    <x v="51"/>
    <x v="16"/>
    <s v="Mine production, tin content"/>
    <s v="ton"/>
    <n v="11000"/>
    <n v="11000"/>
    <n v="290000"/>
    <n v="3.793103448275862E-2"/>
    <n v="9"/>
    <n v="23000"/>
    <n v="6000000"/>
    <n v="3.8333333333333331E-3"/>
    <n v="10"/>
  </r>
  <r>
    <s v="MCS2026"/>
    <x v="52"/>
    <x v="0"/>
    <s v="Mine production, ilmentite, titanium dioxide (TiO₂) content"/>
    <s v="k ton"/>
    <n v="600"/>
    <n v="780"/>
    <n v="9400"/>
    <n v="8.2978723404255314E-2"/>
    <n v="4"/>
    <n v="170000"/>
    <n v="490000"/>
    <n v="0.34693877551020408"/>
    <n v="1"/>
  </r>
  <r>
    <s v="MCS2026"/>
    <x v="52"/>
    <x v="2"/>
    <s v="Mine production, ilmentite, titanium dioxide (TiO₂) content"/>
    <s v="k ton"/>
    <n v="360"/>
    <n v="360"/>
    <n v="9400"/>
    <n v="3.8297872340425532E-2"/>
    <n v="7"/>
    <n v="50000"/>
    <n v="490000"/>
    <n v="0.10204081632653061"/>
    <n v="3"/>
  </r>
  <r>
    <s v="MCS2026"/>
    <x v="52"/>
    <x v="3"/>
    <s v="Mine production, ilmentite, titanium dioxide (TiO₂) content"/>
    <s v="k ton"/>
    <n v="3040"/>
    <n v="3200"/>
    <n v="9400"/>
    <n v="0.34042553191489361"/>
    <n v="1"/>
    <n v="110000"/>
    <n v="490000"/>
    <n v="0.22448979591836735"/>
    <n v="2"/>
  </r>
  <r>
    <s v="MCS2026"/>
    <x v="52"/>
    <x v="22"/>
    <s v="Mine production, ilmentite, titanium dioxide (TiO₂) content"/>
    <s v="k ton"/>
    <n v="230"/>
    <n v="240"/>
    <n v="9400"/>
    <n v="2.553191489361702E-2"/>
    <n v="9"/>
    <n v="15000"/>
    <n v="490000"/>
    <n v="3.0612244897959183E-2"/>
    <n v="7"/>
  </r>
  <r>
    <s v="MCS2026"/>
    <x v="52"/>
    <x v="33"/>
    <s v="Mine production, ilmentite, titanium dioxide (TiO₂) content"/>
    <s v="k ton"/>
    <n v="300"/>
    <n v="300"/>
    <n v="9400"/>
    <n v="3.1914893617021274E-2"/>
    <n v="8"/>
    <n v="30000"/>
    <n v="490000"/>
    <n v="6.1224489795918366E-2"/>
    <n v="5"/>
  </r>
  <r>
    <s v="MCS2026"/>
    <x v="52"/>
    <x v="34"/>
    <s v="Mine production, ilmentite, titanium dioxide (TiO₂) content"/>
    <s v="k ton"/>
    <n v="1930"/>
    <n v="1900"/>
    <n v="9400"/>
    <n v="0.20212765957446807"/>
    <n v="2"/>
    <n v="0"/>
    <n v="490000"/>
    <n v="0"/>
    <s v="-"/>
  </r>
  <r>
    <s v="MCS2026"/>
    <x v="52"/>
    <x v="45"/>
    <s v="Mine production, ilmentite, titanium dioxide (TiO₂) content"/>
    <s v="k ton"/>
    <n v="432"/>
    <n v="390"/>
    <n v="9400"/>
    <n v="4.1489361702127657E-2"/>
    <n v="5"/>
    <n v="37000"/>
    <n v="490000"/>
    <n v="7.5510204081632656E-2"/>
    <n v="4"/>
  </r>
  <r>
    <s v="MCS2026"/>
    <x v="52"/>
    <x v="23"/>
    <s v="Mine production, ilmentite, titanium dioxide (TiO₂) content"/>
    <s v="k ton"/>
    <n v="332"/>
    <n v="230"/>
    <n v="9400"/>
    <n v="2.4468085106382979E-2"/>
    <n v="12"/>
    <n v="46000"/>
    <n v="490000"/>
    <n v="9.3877551020408165E-2"/>
    <n v="12"/>
  </r>
  <r>
    <s v="MCS2026"/>
    <x v="52"/>
    <x v="88"/>
    <s v="Mine production, ilmentite, titanium dioxide (TiO₂) content"/>
    <s v="k ton"/>
    <n v="345"/>
    <n v="370"/>
    <n v="9400"/>
    <n v="3.9361702127659576E-2"/>
    <n v="6"/>
    <n v="0"/>
    <n v="490000"/>
    <n v="0"/>
    <s v="-"/>
  </r>
  <r>
    <s v="MCS2026"/>
    <x v="52"/>
    <x v="49"/>
    <s v="Mine production, ilmentite, titanium dioxide (TiO₂) content"/>
    <s v="k ton"/>
    <n v="1260"/>
    <n v="1300"/>
    <n v="9400"/>
    <n v="0.13829787234042554"/>
    <n v="3"/>
    <n v="28000"/>
    <n v="490000"/>
    <n v="5.7142857142857141E-2"/>
    <n v="6"/>
  </r>
  <r>
    <s v="MCS2026"/>
    <x v="52"/>
    <x v="43"/>
    <s v="Mine production, ilmentite, titanium dioxide (TiO₂) content"/>
    <s v="k ton"/>
    <n v="286"/>
    <n v="200"/>
    <n v="9400"/>
    <n v="2.1276595744680851E-2"/>
    <n v="10"/>
    <n v="5900"/>
    <n v="490000"/>
    <n v="1.2040816326530613E-2"/>
    <n v="8"/>
  </r>
  <r>
    <s v="MCS2026"/>
    <x v="52"/>
    <x v="15"/>
    <s v="Mine production, ilmentite, titanium dioxide (TiO₂) content"/>
    <s v="k ton"/>
    <n v="100"/>
    <n v="100"/>
    <n v="9400"/>
    <n v="1.0638297872340425E-2"/>
    <n v="11"/>
    <n v="2000"/>
    <n v="490000"/>
    <n v="4.0816326530612249E-3"/>
    <n v="9"/>
  </r>
  <r>
    <s v="MCS2026"/>
    <x v="53"/>
    <x v="0"/>
    <s v="Mine production, rutile, titanium dioxide (TiO₂) content"/>
    <s v="k ton"/>
    <n v="200"/>
    <n v="200"/>
    <n v="450"/>
    <n v="0.44444444444444442"/>
    <n v="1"/>
    <n v="35000"/>
    <n v="49000"/>
    <n v="0.7142857142857143"/>
    <n v="1"/>
  </r>
  <r>
    <s v="MCS2026"/>
    <x v="53"/>
    <x v="22"/>
    <s v="Mine production, rutile, titanium dioxide (TiO₂) content"/>
    <s v="k ton"/>
    <n v="12"/>
    <n v="13"/>
    <n v="450"/>
    <n v="2.8888888888888888E-2"/>
    <n v="4"/>
    <n v="670"/>
    <n v="49000"/>
    <n v="1.3673469387755101E-2"/>
    <n v="6"/>
  </r>
  <r>
    <s v="MCS2026"/>
    <x v="53"/>
    <x v="99"/>
    <s v="Mine production, rutile, titanium dioxide (TiO₂) content"/>
    <s v="k ton"/>
    <n v="41"/>
    <n v="0"/>
    <n v="450"/>
    <n v="0"/>
    <s v="-"/>
    <n v="0"/>
    <n v="49000"/>
    <n v="0"/>
    <s v="-"/>
  </r>
  <r>
    <s v="MCS2026"/>
    <x v="53"/>
    <x v="34"/>
    <s v="Mine production, rutile, titanium dioxide (TiO₂) content"/>
    <s v="k ton"/>
    <n v="9"/>
    <n v="10"/>
    <n v="450"/>
    <n v="2.2222222222222223E-2"/>
    <n v="5"/>
    <n v="720"/>
    <n v="49000"/>
    <n v="1.4693877551020407E-2"/>
    <n v="5"/>
  </r>
  <r>
    <s v="MCS2026"/>
    <x v="53"/>
    <x v="23"/>
    <s v="Mine production, rutile, titanium dioxide (TiO₂) content"/>
    <s v="k ton"/>
    <n v="10"/>
    <n v="9"/>
    <n v="450"/>
    <n v="0.02"/>
    <n v="9"/>
    <n v="540"/>
    <n v="49000"/>
    <n v="1.1020408163265306E-2"/>
    <n v="9"/>
  </r>
  <r>
    <s v="MCS2026"/>
    <x v="53"/>
    <x v="103"/>
    <s v="Mine production, rutile, titanium dioxide (TiO₂) content"/>
    <s v="k ton"/>
    <n v="80"/>
    <n v="110"/>
    <n v="450"/>
    <n v="0.24444444444444444"/>
    <n v="2"/>
    <n v="2900"/>
    <n v="49000"/>
    <n v="5.9183673469387757E-2"/>
    <n v="3"/>
  </r>
  <r>
    <s v="MCS2026"/>
    <x v="53"/>
    <x v="49"/>
    <s v="Mine production, rutile, titanium dioxide (TiO₂) content"/>
    <s v="k ton"/>
    <n v="102"/>
    <n v="100"/>
    <n v="450"/>
    <n v="0.22222222222222221"/>
    <n v="3"/>
    <n v="6200"/>
    <n v="49000"/>
    <n v="0.12653061224489795"/>
    <n v="2"/>
  </r>
  <r>
    <s v="MCS2026"/>
    <x v="53"/>
    <x v="43"/>
    <s v="Mine production, rutile, titanium dioxide (TiO₂) content"/>
    <s v="k ton"/>
    <n v="9"/>
    <n v="10"/>
    <n v="450"/>
    <n v="2.2222222222222223E-2"/>
    <n v="5"/>
    <n v="2500"/>
    <n v="49000"/>
    <n v="5.1020408163265307E-2"/>
    <n v="4"/>
  </r>
  <r>
    <s v="MCS2026"/>
    <x v="53"/>
    <x v="15"/>
    <s v="Mine production, rutile, titanium dioxide (TiO₂) content"/>
    <s v="k ton"/>
    <n v="0"/>
    <n v="0"/>
    <n v="450"/>
    <n v="0"/>
    <s v="-"/>
    <n v="0"/>
    <n v="49000"/>
    <n v="0"/>
    <s v="-"/>
  </r>
  <r>
    <s v="MCS2026"/>
    <x v="54"/>
    <x v="0"/>
    <s v="Mine production, tungsten content"/>
    <s v="ton"/>
    <n v="920"/>
    <n v="1000"/>
    <n v="85000"/>
    <n v="1.1764705882352941E-2"/>
    <n v="8"/>
    <n v="570000"/>
    <n v="4700000"/>
    <n v="0.12127659574468085"/>
    <n v="2"/>
  </r>
  <r>
    <s v="MCS2026"/>
    <x v="54"/>
    <x v="64"/>
    <s v="Mine production, tungsten content"/>
    <s v="ton"/>
    <n v="840"/>
    <n v="840"/>
    <n v="85000"/>
    <n v="9.8823529411764706E-3"/>
    <n v="9"/>
    <n v="10000"/>
    <n v="4700000"/>
    <n v="2.1276595744680851E-3"/>
    <n v="7"/>
  </r>
  <r>
    <s v="MCS2026"/>
    <x v="54"/>
    <x v="1"/>
    <s v="Mine production, tungsten content"/>
    <s v="ton"/>
    <n v="1700"/>
    <n v="1700"/>
    <n v="85000"/>
    <n v="0.02"/>
    <n v="6"/>
    <n v="0"/>
    <n v="4700000"/>
    <n v="0"/>
    <s v="-"/>
  </r>
  <r>
    <s v="MCS2026"/>
    <x v="54"/>
    <x v="3"/>
    <s v="Mine production, tungsten content"/>
    <s v="ton"/>
    <n v="67000"/>
    <n v="67000"/>
    <n v="85000"/>
    <n v="0.78823529411764703"/>
    <n v="1"/>
    <n v="2500000"/>
    <n v="4700000"/>
    <n v="0.53191489361702127"/>
    <n v="1"/>
  </r>
  <r>
    <s v="MCS2026"/>
    <x v="54"/>
    <x v="6"/>
    <s v="Mine production, tungsten content"/>
    <s v="ton"/>
    <n v="0"/>
    <n v="2400"/>
    <n v="85000"/>
    <n v="2.823529411764706E-2"/>
    <n v="3"/>
    <n v="0"/>
    <n v="4700000"/>
    <n v="0"/>
    <s v="-"/>
  </r>
  <r>
    <s v="MCS2026"/>
    <x v="54"/>
    <x v="65"/>
    <s v="Mine production, tungsten content"/>
    <s v="ton"/>
    <n v="1900"/>
    <n v="2000"/>
    <n v="85000"/>
    <n v="2.3529411764705882E-2"/>
    <n v="4"/>
    <n v="29000"/>
    <n v="4700000"/>
    <n v="6.1702127659574472E-3"/>
    <n v="6"/>
  </r>
  <r>
    <s v="MCS2026"/>
    <x v="54"/>
    <x v="23"/>
    <s v="Mine production, tungsten content"/>
    <s v="ton"/>
    <n v="1700"/>
    <n v="2400"/>
    <n v="85000"/>
    <n v="2.823529411764706E-2"/>
    <n v="13"/>
    <n v="950000"/>
    <n v="4700000"/>
    <n v="0.20212765957446807"/>
    <n v="13"/>
  </r>
  <r>
    <s v="MCS2026"/>
    <x v="54"/>
    <x v="77"/>
    <s v="Mine production, tungsten content"/>
    <s v="ton"/>
    <n v="650"/>
    <n v="700"/>
    <n v="85000"/>
    <n v="8.2352941176470594E-3"/>
    <n v="11"/>
    <n v="3400"/>
    <n v="4700000"/>
    <n v="7.2340425531914894E-4"/>
    <n v="8"/>
  </r>
  <r>
    <s v="MCS2026"/>
    <x v="54"/>
    <x v="13"/>
    <s v="Mine production, tungsten content"/>
    <s v="ton"/>
    <n v="1500"/>
    <n v="2000"/>
    <n v="85000"/>
    <n v="2.3529411764705882E-2"/>
    <n v="4"/>
    <n v="400000"/>
    <n v="4700000"/>
    <n v="8.5106382978723402E-2"/>
    <n v="3"/>
  </r>
  <r>
    <s v="MCS2026"/>
    <x v="54"/>
    <x v="36"/>
    <s v="Mine production, tungsten content"/>
    <s v="ton"/>
    <n v="1300"/>
    <n v="1300"/>
    <n v="85000"/>
    <n v="1.5294117647058824E-2"/>
    <n v="7"/>
    <n v="0"/>
    <n v="4700000"/>
    <n v="0"/>
    <s v="-"/>
  </r>
  <r>
    <s v="MCS2026"/>
    <x v="54"/>
    <x v="31"/>
    <s v="Mine production, tungsten content"/>
    <s v="ton"/>
    <n v="700"/>
    <n v="800"/>
    <n v="85000"/>
    <n v="9.4117647058823521E-3"/>
    <n v="10"/>
    <n v="66000"/>
    <n v="4700000"/>
    <n v="1.4042553191489362E-2"/>
    <n v="5"/>
  </r>
  <r>
    <s v="MCS2026"/>
    <x v="54"/>
    <x v="15"/>
    <s v="Mine production, tungsten content"/>
    <s v="ton"/>
    <n v="0"/>
    <n v="0"/>
    <n v="85000"/>
    <n v="0"/>
    <s v="-"/>
    <n v="0"/>
    <n v="4700000"/>
    <n v="0"/>
    <s v="-"/>
  </r>
  <r>
    <s v="MCS2026"/>
    <x v="54"/>
    <x v="16"/>
    <s v="Mine production, tungsten content"/>
    <s v="ton"/>
    <n v="3400"/>
    <n v="3000"/>
    <n v="85000"/>
    <n v="3.5294117647058823E-2"/>
    <n v="2"/>
    <n v="170000"/>
    <n v="4700000"/>
    <n v="3.6170212765957444E-2"/>
    <n v="4"/>
  </r>
  <r>
    <s v="MCS2026"/>
    <x v="55"/>
    <x v="0"/>
    <s v="Mine production, vanadium content"/>
    <s v="ton"/>
    <n v="0"/>
    <n v="0"/>
    <n v="110000"/>
    <n v="0"/>
    <s v="-"/>
    <n v="10000000"/>
    <n v="21000000"/>
    <n v="0.47619047619047616"/>
    <n v="1"/>
  </r>
  <r>
    <s v="MCS2026"/>
    <x v="55"/>
    <x v="21"/>
    <s v="Mine production, vanadium content"/>
    <s v="ton"/>
    <n v="5190"/>
    <n v="5300"/>
    <n v="110000"/>
    <n v="4.818181818181818E-2"/>
    <n v="3"/>
    <n v="94000"/>
    <n v="21000000"/>
    <n v="4.4761904761904765E-3"/>
    <n v="5"/>
  </r>
  <r>
    <s v="MCS2026"/>
    <x v="55"/>
    <x v="3"/>
    <s v="Mine production, vanadium content"/>
    <s v="ton"/>
    <n v="84000"/>
    <n v="82000"/>
    <n v="110000"/>
    <n v="0.74545454545454548"/>
    <n v="1"/>
    <n v="5800000"/>
    <n v="21000000"/>
    <n v="0.27619047619047621"/>
    <n v="2"/>
  </r>
  <r>
    <s v="MCS2026"/>
    <x v="55"/>
    <x v="13"/>
    <s v="Mine production, vanadium content"/>
    <s v="ton"/>
    <n v="21000"/>
    <n v="21000"/>
    <n v="110000"/>
    <n v="0.19090909090909092"/>
    <n v="2"/>
    <n v="5000000"/>
    <n v="21000000"/>
    <n v="0.23809523809523808"/>
    <n v="3"/>
  </r>
  <r>
    <s v="MCS2026"/>
    <x v="55"/>
    <x v="49"/>
    <s v="Mine production, vanadium content"/>
    <s v="ton"/>
    <n v="8050"/>
    <n v="5000"/>
    <n v="110000"/>
    <n v="4.5454545454545456E-2"/>
    <n v="4"/>
    <n v="520000"/>
    <n v="21000000"/>
    <n v="2.4761904761904763E-2"/>
    <n v="4"/>
  </r>
  <r>
    <s v="MCS2026"/>
    <x v="55"/>
    <x v="15"/>
    <s v="Mine production, vanadium content"/>
    <s v="ton"/>
    <n v="0"/>
    <n v="0"/>
    <n v="110000"/>
    <n v="0"/>
    <s v="-"/>
    <n v="50000"/>
    <n v="21000000"/>
    <n v="2.3809523809523812E-3"/>
    <n v="6"/>
  </r>
  <r>
    <s v="MCS2026"/>
    <x v="56"/>
    <x v="21"/>
    <s v="Mine production"/>
    <s v="k ton"/>
    <n v="53"/>
    <n v="50"/>
    <n v="460"/>
    <n v="0.10869565217391304"/>
    <n v="3"/>
    <n v="6600"/>
    <n v="0"/>
    <s v="-"/>
    <n v="4"/>
  </r>
  <r>
    <s v="MCS2026"/>
    <x v="56"/>
    <x v="37"/>
    <s v="Mine production"/>
    <s v="k ton"/>
    <n v="10"/>
    <n v="10"/>
    <n v="460"/>
    <n v="2.1739130434782608E-2"/>
    <n v="8"/>
    <n v="0"/>
    <n v="0"/>
    <s v="-"/>
    <s v="-"/>
  </r>
  <r>
    <s v="MCS2026"/>
    <x v="56"/>
    <x v="3"/>
    <s v="Mine production"/>
    <s v="k ton"/>
    <n v="39"/>
    <n v="40"/>
    <n v="460"/>
    <n v="8.6956521739130432E-2"/>
    <n v="4"/>
    <n v="2900"/>
    <n v="0"/>
    <s v="-"/>
    <n v="5"/>
  </r>
  <r>
    <s v="MCS2026"/>
    <x v="56"/>
    <x v="22"/>
    <s v="Mine production"/>
    <s v="k ton"/>
    <n v="2"/>
    <n v="2"/>
    <n v="460"/>
    <n v="4.3478260869565218E-3"/>
    <n v="10"/>
    <n v="1600"/>
    <n v="0"/>
    <s v="-"/>
    <n v="6"/>
  </r>
  <r>
    <s v="MCS2026"/>
    <x v="56"/>
    <x v="9"/>
    <s v="Mine production"/>
    <s v="k ton"/>
    <n v="0"/>
    <n v="0"/>
    <n v="460"/>
    <n v="0"/>
    <s v="-"/>
    <n v="0"/>
    <n v="0"/>
    <s v="-"/>
    <s v="-"/>
  </r>
  <r>
    <s v="MCS2026"/>
    <x v="56"/>
    <x v="12"/>
    <s v="Mine production"/>
    <s v="k ton"/>
    <n v="13"/>
    <n v="10"/>
    <n v="460"/>
    <n v="2.1739130434782608E-2"/>
    <n v="8"/>
    <n v="11000"/>
    <n v="0"/>
    <s v="-"/>
    <n v="3"/>
  </r>
  <r>
    <s v="MCS2026"/>
    <x v="56"/>
    <x v="13"/>
    <s v="Mine production"/>
    <s v="k ton"/>
    <n v="37"/>
    <n v="40"/>
    <n v="460"/>
    <n v="8.6956521739130432E-2"/>
    <n v="4"/>
    <n v="0"/>
    <n v="0"/>
    <s v="-"/>
    <s v="-"/>
  </r>
  <r>
    <s v="MCS2026"/>
    <x v="56"/>
    <x v="49"/>
    <s v="Mine production"/>
    <s v="k ton"/>
    <n v="163"/>
    <n v="160"/>
    <n v="460"/>
    <n v="0.34782608695652173"/>
    <n v="1"/>
    <n v="14000"/>
    <n v="0"/>
    <s v="-"/>
    <n v="2"/>
  </r>
  <r>
    <s v="MCS2026"/>
    <x v="56"/>
    <x v="104"/>
    <s v="Mine production"/>
    <s v="k ton"/>
    <n v="24"/>
    <n v="20"/>
    <n v="460"/>
    <n v="4.3478260869565216E-2"/>
    <n v="7"/>
    <n v="0"/>
    <n v="0"/>
    <s v="-"/>
    <s v="-"/>
  </r>
  <r>
    <s v="MCS2026"/>
    <x v="56"/>
    <x v="15"/>
    <s v="Mine production"/>
    <s v="k ton"/>
    <n v="100"/>
    <n v="100"/>
    <n v="460"/>
    <n v="0.21739130434782608"/>
    <n v="2"/>
    <n v="25000"/>
    <n v="0"/>
    <s v="-"/>
    <n v="1"/>
  </r>
  <r>
    <s v="MCS2026"/>
    <x v="56"/>
    <x v="47"/>
    <s v="Mine production"/>
    <s v="k ton"/>
    <n v="1"/>
    <n v="1"/>
    <n v="460"/>
    <n v="2.1739130434782609E-3"/>
    <n v="11"/>
    <n v="0"/>
    <n v="0"/>
    <s v="-"/>
    <s v="-"/>
  </r>
  <r>
    <s v="MCS2026"/>
    <x v="56"/>
    <x v="50"/>
    <s v="Mine production"/>
    <s v="k ton"/>
    <n v="28"/>
    <n v="30"/>
    <n v="460"/>
    <n v="6.5217391304347824E-2"/>
    <n v="6"/>
    <n v="0"/>
    <n v="0"/>
    <s v="-"/>
    <s v="-"/>
  </r>
  <r>
    <s v="MCS2026"/>
    <x v="57"/>
    <x v="2"/>
    <s v="Mine production"/>
    <s v="ton"/>
    <n v="20000"/>
    <n v="30000"/>
    <n v="860000"/>
    <n v="3.4883720930232558E-2"/>
    <n v="4"/>
    <n v="0"/>
    <n v="0"/>
    <s v="-"/>
    <s v="-"/>
  </r>
  <r>
    <s v="MCS2026"/>
    <x v="57"/>
    <x v="3"/>
    <s v="Mine production"/>
    <s v="ton"/>
    <n v="600000"/>
    <n v="600000"/>
    <n v="860000"/>
    <n v="0.69767441860465118"/>
    <n v="1"/>
    <n v="0"/>
    <n v="0"/>
    <s v="-"/>
    <s v="-"/>
  </r>
  <r>
    <s v="MCS2026"/>
    <x v="57"/>
    <x v="22"/>
    <s v="Mine production"/>
    <s v="ton"/>
    <n v="115000"/>
    <n v="120000"/>
    <n v="860000"/>
    <n v="0.13953488372093023"/>
    <n v="2"/>
    <n v="0"/>
    <n v="0"/>
    <s v="-"/>
    <s v="-"/>
  </r>
  <r>
    <s v="MCS2026"/>
    <x v="57"/>
    <x v="9"/>
    <s v="Mine production"/>
    <s v="ton"/>
    <n v="112000"/>
    <n v="100000"/>
    <n v="860000"/>
    <n v="0.11627906976744186"/>
    <n v="3"/>
    <n v="0"/>
    <n v="0"/>
    <s v="-"/>
    <s v="-"/>
  </r>
  <r>
    <s v="MCS2026"/>
    <x v="57"/>
    <x v="23"/>
    <s v="Mine production"/>
    <s v="ton"/>
    <n v="11000"/>
    <n v="11000"/>
    <n v="860000"/>
    <n v="1.2790697674418604E-2"/>
    <n v="6"/>
    <n v="0"/>
    <n v="0"/>
    <s v="-"/>
    <n v="6"/>
  </r>
  <r>
    <s v="MCS2026"/>
    <x v="57"/>
    <x v="15"/>
    <s v="Mine production"/>
    <s v="ton"/>
    <n v="0"/>
    <n v="0"/>
    <n v="860000"/>
    <n v="0"/>
    <s v="-"/>
    <n v="0"/>
    <n v="0"/>
    <s v="-"/>
    <s v="-"/>
  </r>
  <r>
    <s v="MCS2026"/>
    <x v="58"/>
    <x v="40"/>
    <s v="Mine production"/>
    <s v="ton"/>
    <n v="500"/>
    <n v="240"/>
    <n v="1300000"/>
    <n v="1.8461538461538461E-4"/>
    <n v="13"/>
    <n v="0"/>
    <n v="0"/>
    <s v="-"/>
    <s v="-"/>
  </r>
  <r>
    <s v="MCS2026"/>
    <x v="58"/>
    <x v="3"/>
    <s v="Mine production"/>
    <s v="ton"/>
    <n v="150000"/>
    <n v="150000"/>
    <n v="1300000"/>
    <n v="0.11538461538461539"/>
    <n v="4"/>
    <n v="0"/>
    <n v="0"/>
    <s v="-"/>
    <s v="-"/>
  </r>
  <r>
    <s v="MCS2026"/>
    <x v="58"/>
    <x v="51"/>
    <s v="Mine production"/>
    <s v="ton"/>
    <n v="14900"/>
    <n v="15000"/>
    <n v="1300000"/>
    <n v="1.1538461538461539E-2"/>
    <n v="10"/>
    <n v="0"/>
    <n v="0"/>
    <s v="-"/>
    <s v="-"/>
  </r>
  <r>
    <s v="MCS2026"/>
    <x v="58"/>
    <x v="86"/>
    <s v="Mine production"/>
    <s v="ton"/>
    <n v="243000"/>
    <n v="240000"/>
    <n v="1300000"/>
    <n v="0.18461538461538463"/>
    <n v="2"/>
    <n v="0"/>
    <n v="0"/>
    <s v="-"/>
    <s v="-"/>
  </r>
  <r>
    <s v="MCS2026"/>
    <x v="58"/>
    <x v="87"/>
    <s v="Mine production"/>
    <s v="ton"/>
    <n v="30000"/>
    <n v="31000"/>
    <n v="1300000"/>
    <n v="2.3846153846153847E-2"/>
    <n v="9"/>
    <n v="0"/>
    <n v="0"/>
    <s v="-"/>
    <s v="-"/>
  </r>
  <r>
    <s v="MCS2026"/>
    <x v="58"/>
    <x v="27"/>
    <s v="Mine production"/>
    <s v="ton"/>
    <n v="120000"/>
    <n v="120000"/>
    <n v="1300000"/>
    <n v="9.2307692307692313E-2"/>
    <n v="6"/>
    <n v="0"/>
    <n v="0"/>
    <s v="-"/>
    <s v="-"/>
  </r>
  <r>
    <s v="MCS2026"/>
    <x v="58"/>
    <x v="42"/>
    <s v="Mine production"/>
    <s v="ton"/>
    <n v="1000"/>
    <n v="1000"/>
    <n v="1300000"/>
    <n v="7.6923076923076923E-4"/>
    <n v="12"/>
    <n v="0"/>
    <n v="0"/>
    <s v="-"/>
    <s v="-"/>
  </r>
  <r>
    <s v="MCS2026"/>
    <x v="58"/>
    <x v="54"/>
    <s v="Mine production"/>
    <s v="ton"/>
    <n v="6320"/>
    <n v="6300"/>
    <n v="1300000"/>
    <n v="4.8461538461538464E-3"/>
    <n v="11"/>
    <n v="0"/>
    <n v="0"/>
    <s v="-"/>
    <s v="-"/>
  </r>
  <r>
    <s v="MCS2026"/>
    <x v="58"/>
    <x v="12"/>
    <s v="Mine production"/>
    <s v="ton"/>
    <n v="57100"/>
    <n v="58000"/>
    <n v="1300000"/>
    <n v="4.4615384615384612E-2"/>
    <n v="8"/>
    <n v="0"/>
    <n v="0"/>
    <s v="-"/>
    <s v="-"/>
  </r>
  <r>
    <s v="MCS2026"/>
    <x v="58"/>
    <x v="13"/>
    <s v="Mine production"/>
    <s v="ton"/>
    <n v="130000"/>
    <n v="130000"/>
    <n v="1300000"/>
    <n v="0.1"/>
    <n v="5"/>
    <n v="0"/>
    <n v="0"/>
    <s v="-"/>
    <s v="-"/>
  </r>
  <r>
    <s v="MCS2026"/>
    <x v="58"/>
    <x v="78"/>
    <s v="Mine production"/>
    <s v="ton"/>
    <n v="273000"/>
    <n v="280000"/>
    <n v="1300000"/>
    <n v="0.2153846153846154"/>
    <n v="1"/>
    <n v="0"/>
    <n v="0"/>
    <s v="-"/>
    <s v="-"/>
  </r>
  <r>
    <s v="MCS2026"/>
    <x v="58"/>
    <x v="38"/>
    <s v="Mine production"/>
    <s v="ton"/>
    <n v="140000"/>
    <n v="160000"/>
    <n v="1300000"/>
    <n v="0.12307692307692308"/>
    <n v="3"/>
    <n v="0"/>
    <n v="0"/>
    <s v="-"/>
    <s v="-"/>
  </r>
  <r>
    <s v="MCS2026"/>
    <x v="58"/>
    <x v="15"/>
    <s v="Mine production"/>
    <s v="ton"/>
    <n v="76900"/>
    <n v="80000"/>
    <n v="1300000"/>
    <n v="6.1538461538461542E-2"/>
    <n v="7"/>
    <n v="0"/>
    <n v="0"/>
    <s v="-"/>
    <s v="-"/>
  </r>
  <r>
    <s v="MCS2026"/>
    <x v="59"/>
    <x v="0"/>
    <s v="Mine production, zinc content"/>
    <s v="k ton"/>
    <n v="1100"/>
    <n v="1100"/>
    <n v="13000"/>
    <n v="8.461538461538462E-2"/>
    <n v="3"/>
    <n v="64000"/>
    <n v="240000"/>
    <n v="0.26666666666666666"/>
    <n v="1"/>
  </r>
  <r>
    <s v="MCS2026"/>
    <x v="59"/>
    <x v="1"/>
    <s v="Mine production, zinc content"/>
    <s v="k ton"/>
    <n v="512"/>
    <n v="500"/>
    <n v="13000"/>
    <n v="3.8461538461538464E-2"/>
    <n v="7"/>
    <n v="0"/>
    <n v="240000"/>
    <n v="0"/>
    <s v="-"/>
  </r>
  <r>
    <s v="MCS2026"/>
    <x v="59"/>
    <x v="3"/>
    <s v="Mine production, zinc content"/>
    <s v="k ton"/>
    <n v="4000"/>
    <n v="4100"/>
    <n v="13000"/>
    <n v="0.31538461538461537"/>
    <n v="1"/>
    <n v="60000"/>
    <n v="240000"/>
    <n v="0.25"/>
    <n v="2"/>
  </r>
  <r>
    <s v="MCS2026"/>
    <x v="59"/>
    <x v="22"/>
    <s v="Mine production, zinc content"/>
    <s v="k ton"/>
    <n v="870"/>
    <n v="870"/>
    <n v="13000"/>
    <n v="6.6923076923076918E-2"/>
    <n v="4"/>
    <n v="10000"/>
    <n v="240000"/>
    <n v="4.1666666666666664E-2"/>
    <n v="6"/>
  </r>
  <r>
    <s v="MCS2026"/>
    <x v="59"/>
    <x v="6"/>
    <s v="Mine production, zinc content"/>
    <s v="k ton"/>
    <n v="380"/>
    <n v="360"/>
    <n v="13000"/>
    <n v="2.7692307692307693E-2"/>
    <n v="9"/>
    <n v="7400"/>
    <n v="240000"/>
    <n v="3.0833333333333334E-2"/>
    <n v="8"/>
  </r>
  <r>
    <s v="MCS2026"/>
    <x v="59"/>
    <x v="9"/>
    <s v="Mine production, zinc content"/>
    <s v="k ton"/>
    <n v="773"/>
    <n v="780"/>
    <n v="13000"/>
    <n v="0.06"/>
    <n v="5"/>
    <n v="14000"/>
    <n v="240000"/>
    <n v="5.8333333333333334E-2"/>
    <n v="5"/>
  </r>
  <r>
    <s v="MCS2026"/>
    <x v="59"/>
    <x v="23"/>
    <s v="Mine production, zinc content"/>
    <s v="k ton"/>
    <n v="1730"/>
    <n v="2000"/>
    <n v="13000"/>
    <n v="0.15384615384615385"/>
    <n v="11"/>
    <n v="25000"/>
    <n v="240000"/>
    <n v="0.10416666666666667"/>
    <n v="11"/>
  </r>
  <r>
    <s v="MCS2026"/>
    <x v="59"/>
    <x v="20"/>
    <s v="Mine production, zinc content"/>
    <s v="k ton"/>
    <n v="1270"/>
    <n v="1500"/>
    <n v="13000"/>
    <n v="0.11538461538461539"/>
    <n v="2"/>
    <n v="18000"/>
    <n v="240000"/>
    <n v="7.4999999999999997E-2"/>
    <n v="4"/>
  </r>
  <r>
    <s v="MCS2026"/>
    <x v="59"/>
    <x v="13"/>
    <s v="Mine production, zinc content"/>
    <s v="k ton"/>
    <n v="310"/>
    <n v="430"/>
    <n v="13000"/>
    <n v="3.307692307692308E-2"/>
    <n v="8"/>
    <n v="29000"/>
    <n v="240000"/>
    <n v="0.12083333333333333"/>
    <n v="3"/>
  </r>
  <r>
    <s v="MCS2026"/>
    <x v="59"/>
    <x v="73"/>
    <s v="Mine production, zinc content"/>
    <s v="k ton"/>
    <n v="239"/>
    <n v="230"/>
    <n v="13000"/>
    <n v="1.7692307692307691E-2"/>
    <n v="10"/>
    <n v="4100"/>
    <n v="240000"/>
    <n v="1.7083333333333332E-2"/>
    <n v="9"/>
  </r>
  <r>
    <s v="MCS2026"/>
    <x v="59"/>
    <x v="15"/>
    <s v="Mine production, zinc content"/>
    <s v="k ton"/>
    <n v="759"/>
    <n v="670"/>
    <n v="13000"/>
    <n v="5.153846153846154E-2"/>
    <n v="6"/>
    <n v="9300"/>
    <n v="240000"/>
    <n v="3.875E-2"/>
    <n v="7"/>
  </r>
  <r>
    <s v="MCS2026"/>
    <x v="60"/>
    <x v="0"/>
    <s v="Mine production, zirconium, gross weight"/>
    <s v="k ton"/>
    <n v="400"/>
    <n v="400"/>
    <n v="1200"/>
    <n v="0.33333333333333331"/>
    <n v="1"/>
    <n v="55000"/>
    <n v="70000"/>
    <n v="0.7857142857142857"/>
    <n v="1"/>
  </r>
  <r>
    <s v="MCS2026"/>
    <x v="60"/>
    <x v="3"/>
    <s v="Mine production, zirconium, gross weight"/>
    <s v="k ton"/>
    <n v="100"/>
    <n v="100"/>
    <n v="1200"/>
    <n v="8.3333333333333329E-2"/>
    <n v="4"/>
    <n v="500"/>
    <n v="70000"/>
    <n v="7.1428571428571426E-3"/>
    <n v="7"/>
  </r>
  <r>
    <s v="MCS2026"/>
    <x v="60"/>
    <x v="27"/>
    <s v="Mine production, zirconium, gross weight"/>
    <s v="k ton"/>
    <n v="81"/>
    <n v="52"/>
    <n v="1200"/>
    <n v="4.3333333333333335E-2"/>
    <n v="7"/>
    <n v="3400"/>
    <n v="70000"/>
    <n v="4.8571428571428571E-2"/>
    <n v="3"/>
  </r>
  <r>
    <s v="MCS2026"/>
    <x v="60"/>
    <x v="33"/>
    <s v="Mine production, zirconium, gross weight"/>
    <s v="k ton"/>
    <n v="31"/>
    <n v="26"/>
    <n v="1200"/>
    <n v="2.1666666666666667E-2"/>
    <n v="8"/>
    <n v="2100"/>
    <n v="70000"/>
    <n v="0.03"/>
    <n v="5"/>
  </r>
  <r>
    <s v="MCS2026"/>
    <x v="60"/>
    <x v="34"/>
    <s v="Mine production, zirconium, gross weight"/>
    <s v="k ton"/>
    <n v="124"/>
    <n v="160"/>
    <n v="1200"/>
    <n v="0.13333333333333333"/>
    <n v="3"/>
    <n v="1500"/>
    <n v="70000"/>
    <n v="2.1428571428571429E-2"/>
    <n v="6"/>
  </r>
  <r>
    <s v="MCS2026"/>
    <x v="60"/>
    <x v="23"/>
    <s v="Mine production, zirconium, gross weight"/>
    <s v="k ton"/>
    <n v="71"/>
    <n v="40"/>
    <n v="1200"/>
    <n v="3.3333333333333333E-2"/>
    <n v="10"/>
    <n v="5700"/>
    <n v="70000"/>
    <n v="8.1428571428571433E-2"/>
    <n v="10"/>
  </r>
  <r>
    <s v="MCS2026"/>
    <x v="60"/>
    <x v="88"/>
    <s v="Mine production, zirconium, gross weight"/>
    <s v="k ton"/>
    <n v="68"/>
    <n v="70"/>
    <n v="1200"/>
    <n v="5.8333333333333334E-2"/>
    <n v="6"/>
    <n v="2600"/>
    <n v="70000"/>
    <n v="3.7142857142857144E-2"/>
    <n v="4"/>
  </r>
  <r>
    <s v="MCS2026"/>
    <x v="60"/>
    <x v="103"/>
    <s v="Mine production, zirconium, gross weight"/>
    <s v="k ton"/>
    <n v="25"/>
    <n v="25"/>
    <n v="1200"/>
    <n v="2.0833333333333332E-2"/>
    <n v="9"/>
    <n v="290"/>
    <n v="70000"/>
    <n v="4.1428571428571426E-3"/>
    <n v="9"/>
  </r>
  <r>
    <s v="MCS2026"/>
    <x v="60"/>
    <x v="49"/>
    <s v="Mine production, zirconium, gross weight"/>
    <s v="k ton"/>
    <n v="290"/>
    <n v="270"/>
    <n v="1200"/>
    <n v="0.22500000000000001"/>
    <n v="2"/>
    <n v="5900"/>
    <n v="70000"/>
    <n v="8.4285714285714283E-2"/>
    <n v="2"/>
  </r>
  <r>
    <s v="MCS2026"/>
    <x v="60"/>
    <x v="15"/>
    <s v="Mine production, zirconium, gross weight"/>
    <s v="k ton"/>
    <n v="100"/>
    <n v="100"/>
    <n v="1200"/>
    <n v="8.3333333333333329E-2"/>
    <n v="4"/>
    <n v="500"/>
    <n v="70000"/>
    <n v="7.1428571428571426E-3"/>
    <n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9">
  <r>
    <s v="MCS2026"/>
    <x v="0"/>
    <x v="0"/>
    <s v="Mine production, antimony content"/>
    <s v="ton"/>
    <n v="1270"/>
    <n v="1300"/>
    <n v="110000"/>
    <n v="1.1818181818181818E-2"/>
    <n v="7"/>
    <n v="110000"/>
    <n v="2000000"/>
    <n v="5.5E-2"/>
    <n v="6"/>
  </r>
  <r>
    <s v="MCS2026"/>
    <x v="0"/>
    <x v="1"/>
    <s v="Mine production, antimony content"/>
    <s v="ton"/>
    <n v="5300"/>
    <n v="5000"/>
    <n v="110000"/>
    <n v="4.5454545454545456E-2"/>
    <n v="4"/>
    <n v="310000"/>
    <n v="2000000"/>
    <n v="0.155"/>
    <n v="3"/>
  </r>
  <r>
    <s v="MCS2026"/>
    <x v="0"/>
    <x v="2"/>
    <s v="Mine production, antimony content"/>
    <s v="ton"/>
    <n v="0"/>
    <n v="0"/>
    <n v="110000"/>
    <n v="0"/>
    <s v="-"/>
    <n v="78000"/>
    <n v="2000000"/>
    <n v="3.9E-2"/>
    <n v="8"/>
  </r>
  <r>
    <s v="MCS2026"/>
    <x v="0"/>
    <x v="3"/>
    <s v="Mine production, antimony content"/>
    <s v="ton"/>
    <n v="40000"/>
    <n v="40000"/>
    <n v="110000"/>
    <n v="0.36363636363636365"/>
    <n v="1"/>
    <n v="830000"/>
    <n v="2000000"/>
    <n v="0.41499999999999998"/>
    <n v="1"/>
  </r>
  <r>
    <s v="MCS2026"/>
    <x v="0"/>
    <x v="4"/>
    <s v="Mine production, antimony content"/>
    <s v="ton"/>
    <n v="50"/>
    <n v="50"/>
    <n v="110000"/>
    <n v="4.5454545454545455E-4"/>
    <n v="15"/>
    <n v="0"/>
    <n v="2000000"/>
    <n v="0"/>
    <s v="-"/>
  </r>
  <r>
    <s v="MCS2026"/>
    <x v="0"/>
    <x v="5"/>
    <s v="Mine production, antimony content"/>
    <s v="ton"/>
    <n v="90"/>
    <n v="90"/>
    <n v="110000"/>
    <n v="8.1818181818181816E-4"/>
    <n v="14"/>
    <n v="0"/>
    <n v="2000000"/>
    <n v="0"/>
    <s v="-"/>
  </r>
  <r>
    <s v="MCS2026"/>
    <x v="0"/>
    <x v="6"/>
    <s v="Mine production, antimony content"/>
    <s v="ton"/>
    <n v="800"/>
    <n v="800"/>
    <n v="110000"/>
    <n v="7.2727272727272727E-3"/>
    <n v="8"/>
    <n v="0"/>
    <n v="2000000"/>
    <n v="0"/>
    <s v="-"/>
  </r>
  <r>
    <s v="MCS2026"/>
    <x v="0"/>
    <x v="7"/>
    <s v="Mine production, antimony content"/>
    <s v="ton"/>
    <n v="700"/>
    <n v="700"/>
    <n v="110000"/>
    <n v="6.3636363636363638E-3"/>
    <n v="9"/>
    <n v="260000"/>
    <n v="2000000"/>
    <n v="0.13"/>
    <n v="4"/>
  </r>
  <r>
    <s v="MCS2026"/>
    <x v="0"/>
    <x v="8"/>
    <s v="Mine production, antimony content"/>
    <s v="ton"/>
    <n v="200"/>
    <n v="200"/>
    <n v="110000"/>
    <n v="1.8181818181818182E-3"/>
    <n v="13"/>
    <n v="0"/>
    <n v="2000000"/>
    <n v="0"/>
    <s v="-"/>
  </r>
  <r>
    <s v="MCS2026"/>
    <x v="0"/>
    <x v="9"/>
    <s v="Mine production, antimony content"/>
    <s v="ton"/>
    <n v="600"/>
    <n v="600"/>
    <n v="110000"/>
    <n v="5.454545454545455E-3"/>
    <n v="10"/>
    <n v="18000"/>
    <n v="2000000"/>
    <n v="8.9999999999999993E-3"/>
    <n v="13"/>
  </r>
  <r>
    <s v="MCS2026"/>
    <x v="0"/>
    <x v="10"/>
    <s v="Mine production, antimony content"/>
    <s v="ton"/>
    <n v="4500"/>
    <n v="4500"/>
    <n v="110000"/>
    <n v="4.0909090909090909E-2"/>
    <n v="5"/>
    <n v="140000"/>
    <n v="2000000"/>
    <n v="7.0000000000000007E-2"/>
    <n v="5"/>
  </r>
  <r>
    <s v="MCS2026"/>
    <x v="0"/>
    <x v="11"/>
    <s v="Mine production, antimony content"/>
    <s v="ton"/>
    <n v="260"/>
    <n v="260"/>
    <n v="110000"/>
    <n v="2.3636363636363638E-3"/>
    <n v="11"/>
    <n v="26000"/>
    <n v="2000000"/>
    <n v="1.2999999999999999E-2"/>
    <n v="12"/>
  </r>
  <r>
    <s v="MCS2026"/>
    <x v="0"/>
    <x v="12"/>
    <s v="Mine production, antimony content"/>
    <s v="ton"/>
    <n v="3000"/>
    <n v="3000"/>
    <n v="110000"/>
    <n v="2.7272727272727271E-2"/>
    <n v="6"/>
    <n v="99000"/>
    <n v="2000000"/>
    <n v="4.9500000000000002E-2"/>
    <n v="7"/>
  </r>
  <r>
    <s v="MCS2026"/>
    <x v="0"/>
    <x v="13"/>
    <s v="Mine production, antimony content"/>
    <s v="ton"/>
    <n v="40000"/>
    <n v="32000"/>
    <n v="110000"/>
    <n v="0.29090909090909089"/>
    <n v="2"/>
    <n v="350000"/>
    <n v="2000000"/>
    <n v="0.17499999999999999"/>
    <n v="2"/>
  </r>
  <r>
    <s v="MCS2026"/>
    <x v="0"/>
    <x v="14"/>
    <s v="Mine production, antimony content"/>
    <s v="ton"/>
    <n v="22000"/>
    <n v="22000"/>
    <n v="110000"/>
    <n v="0.2"/>
    <n v="3"/>
    <n v="60000"/>
    <n v="2000000"/>
    <n v="0.03"/>
    <n v="9"/>
  </r>
  <r>
    <s v="MCS2026"/>
    <x v="0"/>
    <x v="15"/>
    <s v="Mine production, antimony content"/>
    <s v="ton"/>
    <n v="0"/>
    <n v="0"/>
    <n v="110000"/>
    <n v="0"/>
    <s v="-"/>
    <n v="60000"/>
    <n v="2000000"/>
    <n v="0.03"/>
    <n v="9"/>
  </r>
  <r>
    <s v="MCS2026"/>
    <x v="0"/>
    <x v="16"/>
    <s v="Mine production, antimony content"/>
    <s v="ton"/>
    <n v="220"/>
    <n v="220"/>
    <n v="110000"/>
    <n v="2E-3"/>
    <n v="12"/>
    <n v="54000"/>
    <n v="2000000"/>
    <n v="2.7E-2"/>
    <n v="11"/>
  </r>
  <r>
    <s v="MCS2026"/>
    <x v="1"/>
    <x v="17"/>
    <s v="Plant production, arsenic trioxide or calculated equivalent."/>
    <s v="ton"/>
    <n v="1000"/>
    <n v="1000"/>
    <n v="61000"/>
    <n v="1.6393442622950821E-2"/>
    <n v="4"/>
    <n v="0"/>
    <n v="0"/>
    <s v="-"/>
    <s v="-"/>
  </r>
  <r>
    <s v="MCS2026"/>
    <x v="1"/>
    <x v="3"/>
    <s v="Plant production, arsenic trioxide or calculated equivalent."/>
    <s v="ton"/>
    <n v="24000"/>
    <n v="24000"/>
    <n v="61000"/>
    <n v="0.39344262295081966"/>
    <n v="2"/>
    <n v="0"/>
    <n v="0"/>
    <s v="-"/>
    <s v="-"/>
  </r>
  <r>
    <s v="MCS2026"/>
    <x v="1"/>
    <x v="18"/>
    <s v="Plant production, arsenic trioxide or calculated equivalent."/>
    <s v="ton"/>
    <n v="40"/>
    <n v="0"/>
    <n v="61000"/>
    <n v="0"/>
    <s v="-"/>
    <n v="0"/>
    <n v="0"/>
    <s v="-"/>
    <s v="-"/>
  </r>
  <r>
    <s v="MCS2026"/>
    <x v="1"/>
    <x v="19"/>
    <s v="Plant production, arsenic trioxide or calculated equivalent."/>
    <s v="ton"/>
    <n v="6000"/>
    <n v="5000"/>
    <n v="61000"/>
    <n v="8.1967213114754092E-2"/>
    <n v="3"/>
    <n v="0"/>
    <n v="0"/>
    <s v="-"/>
    <s v="-"/>
  </r>
  <r>
    <s v="MCS2026"/>
    <x v="1"/>
    <x v="20"/>
    <s v="Plant production, arsenic trioxide or calculated equivalent."/>
    <s v="ton"/>
    <n v="31000"/>
    <n v="30000"/>
    <n v="61000"/>
    <n v="0.49180327868852458"/>
    <n v="1"/>
    <n v="0"/>
    <n v="0"/>
    <s v="-"/>
    <s v="-"/>
  </r>
  <r>
    <s v="MCS2026"/>
    <x v="1"/>
    <x v="13"/>
    <s v="Plant production, arsenic trioxide or calculated equivalent."/>
    <s v="ton"/>
    <n v="500"/>
    <n v="500"/>
    <n v="61000"/>
    <n v="8.1967213114754103E-3"/>
    <n v="5"/>
    <n v="0"/>
    <n v="0"/>
    <s v="-"/>
    <s v="-"/>
  </r>
  <r>
    <s v="MCS2026"/>
    <x v="1"/>
    <x v="15"/>
    <s v="Plant production, arsenic trioxide or calculated equivalent."/>
    <s v="ton"/>
    <n v="0"/>
    <n v="0"/>
    <n v="61000"/>
    <n v="0"/>
    <s v="-"/>
    <n v="0"/>
    <n v="0"/>
    <s v="-"/>
    <s v="-"/>
  </r>
  <r>
    <s v="MCS2026"/>
    <x v="2"/>
    <x v="21"/>
    <s v="Mine production, asbestos"/>
    <s v="ton"/>
    <n v="116890"/>
    <n v="150000"/>
    <n v="960000"/>
    <n v="0.15625"/>
    <n v="4"/>
    <n v="11000000"/>
    <n v="150000000"/>
    <n v="7.3333333333333334E-2"/>
    <n v="3"/>
  </r>
  <r>
    <s v="MCS2026"/>
    <x v="2"/>
    <x v="3"/>
    <s v="Mine production, asbestos"/>
    <s v="ton"/>
    <n v="250000"/>
    <n v="250000"/>
    <n v="960000"/>
    <n v="0.26041666666666669"/>
    <n v="2"/>
    <n v="7100000"/>
    <n v="150000000"/>
    <n v="4.7333333333333331E-2"/>
    <n v="4"/>
  </r>
  <r>
    <s v="MCS2026"/>
    <x v="2"/>
    <x v="6"/>
    <s v="Mine production, asbestos"/>
    <s v="ton"/>
    <n v="225700"/>
    <n v="250000"/>
    <n v="960000"/>
    <n v="0.26041666666666669"/>
    <n v="2"/>
    <n v="20000000"/>
    <n v="150000000"/>
    <n v="0.13333333333333333"/>
    <n v="2"/>
  </r>
  <r>
    <s v="MCS2026"/>
    <x v="2"/>
    <x v="13"/>
    <s v="Mine production, asbestos"/>
    <s v="ton"/>
    <n v="306900"/>
    <n v="310000"/>
    <n v="960000"/>
    <n v="0.32291666666666669"/>
    <n v="1"/>
    <n v="110000000"/>
    <n v="150000000"/>
    <n v="0.73333333333333328"/>
    <n v="1"/>
  </r>
  <r>
    <s v="MCS2026"/>
    <x v="2"/>
    <x v="15"/>
    <s v="Mine production, asbestos"/>
    <s v="ton"/>
    <n v="0"/>
    <n v="0"/>
    <n v="960000"/>
    <n v="0"/>
    <s v="-"/>
    <n v="0"/>
    <n v="150000000"/>
    <n v="0"/>
    <s v="-"/>
  </r>
  <r>
    <s v="MCS2026"/>
    <x v="3"/>
    <x v="3"/>
    <s v="Mine production, barite, estimated"/>
    <s v="k ton"/>
    <n v="2100"/>
    <n v="2200"/>
    <n v="8700"/>
    <n v="0.25287356321839083"/>
    <n v="2"/>
    <n v="120000"/>
    <n v="0"/>
    <s v="-"/>
    <n v="1"/>
  </r>
  <r>
    <s v="MCS2026"/>
    <x v="3"/>
    <x v="22"/>
    <s v="Mine production, barite, estimated"/>
    <s v="k ton"/>
    <n v="2600"/>
    <n v="3000"/>
    <n v="8700"/>
    <n v="0.34482758620689657"/>
    <n v="1"/>
    <n v="51000"/>
    <n v="0"/>
    <s v="-"/>
    <n v="4"/>
  </r>
  <r>
    <s v="MCS2026"/>
    <x v="3"/>
    <x v="5"/>
    <s v="Mine production, barite, estimated"/>
    <s v="k ton"/>
    <n v="300"/>
    <n v="300"/>
    <n v="8700"/>
    <n v="3.4482758620689655E-2"/>
    <n v="5"/>
    <n v="100000"/>
    <n v="0"/>
    <s v="-"/>
    <n v="2"/>
  </r>
  <r>
    <s v="MCS2026"/>
    <x v="3"/>
    <x v="6"/>
    <s v="Mine production, barite, estimated"/>
    <s v="k ton"/>
    <n v="650"/>
    <n v="700"/>
    <n v="8700"/>
    <n v="8.0459770114942528E-2"/>
    <n v="4"/>
    <n v="85000"/>
    <n v="0"/>
    <s v="-"/>
    <n v="3"/>
  </r>
  <r>
    <s v="MCS2026"/>
    <x v="3"/>
    <x v="8"/>
    <s v="Mine production, barite, estimated"/>
    <s v="k ton"/>
    <n v="250"/>
    <n v="260"/>
    <n v="8700"/>
    <n v="2.9885057471264367E-2"/>
    <n v="7"/>
    <n v="0"/>
    <n v="0"/>
    <s v="-"/>
    <s v="-"/>
  </r>
  <r>
    <s v="MCS2026"/>
    <x v="3"/>
    <x v="9"/>
    <s v="Mine production, barite, estimated"/>
    <s v="k ton"/>
    <n v="244"/>
    <n v="300"/>
    <n v="8700"/>
    <n v="3.4482758620689655E-2"/>
    <n v="5"/>
    <n v="0"/>
    <n v="0"/>
    <s v="-"/>
    <s v="-"/>
  </r>
  <r>
    <s v="MCS2026"/>
    <x v="3"/>
    <x v="19"/>
    <s v="Mine production, barite, estimated"/>
    <s v="k ton"/>
    <n v="930"/>
    <n v="1000"/>
    <n v="8700"/>
    <n v="0.11494252873563218"/>
    <n v="3"/>
    <n v="0"/>
    <n v="0"/>
    <s v="-"/>
    <s v="-"/>
  </r>
  <r>
    <s v="MCS2026"/>
    <x v="3"/>
    <x v="23"/>
    <s v="Mine production, barite, estimated"/>
    <s v="k ton"/>
    <n v="340"/>
    <n v="350"/>
    <n v="8700"/>
    <n v="4.0229885057471264E-2"/>
    <n v="12"/>
    <n v="0"/>
    <n v="0"/>
    <s v="-"/>
    <n v="12"/>
  </r>
  <r>
    <s v="MCS2026"/>
    <x v="3"/>
    <x v="11"/>
    <s v="Mine production, barite, estimated"/>
    <s v="k ton"/>
    <n v="94"/>
    <n v="100"/>
    <n v="8700"/>
    <n v="1.1494252873563218E-2"/>
    <n v="10"/>
    <n v="0"/>
    <n v="0"/>
    <s v="-"/>
    <s v="-"/>
  </r>
  <r>
    <s v="MCS2026"/>
    <x v="3"/>
    <x v="12"/>
    <s v="Mine production, barite, estimated"/>
    <s v="k ton"/>
    <n v="261"/>
    <n v="260"/>
    <n v="8700"/>
    <n v="2.9885057471264367E-2"/>
    <n v="7"/>
    <n v="34000"/>
    <n v="0"/>
    <s v="-"/>
    <n v="5"/>
  </r>
  <r>
    <s v="MCS2026"/>
    <x v="3"/>
    <x v="13"/>
    <s v="Mine production, barite, estimated"/>
    <s v="k ton"/>
    <n v="200"/>
    <n v="230"/>
    <n v="8700"/>
    <n v="2.6436781609195402E-2"/>
    <n v="9"/>
    <n v="12000"/>
    <n v="0"/>
    <s v="-"/>
    <n v="6"/>
  </r>
  <r>
    <s v="MCS2026"/>
    <x v="3"/>
    <x v="15"/>
    <s v="Mine production, barite, estimated"/>
    <s v="k ton"/>
    <n v="0"/>
    <n v="0"/>
    <n v="8700"/>
    <n v="0"/>
    <s v="-"/>
    <n v="0"/>
    <n v="0"/>
    <s v="-"/>
    <s v="-"/>
  </r>
  <r>
    <s v="MCS2026"/>
    <x v="4"/>
    <x v="0"/>
    <s v="Mine production, bauxite, dry tons"/>
    <s v="k ton"/>
    <n v="100000"/>
    <n v="97000"/>
    <n v="440000"/>
    <n v="0.22045454545454546"/>
    <n v="2"/>
    <n v="3700000"/>
    <n v="29000000"/>
    <n v="0.12758620689655173"/>
    <n v="2"/>
  </r>
  <r>
    <s v="MCS2026"/>
    <x v="4"/>
    <x v="21"/>
    <s v="Mine production, bauxite, dry tons"/>
    <s v="k ton"/>
    <n v="33000"/>
    <n v="33000"/>
    <n v="440000"/>
    <n v="7.4999999999999997E-2"/>
    <n v="4"/>
    <n v="1700000"/>
    <n v="29000000"/>
    <n v="5.8620689655172413E-2"/>
    <n v="6"/>
  </r>
  <r>
    <s v="MCS2026"/>
    <x v="4"/>
    <x v="2"/>
    <s v="Mine production, bauxite, dry tons"/>
    <s v="k ton"/>
    <n v="0"/>
    <n v="0"/>
    <n v="440000"/>
    <n v="0"/>
    <s v="-"/>
    <n v="0"/>
    <n v="29000000"/>
    <n v="0"/>
    <s v="-"/>
  </r>
  <r>
    <s v="MCS2026"/>
    <x v="4"/>
    <x v="3"/>
    <s v="Mine production, bauxite, dry tons"/>
    <s v="k ton"/>
    <n v="80500"/>
    <n v="87000"/>
    <n v="440000"/>
    <n v="0.19772727272727272"/>
    <n v="3"/>
    <n v="710000"/>
    <n v="29000000"/>
    <n v="2.4482758620689656E-2"/>
    <n v="7"/>
  </r>
  <r>
    <s v="MCS2026"/>
    <x v="4"/>
    <x v="24"/>
    <s v="Mine production, bauxite, dry tons"/>
    <s v="k ton"/>
    <n v="0"/>
    <n v="0"/>
    <n v="440000"/>
    <n v="0"/>
    <s v="-"/>
    <n v="0"/>
    <n v="29000000"/>
    <n v="0"/>
    <s v="-"/>
  </r>
  <r>
    <s v="MCS2026"/>
    <x v="4"/>
    <x v="25"/>
    <s v="Mine production, bauxite, dry tons"/>
    <s v="k ton"/>
    <n v="970"/>
    <n v="960"/>
    <n v="440000"/>
    <n v="2.1818181818181819E-3"/>
    <n v="13"/>
    <n v="0"/>
    <n v="29000000"/>
    <n v="0"/>
    <s v="-"/>
  </r>
  <r>
    <s v="MCS2026"/>
    <x v="4"/>
    <x v="26"/>
    <s v="Mine production, bauxite, dry tons"/>
    <s v="k ton"/>
    <n v="142000"/>
    <n v="150000"/>
    <n v="440000"/>
    <n v="0.34090909090909088"/>
    <n v="1"/>
    <n v="7400000"/>
    <n v="29000000"/>
    <n v="0.25517241379310346"/>
    <n v="1"/>
  </r>
  <r>
    <s v="MCS2026"/>
    <x v="4"/>
    <x v="22"/>
    <s v="Mine production, bauxite, dry tons"/>
    <s v="k ton"/>
    <n v="25000"/>
    <n v="25000"/>
    <n v="440000"/>
    <n v="5.6818181818181816E-2"/>
    <n v="5"/>
    <n v="650000"/>
    <n v="29000000"/>
    <n v="2.2413793103448276E-2"/>
    <n v="8"/>
  </r>
  <r>
    <s v="MCS2026"/>
    <x v="4"/>
    <x v="27"/>
    <s v="Mine production, bauxite, dry tons"/>
    <s v="k ton"/>
    <n v="9900"/>
    <n v="10000"/>
    <n v="440000"/>
    <n v="2.2727272727272728E-2"/>
    <n v="6"/>
    <n v="2900000"/>
    <n v="29000000"/>
    <n v="0.1"/>
    <n v="4"/>
  </r>
  <r>
    <s v="MCS2026"/>
    <x v="4"/>
    <x v="28"/>
    <s v="Mine production, bauxite, dry tons"/>
    <s v="k ton"/>
    <n v="0"/>
    <n v="0"/>
    <n v="440000"/>
    <n v="0"/>
    <s v="-"/>
    <n v="0"/>
    <n v="29000000"/>
    <n v="0"/>
    <s v="-"/>
  </r>
  <r>
    <s v="MCS2026"/>
    <x v="4"/>
    <x v="29"/>
    <s v="Mine production, bauxite, dry tons"/>
    <s v="k ton"/>
    <n v="5890"/>
    <n v="6200"/>
    <n v="440000"/>
    <n v="1.4090909090909091E-2"/>
    <n v="7"/>
    <n v="2000000"/>
    <n v="29000000"/>
    <n v="6.8965517241379309E-2"/>
    <n v="5"/>
  </r>
  <r>
    <s v="MCS2026"/>
    <x v="4"/>
    <x v="6"/>
    <s v="Mine production, bauxite, dry tons"/>
    <s v="k ton"/>
    <n v="4780"/>
    <n v="4800"/>
    <n v="440000"/>
    <n v="1.090909090909091E-2"/>
    <n v="10"/>
    <n v="160000"/>
    <n v="29000000"/>
    <n v="5.5172413793103444E-3"/>
    <n v="11"/>
  </r>
  <r>
    <s v="MCS2026"/>
    <x v="4"/>
    <x v="23"/>
    <s v="Mine production, bauxite, dry tons"/>
    <s v="k ton"/>
    <n v="7780"/>
    <n v="8000"/>
    <n v="440000"/>
    <n v="1.8181818181818181E-2"/>
    <n v="20"/>
    <n v="5300000"/>
    <n v="29000000"/>
    <n v="0.18275862068965518"/>
    <n v="20"/>
  </r>
  <r>
    <s v="MCS2026"/>
    <x v="4"/>
    <x v="12"/>
    <s v="Mine production, bauxite, dry tons"/>
    <s v="k ton"/>
    <n v="3660"/>
    <n v="3800"/>
    <n v="440000"/>
    <n v="8.6363636363636365E-3"/>
    <n v="11"/>
    <n v="69000"/>
    <n v="29000000"/>
    <n v="2.3793103448275861E-3"/>
    <n v="12"/>
  </r>
  <r>
    <s v="MCS2026"/>
    <x v="4"/>
    <x v="13"/>
    <s v="Mine production, bauxite, dry tons"/>
    <s v="k ton"/>
    <n v="5470"/>
    <n v="5700"/>
    <n v="440000"/>
    <n v="1.2954545454545455E-2"/>
    <n v="8"/>
    <n v="650000"/>
    <n v="29000000"/>
    <n v="2.2413793103448276E-2"/>
    <n v="8"/>
  </r>
  <r>
    <s v="MCS2026"/>
    <x v="4"/>
    <x v="30"/>
    <s v="Mine production, bauxite, dry tons"/>
    <s v="k ton"/>
    <n v="5500"/>
    <n v="5700"/>
    <n v="440000"/>
    <n v="1.2954545454545455E-2"/>
    <n v="8"/>
    <n v="180000"/>
    <n v="29000000"/>
    <n v="6.2068965517241377E-3"/>
    <n v="10"/>
  </r>
  <r>
    <s v="MCS2026"/>
    <x v="4"/>
    <x v="31"/>
    <s v="Mine production, bauxite, dry tons"/>
    <s v="k ton"/>
    <n v="0"/>
    <n v="0"/>
    <n v="440000"/>
    <n v="0"/>
    <s v="-"/>
    <n v="0"/>
    <n v="29000000"/>
    <n v="0"/>
    <s v="-"/>
  </r>
  <r>
    <s v="MCS2026"/>
    <x v="4"/>
    <x v="32"/>
    <s v="Mine production, bauxite, dry tons"/>
    <s v="k ton"/>
    <n v="0"/>
    <n v="0"/>
    <n v="440000"/>
    <n v="0"/>
    <s v="-"/>
    <n v="0"/>
    <n v="29000000"/>
    <n v="0"/>
    <s v="-"/>
  </r>
  <r>
    <s v="MCS2026"/>
    <x v="4"/>
    <x v="15"/>
    <s v="Mine production, bauxite, dry tons"/>
    <s v="k ton"/>
    <n v="0"/>
    <n v="0"/>
    <n v="440000"/>
    <n v="0"/>
    <s v="-"/>
    <n v="20000"/>
    <n v="29000000"/>
    <n v="6.8965517241379305E-4"/>
    <n v="13"/>
  </r>
  <r>
    <s v="MCS2026"/>
    <x v="4"/>
    <x v="16"/>
    <s v="Mine production, bauxite, dry tons"/>
    <s v="k ton"/>
    <n v="3710"/>
    <n v="3800"/>
    <n v="440000"/>
    <n v="8.6363636363636365E-3"/>
    <n v="11"/>
    <n v="3100000"/>
    <n v="29000000"/>
    <n v="0.10689655172413794"/>
    <n v="3"/>
  </r>
  <r>
    <s v="MCS2026"/>
    <x v="5"/>
    <x v="21"/>
    <s v="Mine production, beryllium content"/>
    <s v="ton"/>
    <n v="80"/>
    <n v="80"/>
    <n v="430"/>
    <n v="0.18604651162790697"/>
    <n v="2"/>
    <n v="0"/>
    <n v="0"/>
    <s v="-"/>
    <s v="-"/>
  </r>
  <r>
    <s v="MCS2026"/>
    <x v="5"/>
    <x v="3"/>
    <s v="Mine production, beryllium content"/>
    <s v="ton"/>
    <n v="78"/>
    <n v="77"/>
    <n v="430"/>
    <n v="0.17906976744186046"/>
    <n v="3"/>
    <n v="0"/>
    <n v="0"/>
    <s v="-"/>
    <s v="-"/>
  </r>
  <r>
    <s v="MCS2026"/>
    <x v="5"/>
    <x v="33"/>
    <s v="Mine production, beryllium content"/>
    <s v="ton"/>
    <n v="1"/>
    <n v="1"/>
    <n v="430"/>
    <n v="2.3255813953488372E-3"/>
    <n v="6"/>
    <n v="0"/>
    <n v="0"/>
    <s v="-"/>
    <s v="-"/>
  </r>
  <r>
    <s v="MCS2026"/>
    <x v="5"/>
    <x v="34"/>
    <s v="Mine production, beryllium content"/>
    <s v="ton"/>
    <n v="3"/>
    <n v="3"/>
    <n v="430"/>
    <n v="6.9767441860465115E-3"/>
    <n v="5"/>
    <n v="0"/>
    <n v="0"/>
    <s v="-"/>
    <s v="-"/>
  </r>
  <r>
    <s v="MCS2026"/>
    <x v="5"/>
    <x v="35"/>
    <s v="Mine production, beryllium content"/>
    <s v="ton"/>
    <n v="40"/>
    <n v="40"/>
    <n v="430"/>
    <n v="9.3023255813953487E-2"/>
    <n v="4"/>
    <n v="0"/>
    <n v="0"/>
    <s v="-"/>
    <s v="-"/>
  </r>
  <r>
    <s v="MCS2026"/>
    <x v="5"/>
    <x v="36"/>
    <s v="Mine production, beryllium content"/>
    <s v="ton"/>
    <n v="1"/>
    <n v="1"/>
    <n v="430"/>
    <n v="2.3255813953488372E-3"/>
    <n v="6"/>
    <n v="0"/>
    <n v="0"/>
    <s v="-"/>
    <s v="-"/>
  </r>
  <r>
    <s v="MCS2026"/>
    <x v="5"/>
    <x v="15"/>
    <s v="Mine production, beryllium content"/>
    <s v="ton"/>
    <n v="230"/>
    <n v="230"/>
    <n v="430"/>
    <n v="0.53488372093023251"/>
    <n v="1"/>
    <n v="0"/>
    <n v="0"/>
    <s v="-"/>
    <s v="-"/>
  </r>
  <r>
    <s v="MCS2026"/>
    <x v="6"/>
    <x v="1"/>
    <s v="Refinery production"/>
    <s v="ton"/>
    <n v="50"/>
    <n v="50"/>
    <n v="16000"/>
    <n v="3.1250000000000002E-3"/>
    <n v="6"/>
    <n v="0"/>
    <n v="0"/>
    <s v="-"/>
    <s v="-"/>
  </r>
  <r>
    <s v="MCS2026"/>
    <x v="6"/>
    <x v="37"/>
    <s v="Refinery production"/>
    <s v="ton"/>
    <n v="48"/>
    <n v="50"/>
    <n v="16000"/>
    <n v="3.1250000000000002E-3"/>
    <n v="6"/>
    <n v="0"/>
    <n v="0"/>
    <s v="-"/>
    <s v="-"/>
  </r>
  <r>
    <s v="MCS2026"/>
    <x v="6"/>
    <x v="3"/>
    <s v="Refinery production"/>
    <s v="ton"/>
    <n v="14000"/>
    <n v="14000"/>
    <n v="16000"/>
    <n v="0.875"/>
    <n v="1"/>
    <n v="0"/>
    <n v="0"/>
    <s v="-"/>
    <s v="-"/>
  </r>
  <r>
    <s v="MCS2026"/>
    <x v="6"/>
    <x v="18"/>
    <s v="Refinery production"/>
    <s v="ton"/>
    <n v="500"/>
    <n v="500"/>
    <n v="16000"/>
    <n v="3.125E-2"/>
    <n v="3"/>
    <n v="0"/>
    <n v="0"/>
    <s v="-"/>
    <s v="-"/>
  </r>
  <r>
    <s v="MCS2026"/>
    <x v="6"/>
    <x v="6"/>
    <s v="Refinery production"/>
    <s v="ton"/>
    <n v="180"/>
    <n v="180"/>
    <n v="16000"/>
    <n v="1.125E-2"/>
    <n v="5"/>
    <n v="0"/>
    <n v="0"/>
    <s v="-"/>
    <s v="-"/>
  </r>
  <r>
    <s v="MCS2026"/>
    <x v="6"/>
    <x v="8"/>
    <s v="Refinery production"/>
    <s v="ton"/>
    <n v="492"/>
    <n v="500"/>
    <n v="16000"/>
    <n v="3.125E-2"/>
    <n v="3"/>
    <n v="0"/>
    <n v="0"/>
    <s v="-"/>
    <s v="-"/>
  </r>
  <r>
    <s v="MCS2026"/>
    <x v="6"/>
    <x v="38"/>
    <s v="Refinery production"/>
    <s v="ton"/>
    <n v="1000"/>
    <n v="1000"/>
    <n v="16000"/>
    <n v="6.25E-2"/>
    <n v="2"/>
    <n v="0"/>
    <n v="0"/>
    <s v="-"/>
    <s v="-"/>
  </r>
  <r>
    <s v="MCS2026"/>
    <x v="6"/>
    <x v="15"/>
    <s v="Refinery production"/>
    <s v="ton"/>
    <n v="0"/>
    <n v="0"/>
    <n v="16000"/>
    <n v="0"/>
    <s v="-"/>
    <n v="0"/>
    <n v="0"/>
    <s v="-"/>
    <s v="-"/>
  </r>
  <r>
    <s v="MCS2026"/>
    <x v="7"/>
    <x v="39"/>
    <s v="Boron all types"/>
    <s v="k ton"/>
    <n v="160"/>
    <n v="170"/>
    <n v="0"/>
    <s v="-"/>
    <n v="6"/>
    <n v="0"/>
    <n v="0"/>
    <s v="-"/>
    <s v="-"/>
  </r>
  <r>
    <s v="MCS2026"/>
    <x v="7"/>
    <x v="1"/>
    <s v="Boron all types"/>
    <s v="k ton"/>
    <n v="230"/>
    <n v="380"/>
    <n v="0"/>
    <s v="-"/>
    <n v="2"/>
    <n v="0"/>
    <n v="0"/>
    <s v="-"/>
    <s v="-"/>
  </r>
  <r>
    <s v="MCS2026"/>
    <x v="7"/>
    <x v="40"/>
    <s v="Boron all types"/>
    <s v="k ton"/>
    <n v="470"/>
    <n v="300"/>
    <n v="0"/>
    <s v="-"/>
    <n v="3"/>
    <n v="35000"/>
    <n v="0"/>
    <s v="-"/>
    <n v="4"/>
  </r>
  <r>
    <s v="MCS2026"/>
    <x v="7"/>
    <x v="3"/>
    <s v="Boron all types"/>
    <s v="k ton"/>
    <n v="210"/>
    <n v="230"/>
    <n v="0"/>
    <s v="-"/>
    <n v="4"/>
    <n v="9100"/>
    <n v="0"/>
    <s v="-"/>
    <n v="5"/>
  </r>
  <r>
    <s v="MCS2026"/>
    <x v="7"/>
    <x v="24"/>
    <s v="Boron all types"/>
    <s v="k ton"/>
    <n v="45"/>
    <n v="40"/>
    <n v="0"/>
    <s v="-"/>
    <n v="8"/>
    <n v="0"/>
    <n v="0"/>
    <s v="-"/>
    <s v="-"/>
  </r>
  <r>
    <s v="MCS2026"/>
    <x v="7"/>
    <x v="20"/>
    <s v="Boron all types"/>
    <s v="k ton"/>
    <n v="190"/>
    <n v="220"/>
    <n v="0"/>
    <s v="-"/>
    <n v="5"/>
    <n v="4000"/>
    <n v="0"/>
    <s v="-"/>
    <n v="6"/>
  </r>
  <r>
    <s v="MCS2026"/>
    <x v="7"/>
    <x v="12"/>
    <s v="Boron all types"/>
    <s v="k ton"/>
    <n v="1800"/>
    <n v="1500"/>
    <n v="0"/>
    <s v="-"/>
    <n v="1"/>
    <n v="950000"/>
    <n v="0"/>
    <s v="-"/>
    <n v="1"/>
  </r>
  <r>
    <s v="MCS2026"/>
    <x v="7"/>
    <x v="13"/>
    <s v="Boron all types"/>
    <s v="k ton"/>
    <n v="90"/>
    <n v="80"/>
    <n v="0"/>
    <s v="-"/>
    <n v="7"/>
    <n v="40000"/>
    <n v="0"/>
    <s v="-"/>
    <n v="3"/>
  </r>
  <r>
    <s v="MCS2026"/>
    <x v="7"/>
    <x v="15"/>
    <s v="Boron all types"/>
    <s v="k ton"/>
    <n v="0"/>
    <n v="0"/>
    <n v="0"/>
    <s v="-"/>
    <s v="-"/>
    <n v="48000"/>
    <n v="0"/>
    <s v="-"/>
    <n v="2"/>
  </r>
  <r>
    <s v="MCS2026"/>
    <x v="8"/>
    <x v="3"/>
    <s v="Production, bromine content, estimated"/>
    <s v="ton"/>
    <n v="100000"/>
    <n v="90000"/>
    <n v="430000"/>
    <n v="0.20930232558139536"/>
    <n v="3"/>
    <n v="130000"/>
    <n v="0"/>
    <s v="-"/>
    <n v="3"/>
  </r>
  <r>
    <s v="MCS2026"/>
    <x v="8"/>
    <x v="22"/>
    <s v="Production, bromine content, estimated"/>
    <s v="ton"/>
    <n v="7000"/>
    <n v="7000"/>
    <n v="430000"/>
    <n v="1.627906976744186E-2"/>
    <n v="5"/>
    <n v="0"/>
    <n v="0"/>
    <s v="-"/>
    <s v="-"/>
  </r>
  <r>
    <s v="MCS2026"/>
    <x v="8"/>
    <x v="41"/>
    <s v="Production, bromine content, estimated"/>
    <s v="ton"/>
    <n v="190000"/>
    <n v="200000"/>
    <n v="430000"/>
    <n v="0.46511627906976744"/>
    <n v="1"/>
    <n v="0"/>
    <n v="0"/>
    <s v="-"/>
    <s v="-"/>
  </r>
  <r>
    <s v="MCS2026"/>
    <x v="8"/>
    <x v="18"/>
    <s v="Production, bromine content, estimated"/>
    <s v="ton"/>
    <n v="20000"/>
    <n v="20000"/>
    <n v="430000"/>
    <n v="4.6511627906976744E-2"/>
    <n v="4"/>
    <n v="0"/>
    <n v="0"/>
    <s v="-"/>
    <s v="-"/>
  </r>
  <r>
    <s v="MCS2026"/>
    <x v="8"/>
    <x v="42"/>
    <s v="Production, bromine content, estimated"/>
    <s v="ton"/>
    <n v="112000"/>
    <n v="110000"/>
    <n v="430000"/>
    <n v="0.2558139534883721"/>
    <n v="2"/>
    <n v="360000"/>
    <n v="0"/>
    <s v="-"/>
    <n v="2"/>
  </r>
  <r>
    <s v="MCS2026"/>
    <x v="8"/>
    <x v="43"/>
    <s v="Production, bromine content, estimated"/>
    <s v="ton"/>
    <n v="11000"/>
    <n v="6000"/>
    <n v="430000"/>
    <n v="1.3953488372093023E-2"/>
    <n v="6"/>
    <n v="0"/>
    <n v="0"/>
    <s v="-"/>
    <s v="-"/>
  </r>
  <r>
    <s v="MCS2026"/>
    <x v="8"/>
    <x v="15"/>
    <s v="Production, bromine content, estimated"/>
    <s v="ton"/>
    <n v="0"/>
    <n v="0"/>
    <n v="430000"/>
    <n v="0"/>
    <s v="-"/>
    <n v="11000000"/>
    <n v="0"/>
    <s v="-"/>
    <n v="1"/>
  </r>
  <r>
    <s v="MCS2026"/>
    <x v="9"/>
    <x v="0"/>
    <s v="Refinery production, estimated"/>
    <s v="ton"/>
    <n v="601"/>
    <n v="600"/>
    <n v="23000"/>
    <n v="2.6086956521739129E-2"/>
    <n v="8"/>
    <n v="0"/>
    <n v="0"/>
    <s v="-"/>
    <s v="-"/>
  </r>
  <r>
    <s v="MCS2026"/>
    <x v="9"/>
    <x v="37"/>
    <s v="Refinery production, estimated"/>
    <s v="ton"/>
    <n v="379"/>
    <n v="380"/>
    <n v="23000"/>
    <n v="1.6521739130434782E-2"/>
    <n v="13"/>
    <n v="0"/>
    <n v="0"/>
    <s v="-"/>
    <s v="-"/>
  </r>
  <r>
    <s v="MCS2026"/>
    <x v="9"/>
    <x v="2"/>
    <s v="Refinery production, estimated"/>
    <s v="ton"/>
    <n v="1300"/>
    <n v="1300"/>
    <n v="23000"/>
    <n v="5.6521739130434782E-2"/>
    <n v="3"/>
    <n v="0"/>
    <n v="0"/>
    <s v="-"/>
    <s v="-"/>
  </r>
  <r>
    <s v="MCS2026"/>
    <x v="9"/>
    <x v="3"/>
    <s v="Refinery production, estimated"/>
    <s v="ton"/>
    <n v="8900"/>
    <n v="9500"/>
    <n v="23000"/>
    <n v="0.41304347826086957"/>
    <n v="1"/>
    <n v="0"/>
    <n v="0"/>
    <s v="-"/>
    <s v="-"/>
  </r>
  <r>
    <s v="MCS2026"/>
    <x v="9"/>
    <x v="24"/>
    <s v="Refinery production, estimated"/>
    <s v="ton"/>
    <n v="130"/>
    <n v="220"/>
    <n v="23000"/>
    <n v="9.5652173913043474E-3"/>
    <n v="15"/>
    <n v="0"/>
    <n v="0"/>
    <s v="-"/>
    <s v="-"/>
  </r>
  <r>
    <s v="MCS2026"/>
    <x v="9"/>
    <x v="18"/>
    <s v="Refinery production, estimated"/>
    <s v="ton"/>
    <n v="1580"/>
    <n v="1300"/>
    <n v="23000"/>
    <n v="5.6521739130434782E-2"/>
    <n v="3"/>
    <n v="0"/>
    <n v="0"/>
    <s v="-"/>
    <s v="-"/>
  </r>
  <r>
    <s v="MCS2026"/>
    <x v="9"/>
    <x v="6"/>
    <s v="Refinery production, estimated"/>
    <s v="ton"/>
    <n v="1100"/>
    <n v="1100"/>
    <n v="23000"/>
    <n v="4.7826086956521741E-2"/>
    <n v="5"/>
    <n v="0"/>
    <n v="0"/>
    <s v="-"/>
    <s v="-"/>
  </r>
  <r>
    <s v="MCS2026"/>
    <x v="9"/>
    <x v="9"/>
    <s v="Refinery production, estimated"/>
    <s v="ton"/>
    <n v="1190"/>
    <n v="1000"/>
    <n v="23000"/>
    <n v="4.3478260869565216E-2"/>
    <n v="6"/>
    <n v="0"/>
    <n v="0"/>
    <s v="-"/>
    <s v="-"/>
  </r>
  <r>
    <s v="MCS2026"/>
    <x v="9"/>
    <x v="44"/>
    <s v="Refinery production, estimated"/>
    <s v="ton"/>
    <n v="592"/>
    <n v="600"/>
    <n v="23000"/>
    <n v="2.6086956521739129E-2"/>
    <n v="8"/>
    <n v="0"/>
    <n v="0"/>
    <s v="-"/>
    <s v="-"/>
  </r>
  <r>
    <s v="MCS2026"/>
    <x v="9"/>
    <x v="45"/>
    <s v="Refinery production, estimated"/>
    <s v="ton"/>
    <n v="350"/>
    <n v="430"/>
    <n v="23000"/>
    <n v="1.8695652173913044E-2"/>
    <n v="11"/>
    <n v="0"/>
    <n v="0"/>
    <s v="-"/>
    <s v="-"/>
  </r>
  <r>
    <s v="MCS2026"/>
    <x v="9"/>
    <x v="20"/>
    <s v="Refinery production, estimated"/>
    <s v="ton"/>
    <n v="664"/>
    <n v="600"/>
    <n v="23000"/>
    <n v="2.6086956521739129E-2"/>
    <n v="8"/>
    <n v="0"/>
    <n v="0"/>
    <s v="-"/>
    <s v="-"/>
  </r>
  <r>
    <s v="MCS2026"/>
    <x v="9"/>
    <x v="46"/>
    <s v="Refinery production, estimated"/>
    <s v="ton"/>
    <n v="382"/>
    <n v="400"/>
    <n v="23000"/>
    <n v="1.7391304347826087E-2"/>
    <n v="12"/>
    <n v="0"/>
    <n v="0"/>
    <s v="-"/>
    <s v="-"/>
  </r>
  <r>
    <s v="MCS2026"/>
    <x v="9"/>
    <x v="13"/>
    <s v="Refinery production, estimated"/>
    <s v="ton"/>
    <n v="1000"/>
    <n v="1000"/>
    <n v="23000"/>
    <n v="4.3478260869565216E-2"/>
    <n v="6"/>
    <n v="0"/>
    <n v="0"/>
    <s v="-"/>
    <s v="-"/>
  </r>
  <r>
    <s v="MCS2026"/>
    <x v="9"/>
    <x v="38"/>
    <s v="Refinery production, estimated"/>
    <s v="ton"/>
    <n v="4300"/>
    <n v="4300"/>
    <n v="23000"/>
    <n v="0.18695652173913044"/>
    <n v="2"/>
    <n v="0"/>
    <n v="0"/>
    <s v="-"/>
    <s v="-"/>
  </r>
  <r>
    <s v="MCS2026"/>
    <x v="9"/>
    <x v="15"/>
    <s v="Refinery production, estimated"/>
    <s v="ton"/>
    <n v="180"/>
    <n v="200"/>
    <n v="23000"/>
    <n v="8.6956521739130436E-3"/>
    <n v="16"/>
    <n v="0"/>
    <n v="0"/>
    <s v="-"/>
    <s v="-"/>
  </r>
  <r>
    <s v="MCS2026"/>
    <x v="9"/>
    <x v="47"/>
    <s v="Refinery production, estimated"/>
    <s v="ton"/>
    <n v="170"/>
    <n v="230"/>
    <n v="23000"/>
    <n v="0.01"/>
    <n v="14"/>
    <n v="0"/>
    <n v="0"/>
    <s v="-"/>
    <s v="-"/>
  </r>
  <r>
    <s v="MCS2026"/>
    <x v="10"/>
    <x v="21"/>
    <s v="Mine production, grosss weight, marketable chromite ore"/>
    <s v="k ton"/>
    <n v="1400"/>
    <n v="2000"/>
    <n v="51000"/>
    <n v="3.9215686274509803E-2"/>
    <n v="5"/>
    <n v="1000"/>
    <n v="540000"/>
    <n v="1.8518518518518519E-3"/>
    <n v="7"/>
  </r>
  <r>
    <s v="MCS2026"/>
    <x v="10"/>
    <x v="48"/>
    <s v="Mine production, grosss weight, marketable chromite ore"/>
    <s v="k ton"/>
    <n v="1940"/>
    <n v="1900"/>
    <n v="51000"/>
    <n v="3.7254901960784313E-2"/>
    <n v="7"/>
    <n v="16000"/>
    <n v="540000"/>
    <n v="2.9629629629629631E-2"/>
    <n v="5"/>
  </r>
  <r>
    <s v="MCS2026"/>
    <x v="10"/>
    <x v="22"/>
    <s v="Mine production, grosss weight, marketable chromite ore"/>
    <s v="k ton"/>
    <n v="3370"/>
    <n v="3000"/>
    <n v="51000"/>
    <n v="5.8823529411764705E-2"/>
    <n v="4"/>
    <n v="27000"/>
    <n v="540000"/>
    <n v="0.05"/>
    <n v="4"/>
  </r>
  <r>
    <s v="MCS2026"/>
    <x v="10"/>
    <x v="6"/>
    <s v="Mine production, grosss weight, marketable chromite ore"/>
    <s v="k ton"/>
    <n v="6100"/>
    <n v="7000"/>
    <n v="51000"/>
    <n v="0.13725490196078433"/>
    <n v="3"/>
    <n v="100000"/>
    <n v="540000"/>
    <n v="0.18518518518518517"/>
    <n v="2"/>
  </r>
  <r>
    <s v="MCS2026"/>
    <x v="10"/>
    <x v="23"/>
    <s v="Mine production, grosss weight, marketable chromite ore"/>
    <s v="k ton"/>
    <n v="3000"/>
    <n v="3000"/>
    <n v="51000"/>
    <n v="5.8823529411764705E-2"/>
    <n v="9"/>
    <n v="0"/>
    <n v="540000"/>
    <n v="0"/>
    <n v="9"/>
  </r>
  <r>
    <s v="MCS2026"/>
    <x v="10"/>
    <x v="12"/>
    <s v="Mine production, grosss weight, marketable chromite ore"/>
    <s v="k ton"/>
    <n v="9300"/>
    <n v="9000"/>
    <n v="51000"/>
    <n v="0.17647058823529413"/>
    <n v="2"/>
    <n v="5700"/>
    <n v="540000"/>
    <n v="1.0555555555555556E-2"/>
    <n v="6"/>
  </r>
  <r>
    <s v="MCS2026"/>
    <x v="10"/>
    <x v="49"/>
    <s v="Mine production, grosss weight, marketable chromite ore"/>
    <s v="k ton"/>
    <n v="22900"/>
    <n v="23000"/>
    <n v="51000"/>
    <n v="0.45098039215686275"/>
    <n v="1"/>
    <n v="110000"/>
    <n v="540000"/>
    <n v="0.20370370370370369"/>
    <n v="1"/>
  </r>
  <r>
    <s v="MCS2026"/>
    <x v="10"/>
    <x v="15"/>
    <s v="Mine production, grosss weight, marketable chromite ore"/>
    <s v="k ton"/>
    <n v="0"/>
    <n v="0"/>
    <n v="51000"/>
    <n v="0"/>
    <s v="-"/>
    <n v="630"/>
    <n v="540000"/>
    <n v="1.1666666666666668E-3"/>
    <n v="8"/>
  </r>
  <r>
    <s v="MCS2026"/>
    <x v="10"/>
    <x v="50"/>
    <s v="Mine production, grosss weight, marketable chromite ore"/>
    <s v="k ton"/>
    <n v="1600"/>
    <n v="2000"/>
    <n v="51000"/>
    <n v="3.9215686274509803E-2"/>
    <n v="5"/>
    <n v="78000"/>
    <n v="540000"/>
    <n v="0.14444444444444443"/>
    <n v="3"/>
  </r>
  <r>
    <s v="MCS2026"/>
    <x v="11"/>
    <x v="0"/>
    <s v="Mine production, cobalt content, estimated"/>
    <s v="ton"/>
    <n v="4780"/>
    <n v="3700"/>
    <n v="310000"/>
    <n v="1.1935483870967743E-2"/>
    <n v="5"/>
    <n v="1700000"/>
    <n v="12000000"/>
    <n v="0.14166666666666666"/>
    <n v="2"/>
  </r>
  <r>
    <s v="MCS2026"/>
    <x v="11"/>
    <x v="2"/>
    <s v="Mine production, cobalt content, estimated"/>
    <s v="ton"/>
    <n v="3350"/>
    <n v="3500"/>
    <n v="310000"/>
    <n v="1.1290322580645161E-2"/>
    <n v="7"/>
    <n v="220000"/>
    <n v="12000000"/>
    <n v="1.8333333333333333E-2"/>
    <n v="7"/>
  </r>
  <r>
    <s v="MCS2026"/>
    <x v="11"/>
    <x v="3"/>
    <s v="Mine production, cobalt content, estimated"/>
    <s v="ton"/>
    <n v="2000"/>
    <n v="2000"/>
    <n v="310000"/>
    <n v="6.4516129032258064E-3"/>
    <n v="9"/>
    <n v="160000"/>
    <n v="12000000"/>
    <n v="1.3333333333333334E-2"/>
    <n v="8"/>
  </r>
  <r>
    <s v="MCS2026"/>
    <x v="11"/>
    <x v="51"/>
    <s v="Mine production, cobalt content, estimated"/>
    <s v="ton"/>
    <n v="3450"/>
    <n v="2000"/>
    <n v="310000"/>
    <n v="6.4516129032258064E-3"/>
    <n v="9"/>
    <n v="500000"/>
    <n v="12000000"/>
    <n v="4.1666666666666664E-2"/>
    <n v="5"/>
  </r>
  <r>
    <s v="MCS2026"/>
    <x v="11"/>
    <x v="52"/>
    <s v="Mine production, cobalt content, estimated"/>
    <s v="ton"/>
    <n v="226000"/>
    <n v="230000"/>
    <n v="310000"/>
    <n v="0.74193548387096775"/>
    <n v="1"/>
    <n v="6000000"/>
    <n v="12000000"/>
    <n v="0.5"/>
    <n v="1"/>
  </r>
  <r>
    <s v="MCS2026"/>
    <x v="11"/>
    <x v="27"/>
    <s v="Mine production, cobalt content, estimated"/>
    <s v="ton"/>
    <n v="35000"/>
    <n v="44000"/>
    <n v="310000"/>
    <n v="0.14193548387096774"/>
    <n v="2"/>
    <n v="760000"/>
    <n v="12000000"/>
    <n v="6.3333333333333339E-2"/>
    <n v="4"/>
  </r>
  <r>
    <s v="MCS2026"/>
    <x v="11"/>
    <x v="33"/>
    <s v="Mine production, cobalt content, estimated"/>
    <s v="ton"/>
    <n v="3100"/>
    <n v="3900"/>
    <n v="310000"/>
    <n v="1.2580645161290323E-2"/>
    <n v="4"/>
    <n v="100000"/>
    <n v="12000000"/>
    <n v="8.3333333333333332E-3"/>
    <n v="9"/>
  </r>
  <r>
    <s v="MCS2026"/>
    <x v="11"/>
    <x v="23"/>
    <s v="Mine production, cobalt content, estimated"/>
    <s v="ton"/>
    <n v="7780"/>
    <n v="9100"/>
    <n v="310000"/>
    <n v="2.9354838709677419E-2"/>
    <n v="13"/>
    <n v="780000"/>
    <n v="12000000"/>
    <n v="6.5000000000000002E-2"/>
    <n v="13"/>
  </r>
  <r>
    <s v="MCS2026"/>
    <x v="11"/>
    <x v="53"/>
    <s v="Mine production, cobalt content, estimated"/>
    <s v="ton"/>
    <n v="2630"/>
    <n v="2800"/>
    <n v="310000"/>
    <n v="9.0322580645161299E-3"/>
    <n v="8"/>
    <n v="84000"/>
    <n v="12000000"/>
    <n v="7.0000000000000001E-3"/>
    <n v="11"/>
  </r>
  <r>
    <s v="MCS2026"/>
    <x v="11"/>
    <x v="54"/>
    <s v="Mine production, cobalt content, estimated"/>
    <s v="ton"/>
    <n v="3100"/>
    <n v="3700"/>
    <n v="310000"/>
    <n v="1.1935483870967743E-2"/>
    <n v="5"/>
    <n v="260000"/>
    <n v="12000000"/>
    <n v="2.1666666666666667E-2"/>
    <n v="6"/>
  </r>
  <r>
    <s v="MCS2026"/>
    <x v="11"/>
    <x v="12"/>
    <s v="Mine production, cobalt content, estimated"/>
    <s v="ton"/>
    <n v="2200"/>
    <n v="1900"/>
    <n v="310000"/>
    <n v="6.1290322580645163E-3"/>
    <n v="11"/>
    <n v="91000"/>
    <n v="12000000"/>
    <n v="7.5833333333333334E-3"/>
    <n v="10"/>
  </r>
  <r>
    <s v="MCS2026"/>
    <x v="11"/>
    <x v="13"/>
    <s v="Mine production, cobalt content, estimated"/>
    <s v="ton"/>
    <n v="8000"/>
    <n v="7700"/>
    <n v="310000"/>
    <n v="2.4838709677419354E-2"/>
    <n v="3"/>
    <n v="800000"/>
    <n v="12000000"/>
    <n v="6.6666666666666666E-2"/>
    <n v="3"/>
  </r>
  <r>
    <s v="MCS2026"/>
    <x v="11"/>
    <x v="15"/>
    <s v="Mine production, estimated"/>
    <s v="ton"/>
    <n v="200"/>
    <n v="300"/>
    <n v="310000"/>
    <n v="9.6774193548387097E-4"/>
    <n v="12"/>
    <n v="70000"/>
    <n v="12000000"/>
    <n v="5.8333333333333336E-3"/>
    <n v="12"/>
  </r>
  <r>
    <s v="MCS2026"/>
    <x v="12"/>
    <x v="0"/>
    <s v="Mine production, recoverable copper content"/>
    <s v="k ton"/>
    <n v="765"/>
    <n v="730"/>
    <n v="23000"/>
    <n v="3.173913043478261E-2"/>
    <n v="8"/>
    <n v="100000"/>
    <n v="980000"/>
    <n v="0.10204081632653061"/>
    <n v="2"/>
  </r>
  <r>
    <s v="MCS2026"/>
    <x v="12"/>
    <x v="2"/>
    <s v="Mine production, recoverable copper content"/>
    <s v="k ton"/>
    <n v="515"/>
    <n v="500"/>
    <n v="23000"/>
    <n v="2.1739130434782608E-2"/>
    <n v="12"/>
    <n v="7000"/>
    <n v="980000"/>
    <n v="7.1428571428571426E-3"/>
    <n v="13"/>
  </r>
  <r>
    <s v="MCS2026"/>
    <x v="12"/>
    <x v="40"/>
    <s v="Mine production, recoverable copper content"/>
    <s v="k ton"/>
    <n v="5510"/>
    <n v="5300"/>
    <n v="23000"/>
    <n v="0.23043478260869565"/>
    <n v="1"/>
    <n v="180000"/>
    <n v="980000"/>
    <n v="0.18367346938775511"/>
    <n v="1"/>
  </r>
  <r>
    <s v="MCS2026"/>
    <x v="12"/>
    <x v="3"/>
    <s v="Mine production, recoverable copper content"/>
    <s v="k ton"/>
    <n v="1840"/>
    <n v="1800"/>
    <n v="23000"/>
    <n v="7.8260869565217397E-2"/>
    <n v="4"/>
    <n v="41000"/>
    <n v="980000"/>
    <n v="4.1836734693877553E-2"/>
    <n v="8"/>
  </r>
  <r>
    <s v="MCS2026"/>
    <x v="12"/>
    <x v="52"/>
    <s v="Mine production, recoverable copper content"/>
    <s v="k ton"/>
    <n v="2990"/>
    <n v="3200"/>
    <n v="23000"/>
    <n v="0.1391304347826087"/>
    <n v="2"/>
    <n v="80000"/>
    <n v="980000"/>
    <n v="8.1632653061224483E-2"/>
    <n v="4"/>
  </r>
  <r>
    <s v="MCS2026"/>
    <x v="12"/>
    <x v="24"/>
    <s v="Mine production, recoverable copper content"/>
    <s v="k ton"/>
    <n v="0"/>
    <n v="0"/>
    <n v="23000"/>
    <n v="0"/>
    <s v="-"/>
    <n v="0"/>
    <n v="980000"/>
    <n v="0"/>
    <s v="-"/>
  </r>
  <r>
    <s v="MCS2026"/>
    <x v="12"/>
    <x v="22"/>
    <s v="Mine production, recoverable copper content"/>
    <s v="k ton"/>
    <n v="27"/>
    <n v="23"/>
    <n v="23000"/>
    <n v="1E-3"/>
    <n v="14"/>
    <n v="2200"/>
    <n v="980000"/>
    <n v="2.2448979591836735E-3"/>
    <n v="14"/>
  </r>
  <r>
    <s v="MCS2026"/>
    <x v="12"/>
    <x v="27"/>
    <s v="Mine production, recoverable copper content"/>
    <s v="k ton"/>
    <n v="1010"/>
    <n v="710"/>
    <n v="23000"/>
    <n v="3.0869565217391304E-2"/>
    <n v="9"/>
    <n v="21000"/>
    <n v="980000"/>
    <n v="2.1428571428571429E-2"/>
    <n v="10"/>
  </r>
  <r>
    <s v="MCS2026"/>
    <x v="12"/>
    <x v="18"/>
    <s v="Mine production, recoverable copper content"/>
    <s v="k ton"/>
    <n v="0"/>
    <n v="0"/>
    <n v="23000"/>
    <n v="0"/>
    <s v="-"/>
    <n v="0"/>
    <n v="980000"/>
    <n v="0"/>
    <s v="-"/>
  </r>
  <r>
    <s v="MCS2026"/>
    <x v="12"/>
    <x v="6"/>
    <s v="Mine production, recoverable copper content"/>
    <s v="k ton"/>
    <n v="724"/>
    <n v="710"/>
    <n v="23000"/>
    <n v="3.0869565217391304E-2"/>
    <n v="9"/>
    <n v="20000"/>
    <n v="980000"/>
    <n v="2.0408163265306121E-2"/>
    <n v="12"/>
  </r>
  <r>
    <s v="MCS2026"/>
    <x v="12"/>
    <x v="9"/>
    <s v="Mine production, recoverable copper content"/>
    <s v="k ton"/>
    <n v="717"/>
    <n v="690"/>
    <n v="23000"/>
    <n v="0.03"/>
    <n v="11"/>
    <n v="53000"/>
    <n v="980000"/>
    <n v="5.4081632653061228E-2"/>
    <n v="6"/>
  </r>
  <r>
    <s v="MCS2026"/>
    <x v="12"/>
    <x v="23"/>
    <s v="Mine production, recoverable copper content"/>
    <s v="k ton"/>
    <n v="2850"/>
    <n v="3000"/>
    <n v="23000"/>
    <n v="0.13043478260869565"/>
    <n v="18"/>
    <n v="210000"/>
    <n v="980000"/>
    <n v="0.21428571428571427"/>
    <n v="18"/>
  </r>
  <r>
    <s v="MCS2026"/>
    <x v="12"/>
    <x v="20"/>
    <s v="Mine production, recoverable copper content"/>
    <s v="k ton"/>
    <n v="2740"/>
    <n v="2700"/>
    <n v="23000"/>
    <n v="0.11739130434782609"/>
    <n v="3"/>
    <n v="85000"/>
    <n v="980000"/>
    <n v="8.673469387755102E-2"/>
    <n v="3"/>
  </r>
  <r>
    <s v="MCS2026"/>
    <x v="12"/>
    <x v="46"/>
    <s v="Mine production, recoverable copper content"/>
    <s v="k ton"/>
    <n v="400"/>
    <n v="410"/>
    <n v="23000"/>
    <n v="1.7826086956521738E-2"/>
    <n v="13"/>
    <n v="33000"/>
    <n v="980000"/>
    <n v="3.3673469387755103E-2"/>
    <n v="9"/>
  </r>
  <r>
    <s v="MCS2026"/>
    <x v="12"/>
    <x v="13"/>
    <s v="Mine production, recoverable copper content"/>
    <s v="k ton"/>
    <n v="1020"/>
    <n v="1300"/>
    <n v="23000"/>
    <n v="5.6521739130434782E-2"/>
    <n v="5"/>
    <n v="80000"/>
    <n v="980000"/>
    <n v="8.1632653061224483E-2"/>
    <n v="4"/>
  </r>
  <r>
    <s v="MCS2026"/>
    <x v="12"/>
    <x v="38"/>
    <s v="Mine production, recoverable copper content"/>
    <s v="k ton"/>
    <n v="0"/>
    <n v="0"/>
    <n v="23000"/>
    <n v="0"/>
    <s v="-"/>
    <n v="0"/>
    <n v="980000"/>
    <n v="0"/>
    <s v="-"/>
  </r>
  <r>
    <s v="MCS2026"/>
    <x v="12"/>
    <x v="15"/>
    <s v="Mine production, recoverable copper content"/>
    <s v="k ton"/>
    <n v="1050"/>
    <n v="1000"/>
    <n v="23000"/>
    <n v="4.3478260869565216E-2"/>
    <n v="6"/>
    <n v="47000"/>
    <n v="980000"/>
    <n v="4.7959183673469387E-2"/>
    <n v="7"/>
  </r>
  <r>
    <s v="MCS2026"/>
    <x v="12"/>
    <x v="55"/>
    <s v="Mine production, recoverable copper content"/>
    <s v="k ton"/>
    <n v="823"/>
    <n v="940"/>
    <n v="23000"/>
    <n v="4.0869565217391303E-2"/>
    <n v="7"/>
    <n v="21000"/>
    <n v="980000"/>
    <n v="2.1428571428571429E-2"/>
    <n v="10"/>
  </r>
  <r>
    <s v="MCS2026"/>
    <x v="13"/>
    <x v="39"/>
    <s v="Mine production, estimated"/>
    <s v="k ton"/>
    <n v="185"/>
    <n v="190"/>
    <n v="2500"/>
    <n v="7.5999999999999998E-2"/>
    <n v="4"/>
    <n v="0"/>
    <n v="0"/>
    <s v="-"/>
    <s v="-"/>
  </r>
  <r>
    <s v="MCS2026"/>
    <x v="13"/>
    <x v="3"/>
    <s v="Mine production, estimated"/>
    <s v="k ton"/>
    <n v="140"/>
    <n v="140"/>
    <n v="2500"/>
    <n v="5.6000000000000001E-2"/>
    <n v="6"/>
    <n v="120000"/>
    <n v="0"/>
    <s v="-"/>
    <n v="2"/>
  </r>
  <r>
    <s v="MCS2026"/>
    <x v="13"/>
    <x v="56"/>
    <s v="Mine production, estimated"/>
    <s v="k ton"/>
    <n v="380"/>
    <n v="380"/>
    <n v="2500"/>
    <n v="0.152"/>
    <n v="2"/>
    <n v="0"/>
    <n v="0"/>
    <s v="-"/>
    <s v="-"/>
  </r>
  <r>
    <s v="MCS2026"/>
    <x v="13"/>
    <x v="57"/>
    <s v="Mine production, estimated"/>
    <s v="k ton"/>
    <n v="250"/>
    <n v="250"/>
    <n v="2500"/>
    <n v="0.1"/>
    <n v="3"/>
    <n v="0"/>
    <n v="0"/>
    <s v="-"/>
    <s v="-"/>
  </r>
  <r>
    <s v="MCS2026"/>
    <x v="13"/>
    <x v="24"/>
    <s v="Mine production, estimated"/>
    <s v="k ton"/>
    <n v="50"/>
    <n v="50"/>
    <n v="2500"/>
    <n v="0.02"/>
    <n v="10"/>
    <n v="0"/>
    <n v="0"/>
    <s v="-"/>
    <s v="-"/>
  </r>
  <r>
    <s v="MCS2026"/>
    <x v="13"/>
    <x v="18"/>
    <s v="Mine production, estimated"/>
    <s v="k ton"/>
    <n v="40"/>
    <n v="40"/>
    <n v="2500"/>
    <n v="1.6E-2"/>
    <n v="13"/>
    <n v="0"/>
    <n v="0"/>
    <s v="-"/>
    <s v="-"/>
  </r>
  <r>
    <s v="MCS2026"/>
    <x v="13"/>
    <x v="9"/>
    <s v="Mine production, estimated"/>
    <s v="k ton"/>
    <n v="100"/>
    <n v="100"/>
    <n v="2500"/>
    <n v="0.04"/>
    <n v="8"/>
    <n v="0"/>
    <n v="0"/>
    <s v="-"/>
    <s v="-"/>
  </r>
  <r>
    <s v="MCS2026"/>
    <x v="13"/>
    <x v="58"/>
    <s v="Mine production, estimated"/>
    <s v="k ton"/>
    <n v="40"/>
    <n v="40"/>
    <n v="2500"/>
    <n v="1.6E-2"/>
    <n v="13"/>
    <n v="0"/>
    <n v="0"/>
    <s v="-"/>
    <s v="-"/>
  </r>
  <r>
    <s v="MCS2026"/>
    <x v="13"/>
    <x v="23"/>
    <s v="Mine production, estimated"/>
    <s v="k ton"/>
    <n v="152"/>
    <n v="160"/>
    <n v="2500"/>
    <n v="6.4000000000000001E-2"/>
    <n v="15"/>
    <n v="0"/>
    <n v="0"/>
    <s v="-"/>
    <n v="15"/>
  </r>
  <r>
    <s v="MCS2026"/>
    <x v="13"/>
    <x v="20"/>
    <s v="Mine production, estimated"/>
    <s v="k ton"/>
    <n v="99"/>
    <n v="99"/>
    <n v="2500"/>
    <n v="3.9600000000000003E-2"/>
    <n v="9"/>
    <n v="0"/>
    <n v="0"/>
    <s v="-"/>
    <s v="-"/>
  </r>
  <r>
    <s v="MCS2026"/>
    <x v="13"/>
    <x v="12"/>
    <s v="Mine production, estimated"/>
    <s v="k ton"/>
    <n v="150"/>
    <n v="150"/>
    <n v="2500"/>
    <n v="0.06"/>
    <n v="5"/>
    <n v="44000"/>
    <n v="0"/>
    <s v="-"/>
    <n v="4"/>
  </r>
  <r>
    <s v="MCS2026"/>
    <x v="13"/>
    <x v="13"/>
    <s v="Mine production, estimated"/>
    <s v="k ton"/>
    <n v="50"/>
    <n v="50"/>
    <n v="2500"/>
    <n v="0.02"/>
    <n v="10"/>
    <n v="0"/>
    <n v="0"/>
    <s v="-"/>
    <s v="-"/>
  </r>
  <r>
    <s v="MCS2026"/>
    <x v="13"/>
    <x v="38"/>
    <s v="Mine production, estimated"/>
    <s v="k ton"/>
    <n v="120"/>
    <n v="120"/>
    <n v="2500"/>
    <n v="4.8000000000000001E-2"/>
    <n v="7"/>
    <n v="2200"/>
    <n v="0"/>
    <s v="-"/>
    <n v="5"/>
  </r>
  <r>
    <s v="MCS2026"/>
    <x v="13"/>
    <x v="31"/>
    <s v="Mine production, estimated"/>
    <s v="k ton"/>
    <n v="50"/>
    <n v="50"/>
    <n v="2500"/>
    <n v="0.02"/>
    <n v="10"/>
    <n v="57000"/>
    <n v="0"/>
    <s v="-"/>
    <n v="3"/>
  </r>
  <r>
    <s v="MCS2026"/>
    <x v="13"/>
    <x v="15"/>
    <s v="Mine production, estimated"/>
    <s v="k ton"/>
    <n v="721"/>
    <n v="720"/>
    <n v="2500"/>
    <n v="0.28799999999999998"/>
    <n v="1"/>
    <n v="250000"/>
    <n v="0"/>
    <s v="-"/>
    <n v="1"/>
  </r>
  <r>
    <s v="MCS2026"/>
    <x v="14"/>
    <x v="21"/>
    <s v="Mine production, estimated"/>
    <s v="k ton"/>
    <n v="620"/>
    <n v="620"/>
    <n v="31000"/>
    <n v="0.02"/>
    <n v="11"/>
    <n v="150000"/>
    <n v="0"/>
    <s v="-"/>
    <n v="5"/>
  </r>
  <r>
    <s v="MCS2026"/>
    <x v="14"/>
    <x v="3"/>
    <s v="Mine production, estimated"/>
    <s v="k ton"/>
    <n v="3700"/>
    <n v="3700"/>
    <n v="31000"/>
    <n v="0.11935483870967742"/>
    <n v="4"/>
    <n v="730000"/>
    <n v="0"/>
    <s v="-"/>
    <n v="1"/>
  </r>
  <r>
    <s v="MCS2026"/>
    <x v="14"/>
    <x v="22"/>
    <s v="Mine production, estimated"/>
    <s v="k ton"/>
    <n v="6000"/>
    <n v="6000"/>
    <n v="31000"/>
    <n v="0.19354838709677419"/>
    <n v="1"/>
    <n v="320000"/>
    <n v="0"/>
    <s v="-"/>
    <n v="3"/>
  </r>
  <r>
    <s v="MCS2026"/>
    <x v="14"/>
    <x v="5"/>
    <s v="Mine production, estimated"/>
    <s v="k ton"/>
    <n v="3900"/>
    <n v="3900"/>
    <n v="31000"/>
    <n v="0.12580645161290321"/>
    <n v="3"/>
    <n v="130000"/>
    <n v="0"/>
    <s v="-"/>
    <n v="6"/>
  </r>
  <r>
    <s v="MCS2026"/>
    <x v="14"/>
    <x v="59"/>
    <s v="Mine production, estimated"/>
    <s v="k ton"/>
    <n v="2200"/>
    <n v="2200"/>
    <n v="31000"/>
    <n v="7.0967741935483872E-2"/>
    <n v="5"/>
    <n v="0"/>
    <n v="0"/>
    <s v="-"/>
    <s v="-"/>
  </r>
  <r>
    <s v="MCS2026"/>
    <x v="14"/>
    <x v="19"/>
    <s v="Mine production, estimated"/>
    <s v="k ton"/>
    <n v="720"/>
    <n v="720"/>
    <n v="31000"/>
    <n v="2.3225806451612905E-2"/>
    <n v="8"/>
    <n v="0"/>
    <n v="0"/>
    <s v="-"/>
    <s v="-"/>
  </r>
  <r>
    <s v="MCS2026"/>
    <x v="14"/>
    <x v="23"/>
    <s v="Mine production, estimated"/>
    <s v="k ton"/>
    <n v="3400"/>
    <n v="3400"/>
    <n v="31000"/>
    <n v="0.10967741935483871"/>
    <n v="14"/>
    <n v="0"/>
    <n v="0"/>
    <s v="-"/>
    <n v="14"/>
  </r>
  <r>
    <s v="MCS2026"/>
    <x v="14"/>
    <x v="12"/>
    <s v="Mine production, estimated"/>
    <s v="k ton"/>
    <n v="5274"/>
    <n v="5300"/>
    <n v="31000"/>
    <n v="0.17096774193548386"/>
    <n v="2"/>
    <n v="720000"/>
    <n v="0"/>
    <s v="-"/>
    <n v="2"/>
  </r>
  <r>
    <s v="MCS2026"/>
    <x v="14"/>
    <x v="13"/>
    <s v="Mine production, estimated"/>
    <s v="k ton"/>
    <n v="650"/>
    <n v="650"/>
    <n v="31000"/>
    <n v="2.0967741935483872E-2"/>
    <n v="9"/>
    <n v="0"/>
    <n v="0"/>
    <s v="-"/>
    <s v="-"/>
  </r>
  <r>
    <s v="MCS2026"/>
    <x v="14"/>
    <x v="30"/>
    <s v="Mine production, estimated"/>
    <s v="k ton"/>
    <n v="650"/>
    <n v="650"/>
    <n v="31000"/>
    <n v="2.0967741935483872E-2"/>
    <n v="9"/>
    <n v="0"/>
    <n v="0"/>
    <s v="-"/>
    <s v="-"/>
  </r>
  <r>
    <s v="MCS2026"/>
    <x v="14"/>
    <x v="38"/>
    <s v="Mine production, estimated"/>
    <s v="k ton"/>
    <n v="990"/>
    <n v="1000"/>
    <n v="31000"/>
    <n v="3.2258064516129031E-2"/>
    <n v="7"/>
    <n v="200000"/>
    <n v="0"/>
    <s v="-"/>
    <n v="4"/>
  </r>
  <r>
    <s v="MCS2026"/>
    <x v="14"/>
    <x v="31"/>
    <s v="Mine production, estimated"/>
    <s v="k ton"/>
    <n v="620"/>
    <n v="620"/>
    <n v="31000"/>
    <n v="0.02"/>
    <n v="11"/>
    <n v="0"/>
    <n v="0"/>
    <s v="-"/>
    <s v="-"/>
  </r>
  <r>
    <s v="MCS2026"/>
    <x v="14"/>
    <x v="60"/>
    <s v="Mine production, estimated"/>
    <s v="k ton"/>
    <n v="1900"/>
    <n v="1900"/>
    <n v="31000"/>
    <n v="6.1290322580645158E-2"/>
    <n v="6"/>
    <n v="45000"/>
    <n v="0"/>
    <s v="-"/>
    <n v="7"/>
  </r>
  <r>
    <s v="MCS2026"/>
    <x v="14"/>
    <x v="15"/>
    <s v="Mine production, estimated"/>
    <s v="k ton"/>
    <n v="450"/>
    <n v="440"/>
    <n v="31000"/>
    <n v="1.4193548387096775E-2"/>
    <n v="13"/>
    <n v="0"/>
    <n v="0"/>
    <s v="-"/>
    <s v="-"/>
  </r>
  <r>
    <s v="MCS2026"/>
    <x v="15"/>
    <x v="21"/>
    <s v="Mine production, estimated"/>
    <s v="k ton"/>
    <n v="85"/>
    <n v="100"/>
    <n v="10000"/>
    <n v="0.01"/>
    <n v="7"/>
    <n v="2500"/>
    <n v="330000"/>
    <n v="7.575757575757576E-3"/>
    <n v="9"/>
  </r>
  <r>
    <s v="MCS2026"/>
    <x v="15"/>
    <x v="3"/>
    <s v="Mine production, estimated"/>
    <s v="k ton"/>
    <n v="6000"/>
    <n v="6000"/>
    <n v="10000"/>
    <n v="0.6"/>
    <n v="1"/>
    <n v="110000"/>
    <n v="330000"/>
    <n v="0.33333333333333331"/>
    <n v="1"/>
  </r>
  <r>
    <s v="MCS2026"/>
    <x v="15"/>
    <x v="24"/>
    <s v="Mine production, estimated"/>
    <s v="k ton"/>
    <n v="35"/>
    <n v="35"/>
    <n v="10000"/>
    <n v="3.5000000000000001E-3"/>
    <n v="11"/>
    <n v="0"/>
    <n v="330000"/>
    <n v="0"/>
    <s v="-"/>
  </r>
  <r>
    <s v="MCS2026"/>
    <x v="15"/>
    <x v="5"/>
    <s v="Mine production, estimated"/>
    <s v="k ton"/>
    <n v="53"/>
    <n v="70"/>
    <n v="10000"/>
    <n v="7.0000000000000001E-3"/>
    <n v="8"/>
    <n v="7600"/>
    <n v="330000"/>
    <n v="2.3030303030303029E-2"/>
    <n v="7"/>
  </r>
  <r>
    <s v="MCS2026"/>
    <x v="15"/>
    <x v="9"/>
    <s v="Mine production, estimated"/>
    <s v="k ton"/>
    <n v="1510"/>
    <n v="1500"/>
    <n v="10000"/>
    <n v="0.15"/>
    <n v="2"/>
    <n v="68000"/>
    <n v="330000"/>
    <n v="0.20606060606060606"/>
    <n v="2"/>
  </r>
  <r>
    <s v="MCS2026"/>
    <x v="15"/>
    <x v="61"/>
    <s v="Mine production, estimated"/>
    <s v="k ton"/>
    <n v="1430"/>
    <n v="1500"/>
    <n v="10000"/>
    <n v="0.15"/>
    <n v="2"/>
    <n v="34000"/>
    <n v="330000"/>
    <n v="0.10303030303030303"/>
    <n v="4"/>
  </r>
  <r>
    <s v="MCS2026"/>
    <x v="15"/>
    <x v="23"/>
    <s v="Mine production, estimated"/>
    <s v="k ton"/>
    <n v="316"/>
    <n v="200"/>
    <n v="10000"/>
    <n v="0.02"/>
    <n v="14"/>
    <n v="32000"/>
    <n v="330000"/>
    <n v="9.696969696969697E-2"/>
    <n v="14"/>
  </r>
  <r>
    <s v="MCS2026"/>
    <x v="15"/>
    <x v="11"/>
    <s v="Mine production, estimated"/>
    <s v="k ton"/>
    <n v="60"/>
    <n v="50"/>
    <n v="10000"/>
    <n v="5.0000000000000001E-3"/>
    <n v="10"/>
    <n v="0"/>
    <n v="330000"/>
    <n v="0"/>
    <s v="-"/>
  </r>
  <r>
    <s v="MCS2026"/>
    <x v="15"/>
    <x v="49"/>
    <s v="Mine production, estimated"/>
    <s v="k ton"/>
    <n v="447"/>
    <n v="410"/>
    <n v="10000"/>
    <n v="4.1000000000000002E-2"/>
    <n v="4"/>
    <n v="41000"/>
    <n v="330000"/>
    <n v="0.12424242424242424"/>
    <n v="3"/>
  </r>
  <r>
    <s v="MCS2026"/>
    <x v="15"/>
    <x v="31"/>
    <s v="Mine production, estimated"/>
    <s v="k ton"/>
    <n v="138"/>
    <n v="140"/>
    <n v="10000"/>
    <n v="1.4E-2"/>
    <n v="6"/>
    <n v="15000"/>
    <n v="330000"/>
    <n v="4.5454545454545456E-2"/>
    <n v="6"/>
  </r>
  <r>
    <s v="MCS2026"/>
    <x v="15"/>
    <x v="14"/>
    <s v="Mine production, estimated"/>
    <s v="k ton"/>
    <n v="15"/>
    <n v="15"/>
    <n v="10000"/>
    <n v="1.5E-3"/>
    <n v="12"/>
    <n v="0"/>
    <n v="330000"/>
    <n v="0"/>
    <s v="-"/>
  </r>
  <r>
    <s v="MCS2026"/>
    <x v="15"/>
    <x v="60"/>
    <s v="Mine production, estimated"/>
    <s v="k ton"/>
    <n v="75"/>
    <n v="55"/>
    <n v="10000"/>
    <n v="5.4999999999999997E-3"/>
    <n v="9"/>
    <n v="3600"/>
    <n v="330000"/>
    <n v="1.090909090909091E-2"/>
    <n v="8"/>
  </r>
  <r>
    <s v="MCS2026"/>
    <x v="15"/>
    <x v="15"/>
    <s v="Mine production, estimated"/>
    <s v="k ton"/>
    <n v="0"/>
    <n v="0"/>
    <n v="10000"/>
    <n v="0"/>
    <s v="-"/>
    <n v="0"/>
    <n v="330000"/>
    <n v="0"/>
    <s v="-"/>
  </r>
  <r>
    <s v="MCS2026"/>
    <x v="15"/>
    <x v="16"/>
    <s v="Mine production, estimated"/>
    <s v="k ton"/>
    <n v="146"/>
    <n v="160"/>
    <n v="10000"/>
    <n v="1.6E-2"/>
    <n v="5"/>
    <n v="16000"/>
    <n v="330000"/>
    <n v="4.8484848484848485E-2"/>
    <n v="5"/>
  </r>
  <r>
    <s v="MCS2026"/>
    <x v="16"/>
    <x v="3"/>
    <s v="Primary production"/>
    <s v="kg"/>
    <n v="839000"/>
    <n v="900000"/>
    <n v="900000"/>
    <n v="1"/>
    <n v="1"/>
    <n v="0"/>
    <n v="0"/>
    <s v="-"/>
    <s v="-"/>
  </r>
  <r>
    <s v="MCS2026"/>
    <x v="16"/>
    <x v="18"/>
    <s v="Primary production"/>
    <s v="kg"/>
    <n v="3000"/>
    <n v="3000"/>
    <n v="900000"/>
    <n v="3.3333333333333335E-3"/>
    <n v="3"/>
    <n v="0"/>
    <n v="0"/>
    <s v="-"/>
    <s v="-"/>
  </r>
  <r>
    <s v="MCS2026"/>
    <x v="16"/>
    <x v="23"/>
    <s v="Primary production"/>
    <s v="kg"/>
    <n v="0"/>
    <n v="0"/>
    <n v="900000"/>
    <n v="0"/>
    <n v="5"/>
    <n v="0"/>
    <n v="0"/>
    <s v="-"/>
    <n v="5"/>
  </r>
  <r>
    <s v="MCS2026"/>
    <x v="16"/>
    <x v="13"/>
    <s v="Primary production"/>
    <s v="kg"/>
    <n v="6000"/>
    <n v="6000"/>
    <n v="900000"/>
    <n v="6.6666666666666671E-3"/>
    <n v="2"/>
    <n v="0"/>
    <n v="0"/>
    <s v="-"/>
    <s v="-"/>
  </r>
  <r>
    <s v="MCS2026"/>
    <x v="16"/>
    <x v="15"/>
    <s v="Primary production"/>
    <s v="kg"/>
    <n v="0"/>
    <n v="0"/>
    <n v="900000"/>
    <n v="0"/>
    <s v="-"/>
    <n v="0"/>
    <n v="0"/>
    <s v="-"/>
    <s v="-"/>
  </r>
  <r>
    <s v="MCS2026"/>
    <x v="17"/>
    <x v="0"/>
    <s v="Mine production, estimated"/>
    <s v="ton"/>
    <n v="348000"/>
    <n v="350000"/>
    <n v="730000"/>
    <n v="0.47945205479452052"/>
    <n v="1"/>
    <n v="0"/>
    <n v="0"/>
    <s v="-"/>
    <s v="-"/>
  </r>
  <r>
    <s v="MCS2026"/>
    <x v="17"/>
    <x v="3"/>
    <s v="Mine production, estimated"/>
    <s v="ton"/>
    <n v="250000"/>
    <n v="280000"/>
    <n v="730000"/>
    <n v="0.38356164383561642"/>
    <n v="2"/>
    <n v="37000000"/>
    <n v="0"/>
    <s v="-"/>
    <n v="1"/>
  </r>
  <r>
    <s v="MCS2026"/>
    <x v="17"/>
    <x v="62"/>
    <s v="Mine production, estimated"/>
    <s v="ton"/>
    <n v="4000"/>
    <n v="4000"/>
    <n v="730000"/>
    <n v="5.4794520547945206E-3"/>
    <n v="5"/>
    <n v="0"/>
    <n v="0"/>
    <s v="-"/>
    <s v="-"/>
  </r>
  <r>
    <s v="MCS2026"/>
    <x v="17"/>
    <x v="22"/>
    <s v="Mine production, estimated"/>
    <s v="ton"/>
    <n v="15000"/>
    <n v="15000"/>
    <n v="730000"/>
    <n v="2.0547945205479451E-2"/>
    <n v="4"/>
    <n v="8600000"/>
    <n v="0"/>
    <s v="-"/>
    <n v="2"/>
  </r>
  <r>
    <s v="MCS2026"/>
    <x v="17"/>
    <x v="11"/>
    <s v="Mine production, estimated"/>
    <s v="ton"/>
    <n v="1900"/>
    <n v="1900"/>
    <n v="730000"/>
    <n v="2.6027397260273972E-3"/>
    <n v="6"/>
    <n v="0"/>
    <n v="0"/>
    <s v="-"/>
    <s v="-"/>
  </r>
  <r>
    <s v="MCS2026"/>
    <x v="17"/>
    <x v="49"/>
    <s v="Mine production, estimated"/>
    <s v="ton"/>
    <n v="40000"/>
    <n v="0"/>
    <n v="730000"/>
    <n v="0"/>
    <s v="-"/>
    <n v="1300000"/>
    <n v="0"/>
    <s v="-"/>
    <n v="4"/>
  </r>
  <r>
    <s v="MCS2026"/>
    <x v="17"/>
    <x v="15"/>
    <s v="Mine production, estimated"/>
    <s v="ton"/>
    <n v="74200"/>
    <n v="77000"/>
    <n v="730000"/>
    <n v="0.10547945205479452"/>
    <n v="3"/>
    <n v="5000000"/>
    <n v="0"/>
    <s v="-"/>
    <n v="3"/>
  </r>
  <r>
    <s v="MCS2026"/>
    <x v="18"/>
    <x v="0"/>
    <s v="mine production, gold content"/>
    <s v="ton"/>
    <n v="284"/>
    <n v="280"/>
    <n v="3300"/>
    <n v="8.4848484848484854E-2"/>
    <n v="3"/>
    <n v="13000"/>
    <n v="66000"/>
    <n v="0.19696969696969696"/>
    <n v="1"/>
  </r>
  <r>
    <s v="MCS2026"/>
    <x v="18"/>
    <x v="21"/>
    <s v="mine production, gold content"/>
    <s v="ton"/>
    <n v="82"/>
    <n v="80"/>
    <n v="3300"/>
    <n v="2.4242424242424242E-2"/>
    <n v="13"/>
    <n v="2500"/>
    <n v="66000"/>
    <n v="3.787878787878788E-2"/>
    <n v="8"/>
  </r>
  <r>
    <s v="MCS2026"/>
    <x v="18"/>
    <x v="2"/>
    <s v="mine production, gold content"/>
    <s v="ton"/>
    <n v="200"/>
    <n v="200"/>
    <n v="3300"/>
    <n v="6.0606060606060608E-2"/>
    <n v="4"/>
    <n v="3200"/>
    <n v="66000"/>
    <n v="4.8484848484848485E-2"/>
    <n v="5"/>
  </r>
  <r>
    <s v="MCS2026"/>
    <x v="18"/>
    <x v="3"/>
    <s v="mine production, gold content"/>
    <s v="ton"/>
    <n v="377"/>
    <n v="380"/>
    <n v="3300"/>
    <n v="0.11515151515151516"/>
    <n v="1"/>
    <n v="3200"/>
    <n v="66000"/>
    <n v="4.8484848484848485E-2"/>
    <n v="5"/>
  </r>
  <r>
    <s v="MCS2026"/>
    <x v="18"/>
    <x v="63"/>
    <s v="mine production, gold content"/>
    <s v="ton"/>
    <n v="149"/>
    <n v="150"/>
    <n v="3300"/>
    <n v="4.5454545454545456E-2"/>
    <n v="6"/>
    <n v="1000"/>
    <n v="66000"/>
    <n v="1.5151515151515152E-2"/>
    <n v="13"/>
  </r>
  <r>
    <s v="MCS2026"/>
    <x v="18"/>
    <x v="27"/>
    <s v="mine production, gold content"/>
    <s v="ton"/>
    <n v="94"/>
    <n v="90"/>
    <n v="3300"/>
    <n v="2.7272727272727271E-2"/>
    <n v="11"/>
    <n v="3600"/>
    <n v="66000"/>
    <n v="5.4545454545454543E-2"/>
    <n v="4"/>
  </r>
  <r>
    <s v="MCS2026"/>
    <x v="18"/>
    <x v="6"/>
    <s v="mine production, gold content"/>
    <s v="ton"/>
    <n v="130"/>
    <n v="130"/>
    <n v="3300"/>
    <n v="3.9393939393939391E-2"/>
    <n v="8"/>
    <n v="2300"/>
    <n v="66000"/>
    <n v="3.4848484848484851E-2"/>
    <n v="9"/>
  </r>
  <r>
    <s v="MCS2026"/>
    <x v="18"/>
    <x v="9"/>
    <s v="mine production, gold content"/>
    <s v="ton"/>
    <n v="140"/>
    <n v="140"/>
    <n v="3300"/>
    <n v="4.2424242424242427E-2"/>
    <n v="7"/>
    <n v="1400"/>
    <n v="66000"/>
    <n v="2.1212121212121213E-2"/>
    <n v="12"/>
  </r>
  <r>
    <s v="MCS2026"/>
    <x v="18"/>
    <x v="23"/>
    <s v="mine production, gold content"/>
    <s v="ton"/>
    <n v="1020"/>
    <n v="1000"/>
    <n v="3300"/>
    <n v="0.30303030303030304"/>
    <n v="14"/>
    <n v="11000"/>
    <n v="66000"/>
    <n v="0.16666666666666666"/>
    <n v="14"/>
  </r>
  <r>
    <s v="MCS2026"/>
    <x v="18"/>
    <x v="20"/>
    <s v="mine production, gold content"/>
    <s v="ton"/>
    <n v="108"/>
    <n v="110"/>
    <n v="3300"/>
    <n v="3.3333333333333333E-2"/>
    <n v="10"/>
    <n v="2200"/>
    <n v="66000"/>
    <n v="3.3333333333333333E-2"/>
    <n v="10"/>
  </r>
  <r>
    <s v="MCS2026"/>
    <x v="18"/>
    <x v="13"/>
    <s v="mine production, gold content"/>
    <s v="ton"/>
    <n v="310"/>
    <n v="310"/>
    <n v="3300"/>
    <n v="9.3939393939393934E-2"/>
    <n v="2"/>
    <n v="12000"/>
    <n v="66000"/>
    <n v="0.18181818181818182"/>
    <n v="2"/>
  </r>
  <r>
    <s v="MCS2026"/>
    <x v="18"/>
    <x v="49"/>
    <s v="mine production, gold content"/>
    <s v="ton"/>
    <n v="90"/>
    <n v="90"/>
    <n v="3300"/>
    <n v="2.7272727272727271E-2"/>
    <n v="11"/>
    <n v="5000"/>
    <n v="66000"/>
    <n v="7.575757575757576E-2"/>
    <n v="3"/>
  </r>
  <r>
    <s v="MCS2026"/>
    <x v="18"/>
    <x v="15"/>
    <s v="mine production, gold content"/>
    <s v="ton"/>
    <n v="163"/>
    <n v="160"/>
    <n v="3300"/>
    <n v="4.8484848484848485E-2"/>
    <n v="5"/>
    <n v="3000"/>
    <n v="66000"/>
    <n v="4.5454545454545456E-2"/>
    <n v="7"/>
  </r>
  <r>
    <s v="MCS2026"/>
    <x v="18"/>
    <x v="47"/>
    <s v="mine production, gold content"/>
    <s v="ton"/>
    <n v="129"/>
    <n v="130"/>
    <n v="3300"/>
    <n v="3.9393939393939391E-2"/>
    <n v="8"/>
    <n v="2200"/>
    <n v="66000"/>
    <n v="3.3333333333333333E-2"/>
    <n v="10"/>
  </r>
  <r>
    <s v="MCS2026"/>
    <x v="19"/>
    <x v="64"/>
    <s v="Mine production"/>
    <s v="ton"/>
    <n v="100"/>
    <n v="200"/>
    <n v="1800000"/>
    <n v="1.1111111111111112E-4"/>
    <n v="17"/>
    <n v="0"/>
    <n v="310000000"/>
    <n v="0"/>
    <s v="-"/>
  </r>
  <r>
    <s v="MCS2026"/>
    <x v="19"/>
    <x v="21"/>
    <s v="Mine production"/>
    <s v="ton"/>
    <n v="58000"/>
    <n v="65000"/>
    <n v="1800000"/>
    <n v="3.6111111111111108E-2"/>
    <n v="4"/>
    <n v="74000000"/>
    <n v="310000000"/>
    <n v="0.23870967741935484"/>
    <n v="2"/>
  </r>
  <r>
    <s v="MCS2026"/>
    <x v="19"/>
    <x v="2"/>
    <s v="Mine production"/>
    <s v="ton"/>
    <n v="11700"/>
    <n v="8000"/>
    <n v="1800000"/>
    <n v="4.4444444444444444E-3"/>
    <n v="8"/>
    <n v="5900000"/>
    <n v="310000000"/>
    <n v="1.9032258064516128E-2"/>
    <n v="10"/>
  </r>
  <r>
    <s v="MCS2026"/>
    <x v="19"/>
    <x v="3"/>
    <s v="Mine production"/>
    <s v="ton"/>
    <n v="1270000"/>
    <n v="1400000"/>
    <n v="1800000"/>
    <n v="0.77777777777777779"/>
    <n v="1"/>
    <n v="100000000"/>
    <n v="310000000"/>
    <n v="0.32258064516129031"/>
    <n v="1"/>
  </r>
  <r>
    <s v="MCS2026"/>
    <x v="19"/>
    <x v="24"/>
    <s v="Mine production"/>
    <s v="ton"/>
    <n v="140"/>
    <n v="140"/>
    <n v="1800000"/>
    <n v="7.7777777777777782E-5"/>
    <n v="18"/>
    <n v="0"/>
    <n v="310000000"/>
    <n v="0"/>
    <s v="-"/>
  </r>
  <r>
    <s v="MCS2026"/>
    <x v="19"/>
    <x v="22"/>
    <s v="Mine production"/>
    <s v="ton"/>
    <n v="17600"/>
    <n v="17000"/>
    <n v="1800000"/>
    <n v="9.4444444444444445E-3"/>
    <n v="7"/>
    <n v="8600000"/>
    <n v="310000000"/>
    <n v="2.7741935483870966E-2"/>
    <n v="8"/>
  </r>
  <r>
    <s v="MCS2026"/>
    <x v="19"/>
    <x v="33"/>
    <s v="Mine production"/>
    <s v="ton"/>
    <n v="85000"/>
    <n v="80000"/>
    <n v="1800000"/>
    <n v="4.4444444444444446E-2"/>
    <n v="2"/>
    <n v="27000000"/>
    <n v="310000000"/>
    <n v="8.7096774193548387E-2"/>
    <n v="3"/>
  </r>
  <r>
    <s v="MCS2026"/>
    <x v="19"/>
    <x v="9"/>
    <s v="Mine production"/>
    <s v="ton"/>
    <n v="706"/>
    <n v="740"/>
    <n v="1800000"/>
    <n v="4.1111111111111112E-4"/>
    <n v="14"/>
    <n v="3100000"/>
    <n v="310000000"/>
    <n v="0.01"/>
    <n v="11"/>
  </r>
  <r>
    <s v="MCS2026"/>
    <x v="19"/>
    <x v="34"/>
    <s v="Mine production"/>
    <s v="ton"/>
    <n v="39000"/>
    <n v="60000"/>
    <n v="1800000"/>
    <n v="3.3333333333333333E-2"/>
    <n v="5"/>
    <n v="25000000"/>
    <n v="310000000"/>
    <n v="8.0645161290322578E-2"/>
    <n v="4"/>
  </r>
  <r>
    <s v="MCS2026"/>
    <x v="19"/>
    <x v="65"/>
    <s v="Mine production"/>
    <s v="ton"/>
    <n v="8100"/>
    <n v="8000"/>
    <n v="1800000"/>
    <n v="4.4444444444444444E-3"/>
    <n v="8"/>
    <n v="2000000"/>
    <n v="310000000"/>
    <n v="6.4516129032258064E-3"/>
    <n v="12"/>
  </r>
  <r>
    <s v="MCS2026"/>
    <x v="19"/>
    <x v="45"/>
    <s v="Mine production"/>
    <s v="ton"/>
    <n v="5340"/>
    <n v="6600"/>
    <n v="1800000"/>
    <n v="3.6666666666666666E-3"/>
    <n v="10"/>
    <n v="600000"/>
    <n v="310000000"/>
    <n v="1.9354838709677419E-3"/>
    <n v="15"/>
  </r>
  <r>
    <s v="MCS2026"/>
    <x v="19"/>
    <x v="12"/>
    <s v="Mine production"/>
    <s v="ton"/>
    <n v="2600"/>
    <n v="2200"/>
    <n v="1800000"/>
    <n v="1.2222222222222222E-3"/>
    <n v="12"/>
    <n v="6900000"/>
    <n v="310000000"/>
    <n v="2.2258064516129033E-2"/>
    <n v="9"/>
  </r>
  <r>
    <s v="MCS2026"/>
    <x v="19"/>
    <x v="13"/>
    <s v="Mine production"/>
    <s v="ton"/>
    <n v="20000"/>
    <n v="25000"/>
    <n v="1800000"/>
    <n v="1.3888888888888888E-2"/>
    <n v="6"/>
    <n v="14000000"/>
    <n v="310000000"/>
    <n v="4.5161290322580643E-2"/>
    <n v="6"/>
  </r>
  <r>
    <s v="MCS2026"/>
    <x v="19"/>
    <x v="38"/>
    <s v="Mine production"/>
    <s v="ton"/>
    <n v="1000"/>
    <n v="500"/>
    <n v="1800000"/>
    <n v="2.7777777777777778E-4"/>
    <n v="15"/>
    <n v="1800000"/>
    <n v="310000000"/>
    <n v="5.8064516129032262E-3"/>
    <n v="13"/>
  </r>
  <r>
    <s v="MCS2026"/>
    <x v="19"/>
    <x v="66"/>
    <s v="Mine production"/>
    <s v="ton"/>
    <n v="3000"/>
    <n v="3200"/>
    <n v="1800000"/>
    <n v="1.7777777777777779E-3"/>
    <n v="11"/>
    <n v="1500000"/>
    <n v="310000000"/>
    <n v="4.8387096774193551E-3"/>
    <n v="14"/>
  </r>
  <r>
    <s v="MCS2026"/>
    <x v="19"/>
    <x v="67"/>
    <s v="Mine production"/>
    <s v="ton"/>
    <n v="27000"/>
    <n v="75000"/>
    <n v="1800000"/>
    <n v="4.1666666666666664E-2"/>
    <n v="3"/>
    <n v="18000000"/>
    <n v="310000000"/>
    <n v="5.8064516129032261E-2"/>
    <n v="5"/>
  </r>
  <r>
    <s v="MCS2026"/>
    <x v="19"/>
    <x v="43"/>
    <s v="Mine production"/>
    <s v="ton"/>
    <n v="900"/>
    <n v="800"/>
    <n v="1800000"/>
    <n v="4.4444444444444447E-4"/>
    <n v="13"/>
    <n v="0"/>
    <n v="310000000"/>
    <n v="0"/>
    <s v="-"/>
  </r>
  <r>
    <s v="MCS2026"/>
    <x v="19"/>
    <x v="15"/>
    <s v="Mine production"/>
    <s v="ton"/>
    <n v="0"/>
    <n v="0"/>
    <n v="1800000"/>
    <n v="0"/>
    <s v="-"/>
    <n v="0"/>
    <n v="310000000"/>
    <n v="0"/>
    <s v="-"/>
  </r>
  <r>
    <s v="MCS2026"/>
    <x v="19"/>
    <x v="16"/>
    <s v="Mine production"/>
    <s v="ton"/>
    <n v="500"/>
    <n v="500"/>
    <n v="1800000"/>
    <n v="2.7777777777777778E-4"/>
    <n v="15"/>
    <n v="9700000"/>
    <n v="310000000"/>
    <n v="3.1290322580645159E-2"/>
    <n v="7"/>
  </r>
  <r>
    <s v="MCS2026"/>
    <x v="20"/>
    <x v="68"/>
    <s v="Mine production, estimated"/>
    <s v="k ton"/>
    <n v="2500"/>
    <n v="2500"/>
    <n v="160000"/>
    <n v="1.5625E-2"/>
    <n v="17"/>
    <n v="0"/>
    <n v="0"/>
    <s v="-"/>
    <s v="-"/>
  </r>
  <r>
    <s v="MCS2026"/>
    <x v="20"/>
    <x v="0"/>
    <s v="Mine production, estimated"/>
    <s v="k ton"/>
    <n v="4200"/>
    <n v="4200"/>
    <n v="160000"/>
    <n v="2.6249999999999999E-2"/>
    <n v="14"/>
    <n v="0"/>
    <n v="0"/>
    <s v="-"/>
    <s v="-"/>
  </r>
  <r>
    <s v="MCS2026"/>
    <x v="20"/>
    <x v="21"/>
    <s v="Mine production, estimated"/>
    <s v="k ton"/>
    <n v="5800"/>
    <n v="5800"/>
    <n v="160000"/>
    <n v="3.6249999999999998E-2"/>
    <n v="8"/>
    <n v="450000"/>
    <n v="0"/>
    <s v="-"/>
    <n v="5"/>
  </r>
  <r>
    <s v="MCS2026"/>
    <x v="20"/>
    <x v="2"/>
    <s v="Mine production, estimated"/>
    <s v="k ton"/>
    <n v="3600"/>
    <n v="3600"/>
    <n v="160000"/>
    <n v="2.2499999999999999E-2"/>
    <n v="16"/>
    <n v="450000"/>
    <n v="0"/>
    <s v="-"/>
    <n v="5"/>
  </r>
  <r>
    <s v="MCS2026"/>
    <x v="20"/>
    <x v="3"/>
    <s v="Mine production, estimated"/>
    <s v="k ton"/>
    <n v="12000"/>
    <n v="12000"/>
    <n v="160000"/>
    <n v="7.4999999999999997E-2"/>
    <n v="4"/>
    <n v="1800000"/>
    <n v="0"/>
    <s v="-"/>
    <n v="1"/>
  </r>
  <r>
    <s v="MCS2026"/>
    <x v="20"/>
    <x v="57"/>
    <s v="Mine production, estimated"/>
    <s v="k ton"/>
    <n v="2400"/>
    <n v="2400"/>
    <n v="160000"/>
    <n v="1.4999999999999999E-2"/>
    <n v="19"/>
    <n v="300000"/>
    <n v="0"/>
    <s v="-"/>
    <n v="7"/>
  </r>
  <r>
    <s v="MCS2026"/>
    <x v="20"/>
    <x v="24"/>
    <s v="Mine production, estimated"/>
    <s v="k ton"/>
    <n v="4700"/>
    <n v="4700"/>
    <n v="160000"/>
    <n v="2.9374999999999998E-2"/>
    <n v="10"/>
    <n v="0"/>
    <n v="0"/>
    <s v="-"/>
    <s v="-"/>
  </r>
  <r>
    <s v="MCS2026"/>
    <x v="20"/>
    <x v="22"/>
    <s v="Mine production, estimated"/>
    <s v="k ton"/>
    <n v="4300"/>
    <n v="4300"/>
    <n v="160000"/>
    <n v="2.6875E-2"/>
    <n v="11"/>
    <n v="37000"/>
    <n v="0"/>
    <s v="-"/>
    <n v="9"/>
  </r>
  <r>
    <s v="MCS2026"/>
    <x v="20"/>
    <x v="5"/>
    <s v="Mine production, estimated"/>
    <s v="k ton"/>
    <n v="16000"/>
    <n v="16000"/>
    <n v="160000"/>
    <n v="0.1"/>
    <n v="2"/>
    <n v="750000"/>
    <n v="0"/>
    <s v="-"/>
    <n v="3"/>
  </r>
  <r>
    <s v="MCS2026"/>
    <x v="20"/>
    <x v="18"/>
    <s v="Mine production, estimated"/>
    <s v="k ton"/>
    <n v="4300"/>
    <n v="4300"/>
    <n v="160000"/>
    <n v="2.6875E-2"/>
    <n v="11"/>
    <n v="0"/>
    <n v="0"/>
    <s v="-"/>
    <s v="-"/>
  </r>
  <r>
    <s v="MCS2026"/>
    <x v="20"/>
    <x v="9"/>
    <s v="Mine production, estimated"/>
    <s v="k ton"/>
    <n v="5400"/>
    <n v="5400"/>
    <n v="160000"/>
    <n v="3.3750000000000002E-2"/>
    <n v="9"/>
    <n v="0"/>
    <n v="0"/>
    <s v="-"/>
    <s v="-"/>
  </r>
  <r>
    <s v="MCS2026"/>
    <x v="20"/>
    <x v="69"/>
    <s v="Mine production, estimated"/>
    <s v="k ton"/>
    <n v="14000"/>
    <n v="14000"/>
    <n v="160000"/>
    <n v="8.7499999999999994E-2"/>
    <n v="3"/>
    <n v="0"/>
    <n v="0"/>
    <s v="-"/>
    <s v="-"/>
  </r>
  <r>
    <s v="MCS2026"/>
    <x v="20"/>
    <x v="23"/>
    <s v="Mine production, estimated"/>
    <s v="k ton"/>
    <n v="22000"/>
    <n v="23000"/>
    <n v="160000"/>
    <n v="0.14374999999999999"/>
    <n v="20"/>
    <n v="0"/>
    <n v="0"/>
    <s v="-"/>
    <n v="20"/>
  </r>
  <r>
    <s v="MCS2026"/>
    <x v="20"/>
    <x v="12"/>
    <s v="Mine production, estimated"/>
    <s v="k ton"/>
    <n v="10000"/>
    <n v="10000"/>
    <n v="160000"/>
    <n v="6.25E-2"/>
    <n v="6"/>
    <n v="200000"/>
    <n v="0"/>
    <s v="-"/>
    <n v="8"/>
  </r>
  <r>
    <s v="MCS2026"/>
    <x v="20"/>
    <x v="13"/>
    <s v="Mine production, estimated"/>
    <s v="k ton"/>
    <n v="4300"/>
    <n v="4300"/>
    <n v="160000"/>
    <n v="2.6875E-2"/>
    <n v="11"/>
    <n v="0"/>
    <n v="0"/>
    <s v="-"/>
    <s v="-"/>
  </r>
  <r>
    <s v="MCS2026"/>
    <x v="20"/>
    <x v="30"/>
    <s v="Mine production, estimated"/>
    <s v="k ton"/>
    <n v="3800"/>
    <n v="3800"/>
    <n v="160000"/>
    <n v="2.375E-2"/>
    <n v="15"/>
    <n v="0"/>
    <n v="0"/>
    <s v="-"/>
    <s v="-"/>
  </r>
  <r>
    <s v="MCS2026"/>
    <x v="20"/>
    <x v="31"/>
    <s v="Mine production, estimated"/>
    <s v="k ton"/>
    <n v="11000"/>
    <n v="11000"/>
    <n v="160000"/>
    <n v="6.8750000000000006E-2"/>
    <n v="5"/>
    <n v="0"/>
    <n v="0"/>
    <s v="-"/>
    <s v="-"/>
  </r>
  <r>
    <s v="MCS2026"/>
    <x v="20"/>
    <x v="60"/>
    <s v="Mine production, estimated"/>
    <s v="k ton"/>
    <n v="8700"/>
    <n v="8700"/>
    <n v="160000"/>
    <n v="5.4375E-2"/>
    <n v="7"/>
    <n v="910000"/>
    <n v="0"/>
    <s v="-"/>
    <n v="2"/>
  </r>
  <r>
    <s v="MCS2026"/>
    <x v="20"/>
    <x v="15"/>
    <s v="Mine production, estimated"/>
    <s v="k ton"/>
    <n v="20800"/>
    <n v="20000"/>
    <n v="160000"/>
    <n v="0.125"/>
    <n v="1"/>
    <n v="700000"/>
    <n v="0"/>
    <s v="-"/>
    <n v="4"/>
  </r>
  <r>
    <s v="MCS2026"/>
    <x v="20"/>
    <x v="47"/>
    <s v="Mine production, estimated"/>
    <s v="k ton"/>
    <n v="2500"/>
    <n v="2500"/>
    <n v="160000"/>
    <n v="1.5625E-2"/>
    <n v="17"/>
    <n v="0"/>
    <n v="0"/>
    <s v="-"/>
    <s v="-"/>
  </r>
  <r>
    <s v="MCS2026"/>
    <x v="21"/>
    <x v="17"/>
    <s v="Refinery production"/>
    <s v="ton"/>
    <n v="19"/>
    <n v="10"/>
    <n v="1100"/>
    <n v="9.0909090909090905E-3"/>
    <n v="6"/>
    <n v="0"/>
    <n v="0"/>
    <s v="-"/>
    <s v="-"/>
  </r>
  <r>
    <s v="MCS2026"/>
    <x v="21"/>
    <x v="2"/>
    <s v="Refinery production"/>
    <s v="ton"/>
    <n v="40"/>
    <n v="40"/>
    <n v="1100"/>
    <n v="3.6363636363636362E-2"/>
    <n v="4"/>
    <n v="0"/>
    <n v="0"/>
    <s v="-"/>
    <s v="-"/>
  </r>
  <r>
    <s v="MCS2026"/>
    <x v="21"/>
    <x v="3"/>
    <s v="Refinery production"/>
    <s v="ton"/>
    <n v="760"/>
    <n v="760"/>
    <n v="1100"/>
    <n v="0.69090909090909092"/>
    <n v="1"/>
    <n v="0"/>
    <n v="0"/>
    <s v="-"/>
    <s v="-"/>
  </r>
  <r>
    <s v="MCS2026"/>
    <x v="21"/>
    <x v="57"/>
    <s v="Refinery production"/>
    <s v="ton"/>
    <n v="21"/>
    <n v="21"/>
    <n v="1100"/>
    <n v="1.9090909090909092E-2"/>
    <n v="5"/>
    <n v="0"/>
    <n v="0"/>
    <s v="-"/>
    <s v="-"/>
  </r>
  <r>
    <s v="MCS2026"/>
    <x v="21"/>
    <x v="18"/>
    <s v="Refinery production"/>
    <s v="ton"/>
    <n v="65"/>
    <n v="65"/>
    <n v="1100"/>
    <n v="5.909090909090909E-2"/>
    <n v="3"/>
    <n v="0"/>
    <n v="0"/>
    <s v="-"/>
    <s v="-"/>
  </r>
  <r>
    <s v="MCS2026"/>
    <x v="21"/>
    <x v="13"/>
    <s v="Refinery production"/>
    <s v="ton"/>
    <n v="5"/>
    <n v="5"/>
    <n v="1100"/>
    <n v="4.5454545454545452E-3"/>
    <n v="7"/>
    <n v="0"/>
    <n v="0"/>
    <s v="-"/>
    <s v="-"/>
  </r>
  <r>
    <s v="MCS2026"/>
    <x v="21"/>
    <x v="38"/>
    <s v="Refinery production"/>
    <s v="ton"/>
    <n v="180"/>
    <n v="180"/>
    <n v="1100"/>
    <n v="0.16363636363636364"/>
    <n v="2"/>
    <n v="0"/>
    <n v="0"/>
    <s v="-"/>
    <s v="-"/>
  </r>
  <r>
    <s v="MCS2026"/>
    <x v="21"/>
    <x v="15"/>
    <s v="Refinery production"/>
    <s v="ton"/>
    <n v="0"/>
    <n v="0"/>
    <n v="1100"/>
    <n v="0"/>
    <s v="-"/>
    <n v="0"/>
    <n v="0"/>
    <s v="-"/>
    <s v="-"/>
  </r>
  <r>
    <s v="MCS2026"/>
    <x v="21"/>
    <x v="47"/>
    <s v="Refinery production"/>
    <s v="ton"/>
    <n v="1"/>
    <n v="1"/>
    <n v="1100"/>
    <n v="9.0909090909090909E-4"/>
    <n v="8"/>
    <n v="0"/>
    <n v="0"/>
    <s v="-"/>
    <s v="-"/>
  </r>
  <r>
    <s v="MCS2026"/>
    <x v="22"/>
    <x v="70"/>
    <s v="Mine production, elemental iodine"/>
    <s v="ton"/>
    <n v="210"/>
    <n v="210"/>
    <n v="34000"/>
    <n v="6.1764705882352937E-3"/>
    <n v="5"/>
    <n v="170000"/>
    <n v="6300000"/>
    <n v="2.6984126984126985E-2"/>
    <n v="4"/>
  </r>
  <r>
    <s v="MCS2026"/>
    <x v="22"/>
    <x v="40"/>
    <s v="Mine production, elemental iodine"/>
    <s v="ton"/>
    <n v="22000"/>
    <n v="23000"/>
    <n v="34000"/>
    <n v="0.67647058823529416"/>
    <n v="1"/>
    <n v="750000"/>
    <n v="6300000"/>
    <n v="0.11904761904761904"/>
    <n v="2"/>
  </r>
  <r>
    <s v="MCS2026"/>
    <x v="22"/>
    <x v="27"/>
    <s v="Mine production, elemental iodine"/>
    <s v="ton"/>
    <n v="30"/>
    <n v="50"/>
    <n v="34000"/>
    <n v="1.4705882352941176E-3"/>
    <n v="6"/>
    <n v="0"/>
    <n v="6300000"/>
    <n v="0"/>
    <s v="-"/>
  </r>
  <r>
    <s v="MCS2026"/>
    <x v="22"/>
    <x v="5"/>
    <s v="Mine production, elemental iodine"/>
    <s v="ton"/>
    <n v="700"/>
    <n v="700"/>
    <n v="34000"/>
    <n v="2.0588235294117647E-2"/>
    <n v="4"/>
    <n v="40000"/>
    <n v="6300000"/>
    <n v="6.3492063492063492E-3"/>
    <n v="7"/>
  </r>
  <r>
    <s v="MCS2026"/>
    <x v="22"/>
    <x v="18"/>
    <s v="Mine production, elemental iodine"/>
    <s v="ton"/>
    <n v="9300"/>
    <n v="9000"/>
    <n v="34000"/>
    <n v="0.26470588235294118"/>
    <n v="2"/>
    <n v="4900000"/>
    <n v="6300000"/>
    <n v="0.77777777777777779"/>
    <n v="1"/>
  </r>
  <r>
    <s v="MCS2026"/>
    <x v="22"/>
    <x v="13"/>
    <s v="Mine production, elemental iodine"/>
    <s v="ton"/>
    <n v="5"/>
    <n v="8"/>
    <n v="34000"/>
    <n v="2.3529411764705883E-4"/>
    <n v="7"/>
    <n v="120000"/>
    <n v="6300000"/>
    <n v="1.9047619047619049E-2"/>
    <n v="5"/>
  </r>
  <r>
    <s v="MCS2026"/>
    <x v="22"/>
    <x v="71"/>
    <s v="Mine production, elemental iodine"/>
    <s v="ton"/>
    <n v="800"/>
    <n v="800"/>
    <n v="34000"/>
    <n v="2.3529411764705882E-2"/>
    <n v="3"/>
    <n v="70000"/>
    <n v="6300000"/>
    <n v="1.1111111111111112E-2"/>
    <n v="6"/>
  </r>
  <r>
    <s v="MCS2026"/>
    <x v="22"/>
    <x v="15"/>
    <s v="Mine production, elemental iodine"/>
    <s v="ton"/>
    <n v="0"/>
    <n v="0"/>
    <n v="34000"/>
    <n v="0"/>
    <s v="-"/>
    <n v="250000"/>
    <n v="6300000"/>
    <n v="3.968253968253968E-2"/>
    <n v="3"/>
  </r>
  <r>
    <s v="MCS2026"/>
    <x v="23"/>
    <x v="0"/>
    <s v="Mine production, iron content"/>
    <s v="k ton"/>
    <n v="607000"/>
    <n v="600000"/>
    <n v="1600000"/>
    <n v="0.375"/>
    <n v="1"/>
    <n v="27000000"/>
    <n v="87000000"/>
    <n v="0.31034482758620691"/>
    <n v="1"/>
  </r>
  <r>
    <s v="MCS2026"/>
    <x v="23"/>
    <x v="21"/>
    <s v="Mine production, iron content"/>
    <s v="k ton"/>
    <n v="268000"/>
    <n v="260000"/>
    <n v="1600000"/>
    <n v="0.16250000000000001"/>
    <n v="2"/>
    <n v="15000000"/>
    <n v="87000000"/>
    <n v="0.17241379310344829"/>
    <n v="2"/>
  </r>
  <r>
    <s v="MCS2026"/>
    <x v="23"/>
    <x v="2"/>
    <s v="Mine production, iron content"/>
    <s v="k ton"/>
    <n v="42000"/>
    <n v="41000"/>
    <n v="1600000"/>
    <n v="2.5624999999999998E-2"/>
    <n v="8"/>
    <n v="2300000"/>
    <n v="87000000"/>
    <n v="2.6436781609195402E-2"/>
    <n v="8"/>
  </r>
  <r>
    <s v="MCS2026"/>
    <x v="23"/>
    <x v="40"/>
    <s v="Mine production, iron content"/>
    <s v="k ton"/>
    <n v="11000"/>
    <n v="12000"/>
    <n v="1600000"/>
    <n v="7.4999999999999997E-3"/>
    <n v="13"/>
    <n v="740000"/>
    <n v="87000000"/>
    <n v="8.5057471264367822E-3"/>
    <n v="13"/>
  </r>
  <r>
    <s v="MCS2026"/>
    <x v="23"/>
    <x v="3"/>
    <s v="Mine production, iron content"/>
    <s v="k ton"/>
    <n v="183000"/>
    <n v="180000"/>
    <n v="1600000"/>
    <n v="0.1125"/>
    <n v="4"/>
    <n v="3000000"/>
    <n v="87000000"/>
    <n v="3.4482758620689655E-2"/>
    <n v="6"/>
  </r>
  <r>
    <s v="MCS2026"/>
    <x v="23"/>
    <x v="22"/>
    <s v="Mine production, iron content"/>
    <s v="k ton"/>
    <n v="175000"/>
    <n v="190000"/>
    <n v="1600000"/>
    <n v="0.11874999999999999"/>
    <n v="3"/>
    <n v="3400000"/>
    <n v="87000000"/>
    <n v="3.9080459770114942E-2"/>
    <n v="5"/>
  </r>
  <r>
    <s v="MCS2026"/>
    <x v="23"/>
    <x v="5"/>
    <s v="Mine production, iron content"/>
    <s v="k ton"/>
    <n v="59000"/>
    <n v="61000"/>
    <n v="1600000"/>
    <n v="3.8124999999999999E-2"/>
    <n v="5"/>
    <n v="1500000"/>
    <n v="87000000"/>
    <n v="1.7241379310344827E-2"/>
    <n v="10"/>
  </r>
  <r>
    <s v="MCS2026"/>
    <x v="23"/>
    <x v="6"/>
    <s v="Mine production, iron content"/>
    <s v="k ton"/>
    <n v="11100"/>
    <n v="11000"/>
    <n v="1600000"/>
    <n v="6.875E-3"/>
    <n v="14"/>
    <n v="1500000"/>
    <n v="87000000"/>
    <n v="1.7241379310344827E-2"/>
    <n v="10"/>
  </r>
  <r>
    <s v="MCS2026"/>
    <x v="23"/>
    <x v="72"/>
    <s v="Mine production, iron content"/>
    <s v="k ton"/>
    <n v="8940"/>
    <n v="9300"/>
    <n v="1600000"/>
    <n v="5.8125E-3"/>
    <n v="16"/>
    <n v="4400000"/>
    <n v="87000000"/>
    <n v="5.057471264367816E-2"/>
    <n v="4"/>
  </r>
  <r>
    <s v="MCS2026"/>
    <x v="23"/>
    <x v="9"/>
    <s v="Mine production, iron content"/>
    <s v="k ton"/>
    <n v="4900"/>
    <n v="4800"/>
    <n v="1600000"/>
    <n v="3.0000000000000001E-3"/>
    <n v="17"/>
    <n v="520000"/>
    <n v="87000000"/>
    <n v="5.9770114942528738E-3"/>
    <n v="16"/>
  </r>
  <r>
    <s v="MCS2026"/>
    <x v="23"/>
    <x v="23"/>
    <s v="Mine production, iron content"/>
    <s v="k ton"/>
    <n v="34700"/>
    <n v="36000"/>
    <n v="1600000"/>
    <n v="2.2499999999999999E-2"/>
    <n v="18"/>
    <n v="6000000"/>
    <n v="87000000"/>
    <n v="6.8965517241379309E-2"/>
    <n v="18"/>
  </r>
  <r>
    <s v="MCS2026"/>
    <x v="23"/>
    <x v="20"/>
    <s v="Mine production, iron content"/>
    <s v="k ton"/>
    <n v="13300"/>
    <n v="14000"/>
    <n v="1600000"/>
    <n v="8.7500000000000008E-3"/>
    <n v="12"/>
    <n v="1000000"/>
    <n v="87000000"/>
    <n v="1.1494252873563218E-2"/>
    <n v="12"/>
  </r>
  <r>
    <s v="MCS2026"/>
    <x v="23"/>
    <x v="12"/>
    <s v="Mine production, iron content"/>
    <s v="k ton"/>
    <n v="11000"/>
    <n v="11000"/>
    <n v="1600000"/>
    <n v="6.875E-3"/>
    <n v="14"/>
    <n v="99000"/>
    <n v="87000000"/>
    <n v="1.1379310344827587E-3"/>
    <n v="17"/>
  </r>
  <r>
    <s v="MCS2026"/>
    <x v="23"/>
    <x v="13"/>
    <s v="Mine production, iron content"/>
    <s v="k ton"/>
    <n v="53000"/>
    <n v="50000"/>
    <n v="1600000"/>
    <n v="3.125E-2"/>
    <n v="6"/>
    <n v="14000000"/>
    <n v="87000000"/>
    <n v="0.16091954022988506"/>
    <n v="3"/>
  </r>
  <r>
    <s v="MCS2026"/>
    <x v="23"/>
    <x v="49"/>
    <s v="Mine production, iron content"/>
    <s v="k ton"/>
    <n v="41000"/>
    <n v="42000"/>
    <n v="1600000"/>
    <n v="2.6249999999999999E-2"/>
    <n v="7"/>
    <n v="680000"/>
    <n v="87000000"/>
    <n v="7.8160919540229881E-3"/>
    <n v="14"/>
  </r>
  <r>
    <s v="MCS2026"/>
    <x v="23"/>
    <x v="73"/>
    <s v="Mine production, iron content"/>
    <s v="k ton"/>
    <n v="18000"/>
    <n v="18000"/>
    <n v="1600000"/>
    <n v="1.125E-2"/>
    <n v="11"/>
    <n v="600000"/>
    <n v="87000000"/>
    <n v="6.8965517241379309E-3"/>
    <n v="15"/>
  </r>
  <r>
    <s v="MCS2026"/>
    <x v="23"/>
    <x v="43"/>
    <s v="Mine production, iron content"/>
    <s v="k ton"/>
    <n v="34000"/>
    <n v="32000"/>
    <n v="1600000"/>
    <n v="0.02"/>
    <n v="9"/>
    <n v="2300000"/>
    <n v="87000000"/>
    <n v="2.6436781609195402E-2"/>
    <n v="8"/>
  </r>
  <r>
    <s v="MCS2026"/>
    <x v="23"/>
    <x v="15"/>
    <s v="Mine production, iron content"/>
    <s v="k ton"/>
    <n v="28600"/>
    <n v="24000"/>
    <n v="1600000"/>
    <n v="1.4999999999999999E-2"/>
    <n v="10"/>
    <n v="2700000"/>
    <n v="87000000"/>
    <n v="3.1034482758620689E-2"/>
    <n v="7"/>
  </r>
  <r>
    <s v="MCS2026"/>
    <x v="24"/>
    <x v="3"/>
    <s v="Mine production"/>
    <s v="ton"/>
    <n v="50000"/>
    <n v="50000"/>
    <n v="0"/>
    <s v="-"/>
    <n v="4"/>
    <n v="5000000"/>
    <n v="0"/>
    <s v="-"/>
    <n v="2"/>
  </r>
  <r>
    <s v="MCS2026"/>
    <x v="24"/>
    <x v="57"/>
    <s v="Mine production"/>
    <s v="ton"/>
    <n v="60000"/>
    <n v="60000"/>
    <n v="0"/>
    <s v="-"/>
    <n v="3"/>
    <n v="0"/>
    <n v="0"/>
    <s v="-"/>
    <s v="-"/>
  </r>
  <r>
    <s v="MCS2026"/>
    <x v="24"/>
    <x v="22"/>
    <s v="Mine production"/>
    <s v="ton"/>
    <n v="2710"/>
    <n v="2500"/>
    <n v="0"/>
    <s v="-"/>
    <n v="6"/>
    <n v="9100000"/>
    <n v="0"/>
    <s v="-"/>
    <n v="1"/>
  </r>
  <r>
    <s v="MCS2026"/>
    <x v="24"/>
    <x v="20"/>
    <s v="Mine production"/>
    <s v="ton"/>
    <n v="40000"/>
    <n v="40000"/>
    <n v="0"/>
    <s v="-"/>
    <n v="5"/>
    <n v="0"/>
    <n v="0"/>
    <s v="-"/>
    <s v="-"/>
  </r>
  <r>
    <s v="MCS2026"/>
    <x v="24"/>
    <x v="49"/>
    <s v="Mine production"/>
    <s v="ton"/>
    <n v="130000"/>
    <n v="120000"/>
    <n v="0"/>
    <s v="-"/>
    <n v="1"/>
    <n v="0"/>
    <n v="0"/>
    <s v="-"/>
    <s v="-"/>
  </r>
  <r>
    <s v="MCS2026"/>
    <x v="24"/>
    <x v="15"/>
    <s v="Mine production"/>
    <s v="ton"/>
    <n v="78600"/>
    <n v="80000"/>
    <n v="0"/>
    <s v="-"/>
    <n v="2"/>
    <n v="0"/>
    <n v="0"/>
    <s v="-"/>
    <s v="-"/>
  </r>
  <r>
    <s v="MCS2026"/>
    <x v="25"/>
    <x v="0"/>
    <s v="Mine production, lead content"/>
    <s v="k ton"/>
    <n v="481"/>
    <n v="480"/>
    <n v="4500"/>
    <n v="0.10666666666666667"/>
    <n v="2"/>
    <n v="34000"/>
    <n v="95000"/>
    <n v="0.35789473684210527"/>
    <n v="1"/>
  </r>
  <r>
    <s v="MCS2026"/>
    <x v="25"/>
    <x v="1"/>
    <s v="Mine production, lead content"/>
    <s v="k ton"/>
    <n v="110"/>
    <n v="100"/>
    <n v="4500"/>
    <n v="2.2222222222222223E-2"/>
    <n v="8"/>
    <n v="1600"/>
    <n v="95000"/>
    <n v="1.6842105263157894E-2"/>
    <n v="10"/>
  </r>
  <r>
    <s v="MCS2026"/>
    <x v="25"/>
    <x v="3"/>
    <s v="Mine production, lead content"/>
    <s v="k ton"/>
    <n v="1940"/>
    <n v="1900"/>
    <n v="4500"/>
    <n v="0.42222222222222222"/>
    <n v="1"/>
    <n v="22000"/>
    <n v="95000"/>
    <n v="0.23157894736842105"/>
    <n v="2"/>
  </r>
  <r>
    <s v="MCS2026"/>
    <x v="25"/>
    <x v="22"/>
    <s v="Mine production, lead content"/>
    <s v="k ton"/>
    <n v="226"/>
    <n v="220"/>
    <n v="4500"/>
    <n v="4.8888888888888891E-2"/>
    <n v="6"/>
    <n v="1900"/>
    <n v="95000"/>
    <n v="0.02"/>
    <n v="8"/>
  </r>
  <r>
    <s v="MCS2026"/>
    <x v="25"/>
    <x v="5"/>
    <s v="Mine production, lead content"/>
    <s v="k ton"/>
    <n v="70"/>
    <n v="70"/>
    <n v="4500"/>
    <n v="1.5555555555555555E-2"/>
    <n v="9"/>
    <n v="2000"/>
    <n v="95000"/>
    <n v="2.1052631578947368E-2"/>
    <n v="7"/>
  </r>
  <r>
    <s v="MCS2026"/>
    <x v="25"/>
    <x v="9"/>
    <s v="Mine production, lead content"/>
    <s v="k ton"/>
    <n v="240"/>
    <n v="200"/>
    <n v="4500"/>
    <n v="4.4444444444444446E-2"/>
    <n v="7"/>
    <n v="5600"/>
    <n v="95000"/>
    <n v="5.894736842105263E-2"/>
    <n v="4"/>
  </r>
  <r>
    <s v="MCS2026"/>
    <x v="25"/>
    <x v="23"/>
    <s v="Mine production, lead content"/>
    <s v="k ton"/>
    <n v="498"/>
    <n v="500"/>
    <n v="4500"/>
    <n v="0.1111111111111111"/>
    <n v="13"/>
    <n v="5900"/>
    <n v="95000"/>
    <n v="6.210526315789474E-2"/>
    <n v="13"/>
  </r>
  <r>
    <s v="MCS2026"/>
    <x v="25"/>
    <x v="20"/>
    <s v="Mine production, lead content"/>
    <s v="k ton"/>
    <n v="291"/>
    <n v="290"/>
    <n v="4500"/>
    <n v="6.4444444444444443E-2"/>
    <n v="3"/>
    <n v="5000"/>
    <n v="95000"/>
    <n v="5.2631578947368418E-2"/>
    <n v="5"/>
  </r>
  <r>
    <s v="MCS2026"/>
    <x v="25"/>
    <x v="12"/>
    <s v="Mine production, lead content"/>
    <s v="k ton"/>
    <n v="66"/>
    <n v="70"/>
    <n v="4500"/>
    <n v="1.5555555555555555E-2"/>
    <n v="9"/>
    <n v="1600"/>
    <n v="95000"/>
    <n v="1.6842105263157894E-2"/>
    <n v="10"/>
  </r>
  <r>
    <s v="MCS2026"/>
    <x v="25"/>
    <x v="13"/>
    <s v="Mine production, lead content"/>
    <s v="k ton"/>
    <n v="260"/>
    <n v="260"/>
    <n v="4500"/>
    <n v="5.7777777777777775E-2"/>
    <n v="5"/>
    <n v="8900"/>
    <n v="95000"/>
    <n v="9.3684210526315786E-2"/>
    <n v="3"/>
  </r>
  <r>
    <s v="MCS2026"/>
    <x v="25"/>
    <x v="73"/>
    <s v="Mine production, lead content"/>
    <s v="k ton"/>
    <n v="75"/>
    <n v="70"/>
    <n v="4500"/>
    <n v="1.5555555555555555E-2"/>
    <n v="9"/>
    <n v="1700"/>
    <n v="95000"/>
    <n v="1.7894736842105262E-2"/>
    <n v="9"/>
  </r>
  <r>
    <s v="MCS2026"/>
    <x v="25"/>
    <x v="14"/>
    <s v="Mine production, lead content"/>
    <s v="k ton"/>
    <n v="39"/>
    <n v="40"/>
    <n v="4500"/>
    <n v="8.8888888888888889E-3"/>
    <n v="12"/>
    <n v="0"/>
    <n v="95000"/>
    <n v="0"/>
    <s v="-"/>
  </r>
  <r>
    <s v="MCS2026"/>
    <x v="25"/>
    <x v="15"/>
    <s v="Mine production, lead content"/>
    <s v="k ton"/>
    <n v="304"/>
    <n v="280"/>
    <n v="4500"/>
    <n v="6.222222222222222E-2"/>
    <n v="4"/>
    <n v="4600"/>
    <n v="95000"/>
    <n v="4.8421052631578948E-2"/>
    <n v="6"/>
  </r>
  <r>
    <s v="MCS2026"/>
    <x v="26"/>
    <x v="0"/>
    <s v="Plant production, lime"/>
    <s v="k ton"/>
    <n v="1890"/>
    <n v="1900"/>
    <n v="420000"/>
    <n v="4.5238095238095237E-3"/>
    <n v="13"/>
    <n v="0"/>
    <n v="0"/>
    <s v="-"/>
    <s v="-"/>
  </r>
  <r>
    <s v="MCS2026"/>
    <x v="26"/>
    <x v="17"/>
    <s v="Plant production, lime"/>
    <s v="k ton"/>
    <n v="1100"/>
    <n v="1100"/>
    <n v="420000"/>
    <n v="2.6190476190476189E-3"/>
    <n v="20"/>
    <n v="0"/>
    <n v="0"/>
    <s v="-"/>
    <s v="-"/>
  </r>
  <r>
    <s v="MCS2026"/>
    <x v="26"/>
    <x v="21"/>
    <s v="Plant production, lime"/>
    <s v="k ton"/>
    <n v="8200"/>
    <n v="8200"/>
    <n v="420000"/>
    <n v="1.9523809523809523E-2"/>
    <n v="5"/>
    <n v="0"/>
    <n v="0"/>
    <s v="-"/>
    <s v="-"/>
  </r>
  <r>
    <s v="MCS2026"/>
    <x v="26"/>
    <x v="37"/>
    <s v="Plant production, lime"/>
    <s v="k ton"/>
    <n v="1300"/>
    <n v="1300"/>
    <n v="420000"/>
    <n v="3.0952380952380953E-3"/>
    <n v="17"/>
    <n v="0"/>
    <n v="0"/>
    <s v="-"/>
    <s v="-"/>
  </r>
  <r>
    <s v="MCS2026"/>
    <x v="26"/>
    <x v="2"/>
    <s v="Plant production, lime"/>
    <s v="k ton"/>
    <n v="1550"/>
    <n v="1600"/>
    <n v="420000"/>
    <n v="3.8095238095238095E-3"/>
    <n v="15"/>
    <n v="0"/>
    <n v="0"/>
    <s v="-"/>
    <s v="-"/>
  </r>
  <r>
    <s v="MCS2026"/>
    <x v="26"/>
    <x v="3"/>
    <s v="Plant production, lime"/>
    <s v="k ton"/>
    <n v="310000"/>
    <n v="310000"/>
    <n v="420000"/>
    <n v="0.73809523809523814"/>
    <n v="1"/>
    <n v="0"/>
    <n v="0"/>
    <s v="-"/>
    <s v="-"/>
  </r>
  <r>
    <s v="MCS2026"/>
    <x v="26"/>
    <x v="57"/>
    <s v="Plant production, lime"/>
    <s v="k ton"/>
    <n v="3500"/>
    <n v="3500"/>
    <n v="420000"/>
    <n v="8.3333333333333332E-3"/>
    <n v="11"/>
    <n v="0"/>
    <n v="0"/>
    <s v="-"/>
    <s v="-"/>
  </r>
  <r>
    <s v="MCS2026"/>
    <x v="26"/>
    <x v="24"/>
    <s v="Plant production, lime"/>
    <s v="k ton"/>
    <n v="4800"/>
    <n v="4800"/>
    <n v="420000"/>
    <n v="1.1428571428571429E-2"/>
    <n v="8"/>
    <n v="0"/>
    <n v="0"/>
    <s v="-"/>
    <s v="-"/>
  </r>
  <r>
    <s v="MCS2026"/>
    <x v="26"/>
    <x v="22"/>
    <s v="Plant production, lime"/>
    <s v="k ton"/>
    <n v="17000"/>
    <n v="17000"/>
    <n v="420000"/>
    <n v="4.0476190476190478E-2"/>
    <n v="2"/>
    <n v="0"/>
    <n v="0"/>
    <s v="-"/>
    <s v="-"/>
  </r>
  <r>
    <s v="MCS2026"/>
    <x v="26"/>
    <x v="5"/>
    <s v="Plant production, lime"/>
    <s v="k ton"/>
    <n v="4000"/>
    <n v="4000"/>
    <n v="420000"/>
    <n v="9.5238095238095247E-3"/>
    <n v="9"/>
    <n v="0"/>
    <n v="0"/>
    <s v="-"/>
    <s v="-"/>
  </r>
  <r>
    <s v="MCS2026"/>
    <x v="26"/>
    <x v="59"/>
    <s v="Plant production, lime"/>
    <s v="k ton"/>
    <n v="2500"/>
    <n v="2500"/>
    <n v="420000"/>
    <n v="5.9523809523809521E-3"/>
    <n v="12"/>
    <n v="0"/>
    <n v="0"/>
    <s v="-"/>
    <s v="-"/>
  </r>
  <r>
    <s v="MCS2026"/>
    <x v="26"/>
    <x v="18"/>
    <s v="Plant production, lime"/>
    <s v="k ton"/>
    <n v="5870"/>
    <n v="5900"/>
    <n v="420000"/>
    <n v="1.4047619047619048E-2"/>
    <n v="6"/>
    <n v="0"/>
    <n v="0"/>
    <s v="-"/>
    <s v="-"/>
  </r>
  <r>
    <s v="MCS2026"/>
    <x v="26"/>
    <x v="74"/>
    <s v="Plant production, lime"/>
    <s v="k ton"/>
    <n v="1400"/>
    <n v="1400"/>
    <n v="420000"/>
    <n v="3.3333333333333335E-3"/>
    <n v="16"/>
    <n v="0"/>
    <n v="0"/>
    <s v="-"/>
    <s v="-"/>
  </r>
  <r>
    <s v="MCS2026"/>
    <x v="26"/>
    <x v="23"/>
    <s v="Plant production, lime"/>
    <s v="k ton"/>
    <n v="16200"/>
    <n v="16000"/>
    <n v="420000"/>
    <n v="3.8095238095238099E-2"/>
    <n v="23"/>
    <n v="0"/>
    <n v="0"/>
    <s v="-"/>
    <n v="23"/>
  </r>
  <r>
    <s v="MCS2026"/>
    <x v="26"/>
    <x v="46"/>
    <s v="Plant production, lime"/>
    <s v="k ton"/>
    <n v="1290"/>
    <n v="1300"/>
    <n v="420000"/>
    <n v="3.0952380952380953E-3"/>
    <n v="17"/>
    <n v="0"/>
    <n v="0"/>
    <s v="-"/>
    <s v="-"/>
  </r>
  <r>
    <s v="MCS2026"/>
    <x v="26"/>
    <x v="12"/>
    <s v="Plant production, lime"/>
    <s v="k ton"/>
    <n v="4000"/>
    <n v="4000"/>
    <n v="420000"/>
    <n v="9.5238095238095247E-3"/>
    <n v="9"/>
    <n v="0"/>
    <n v="0"/>
    <s v="-"/>
    <s v="-"/>
  </r>
  <r>
    <s v="MCS2026"/>
    <x v="26"/>
    <x v="13"/>
    <s v="Plant production, lime"/>
    <s v="k ton"/>
    <n v="11800"/>
    <n v="12000"/>
    <n v="420000"/>
    <n v="2.8571428571428571E-2"/>
    <n v="4"/>
    <n v="0"/>
    <n v="0"/>
    <s v="-"/>
    <s v="-"/>
  </r>
  <r>
    <s v="MCS2026"/>
    <x v="26"/>
    <x v="49"/>
    <s v="Plant production, lime"/>
    <s v="k ton"/>
    <n v="1000"/>
    <n v="1000"/>
    <n v="420000"/>
    <n v="2.3809523809523812E-3"/>
    <n v="22"/>
    <n v="0"/>
    <n v="0"/>
    <s v="-"/>
    <s v="-"/>
  </r>
  <r>
    <s v="MCS2026"/>
    <x v="26"/>
    <x v="38"/>
    <s v="Plant production, lime"/>
    <s v="k ton"/>
    <n v="5000"/>
    <n v="5000"/>
    <n v="420000"/>
    <n v="1.1904761904761904E-2"/>
    <n v="7"/>
    <n v="0"/>
    <n v="0"/>
    <s v="-"/>
    <s v="-"/>
  </r>
  <r>
    <s v="MCS2026"/>
    <x v="26"/>
    <x v="31"/>
    <s v="Plant production, lime"/>
    <s v="k ton"/>
    <n v="1700"/>
    <n v="1700"/>
    <n v="420000"/>
    <n v="4.0476190476190473E-3"/>
    <n v="14"/>
    <n v="0"/>
    <n v="0"/>
    <s v="-"/>
    <s v="-"/>
  </r>
  <r>
    <s v="MCS2026"/>
    <x v="26"/>
    <x v="43"/>
    <s v="Plant production, lime"/>
    <s v="k ton"/>
    <n v="1100"/>
    <n v="1100"/>
    <n v="420000"/>
    <n v="2.6190476190476189E-3"/>
    <n v="20"/>
    <n v="0"/>
    <n v="0"/>
    <s v="-"/>
    <s v="-"/>
  </r>
  <r>
    <s v="MCS2026"/>
    <x v="26"/>
    <x v="75"/>
    <s v="Plant production, lime"/>
    <s v="k ton"/>
    <n v="1300"/>
    <n v="1300"/>
    <n v="420000"/>
    <n v="3.0952380952380953E-3"/>
    <n v="17"/>
    <n v="0"/>
    <n v="0"/>
    <s v="-"/>
    <s v="-"/>
  </r>
  <r>
    <s v="MCS2026"/>
    <x v="26"/>
    <x v="15"/>
    <s v="Plant production, lime"/>
    <s v="k ton"/>
    <n v="15000"/>
    <n v="15000"/>
    <n v="420000"/>
    <n v="3.5714285714285712E-2"/>
    <n v="3"/>
    <n v="0"/>
    <n v="0"/>
    <s v="-"/>
    <s v="-"/>
  </r>
  <r>
    <s v="MCS2026"/>
    <x v="27"/>
    <x v="39"/>
    <s v="Mine production, lithium content"/>
    <s v="ton"/>
    <n v="13800"/>
    <n v="23000"/>
    <n v="290000"/>
    <n v="7.9310344827586213E-2"/>
    <n v="5"/>
    <n v="4400000"/>
    <n v="37000000"/>
    <n v="0.11891891891891893"/>
    <n v="4"/>
  </r>
  <r>
    <s v="MCS2026"/>
    <x v="27"/>
    <x v="0"/>
    <s v="Mine production, lithium content"/>
    <s v="ton"/>
    <n v="82700"/>
    <n v="92000"/>
    <n v="290000"/>
    <n v="0.31724137931034485"/>
    <n v="1"/>
    <n v="8400000"/>
    <n v="37000000"/>
    <n v="0.22702702702702704"/>
    <n v="2"/>
  </r>
  <r>
    <s v="MCS2026"/>
    <x v="27"/>
    <x v="21"/>
    <s v="Mine production, lithium content"/>
    <s v="ton"/>
    <n v="10200"/>
    <n v="12000"/>
    <n v="290000"/>
    <n v="4.1379310344827586E-2"/>
    <n v="6"/>
    <n v="540000"/>
    <n v="37000000"/>
    <n v="1.4594594594594595E-2"/>
    <n v="7"/>
  </r>
  <r>
    <s v="MCS2026"/>
    <x v="27"/>
    <x v="2"/>
    <s v="Mine production, lithium content"/>
    <s v="ton"/>
    <n v="4820"/>
    <n v="5600"/>
    <n v="290000"/>
    <n v="1.9310344827586208E-2"/>
    <n v="8"/>
    <n v="1600000"/>
    <n v="37000000"/>
    <n v="4.3243243243243246E-2"/>
    <n v="6"/>
  </r>
  <r>
    <s v="MCS2026"/>
    <x v="27"/>
    <x v="40"/>
    <s v="Mine production, lithium content"/>
    <s v="ton"/>
    <n v="48900"/>
    <n v="56000"/>
    <n v="290000"/>
    <n v="0.19310344827586207"/>
    <n v="3"/>
    <n v="9200000"/>
    <n v="37000000"/>
    <n v="0.24864864864864866"/>
    <n v="1"/>
  </r>
  <r>
    <s v="MCS2026"/>
    <x v="27"/>
    <x v="3"/>
    <s v="Mine production, lithium content"/>
    <s v="ton"/>
    <n v="41400"/>
    <n v="62000"/>
    <n v="290000"/>
    <n v="0.21379310344827587"/>
    <n v="2"/>
    <n v="4600000"/>
    <n v="37000000"/>
    <n v="0.12432432432432433"/>
    <n v="3"/>
  </r>
  <r>
    <s v="MCS2026"/>
    <x v="27"/>
    <x v="76"/>
    <s v="Mine production, lithium content"/>
    <s v="ton"/>
    <n v="770"/>
    <n v="9400"/>
    <n v="290000"/>
    <n v="3.2413793103448274E-2"/>
    <n v="7"/>
    <n v="370000"/>
    <n v="37000000"/>
    <n v="0.01"/>
    <n v="9"/>
  </r>
  <r>
    <s v="MCS2026"/>
    <x v="27"/>
    <x v="23"/>
    <s v="Mine production, lithium content"/>
    <s v="ton"/>
    <n v="0"/>
    <n v="0"/>
    <n v="290000"/>
    <n v="0"/>
    <n v="11"/>
    <n v="2400000"/>
    <n v="37000000"/>
    <n v="6.4864864864864868E-2"/>
    <n v="11"/>
  </r>
  <r>
    <s v="MCS2026"/>
    <x v="27"/>
    <x v="77"/>
    <s v="Mine production, lithium content"/>
    <s v="ton"/>
    <n v="380"/>
    <n v="380"/>
    <n v="290000"/>
    <n v="1.310344827586207E-3"/>
    <n v="9"/>
    <n v="60000"/>
    <n v="37000000"/>
    <n v="1.6216216216216215E-3"/>
    <n v="10"/>
  </r>
  <r>
    <s v="MCS2026"/>
    <x v="27"/>
    <x v="15"/>
    <s v="Mine production, lithium content"/>
    <s v="ton"/>
    <n v="0"/>
    <n v="0"/>
    <n v="290000"/>
    <n v="0"/>
    <s v="-"/>
    <n v="4400000"/>
    <n v="37000000"/>
    <n v="0.11891891891891893"/>
    <n v="4"/>
  </r>
  <r>
    <s v="MCS2026"/>
    <x v="27"/>
    <x v="50"/>
    <s v="Mine production, lithium content"/>
    <s v="ton"/>
    <n v="20000"/>
    <n v="28000"/>
    <n v="290000"/>
    <n v="9.6551724137931033E-2"/>
    <n v="4"/>
    <n v="500000"/>
    <n v="37000000"/>
    <n v="1.3513513513513514E-2"/>
    <n v="8"/>
  </r>
  <r>
    <s v="MCS2026"/>
    <x v="28"/>
    <x v="0"/>
    <s v="Mine production, magnesite - gross weight"/>
    <s v="k ton"/>
    <n v="410"/>
    <n v="400"/>
    <n v="21000"/>
    <n v="1.9047619047619049E-2"/>
    <n v="7"/>
    <n v="280000"/>
    <n v="7800000"/>
    <n v="3.5897435897435895E-2"/>
    <n v="4"/>
  </r>
  <r>
    <s v="MCS2026"/>
    <x v="28"/>
    <x v="64"/>
    <s v="Mine production, magnesite - gross weight"/>
    <s v="k ton"/>
    <n v="664"/>
    <n v="650"/>
    <n v="21000"/>
    <n v="3.0952380952380953E-2"/>
    <n v="5"/>
    <n v="49000"/>
    <n v="7800000"/>
    <n v="6.2820512820512819E-3"/>
    <n v="9"/>
  </r>
  <r>
    <s v="MCS2026"/>
    <x v="28"/>
    <x v="21"/>
    <s v="Mine production, magnesite - gross weight"/>
    <s v="k ton"/>
    <n v="1850"/>
    <n v="1800"/>
    <n v="21000"/>
    <n v="8.5714285714285715E-2"/>
    <n v="2"/>
    <n v="200000"/>
    <n v="7800000"/>
    <n v="2.564102564102564E-2"/>
    <n v="6"/>
  </r>
  <r>
    <s v="MCS2026"/>
    <x v="28"/>
    <x v="2"/>
    <s v="Mine production, magnesite - gross weight"/>
    <s v="k ton"/>
    <n v="230"/>
    <n v="230"/>
    <n v="21000"/>
    <n v="1.0952380952380953E-2"/>
    <n v="9"/>
    <n v="0"/>
    <n v="7800000"/>
    <n v="0"/>
    <s v="-"/>
  </r>
  <r>
    <s v="MCS2026"/>
    <x v="28"/>
    <x v="3"/>
    <s v="Mine production, magnesite - gross weight"/>
    <s v="k ton"/>
    <n v="12900"/>
    <n v="12700"/>
    <n v="21000"/>
    <n v="0.60476190476190472"/>
    <n v="1"/>
    <n v="700000"/>
    <n v="7800000"/>
    <n v="8.9743589743589744E-2"/>
    <n v="3"/>
  </r>
  <r>
    <s v="MCS2026"/>
    <x v="28"/>
    <x v="25"/>
    <s v="Mine production, magnesite - gross weight"/>
    <s v="k ton"/>
    <n v="134"/>
    <n v="130"/>
    <n v="21000"/>
    <n v="6.1904761904761907E-3"/>
    <n v="11"/>
    <n v="280000"/>
    <n v="7800000"/>
    <n v="3.5897435897435895E-2"/>
    <n v="4"/>
  </r>
  <r>
    <s v="MCS2026"/>
    <x v="28"/>
    <x v="22"/>
    <s v="Mine production, magnesite - gross weight"/>
    <s v="k ton"/>
    <n v="117"/>
    <n v="85"/>
    <n v="21000"/>
    <n v="4.0476190476190473E-3"/>
    <n v="12"/>
    <n v="66000"/>
    <n v="7800000"/>
    <n v="8.4615384615384613E-3"/>
    <n v="8"/>
  </r>
  <r>
    <s v="MCS2026"/>
    <x v="28"/>
    <x v="5"/>
    <s v="Mine production, magnesite - gross weight"/>
    <s v="k ton"/>
    <n v="200"/>
    <n v="200"/>
    <n v="21000"/>
    <n v="9.5238095238095247E-3"/>
    <n v="10"/>
    <n v="10000"/>
    <n v="7800000"/>
    <n v="1.2820512820512821E-3"/>
    <n v="12"/>
  </r>
  <r>
    <s v="MCS2026"/>
    <x v="28"/>
    <x v="23"/>
    <s v="Mine production, magnesite - gross weight"/>
    <s v="k ton"/>
    <n v="341"/>
    <n v="340"/>
    <n v="21000"/>
    <n v="1.6190476190476189E-2"/>
    <n v="14"/>
    <n v="2500000"/>
    <n v="7800000"/>
    <n v="0.32051282051282054"/>
    <n v="14"/>
  </r>
  <r>
    <s v="MCS2026"/>
    <x v="28"/>
    <x v="12"/>
    <s v="Mine production, magnesite - gross weight"/>
    <s v="k ton"/>
    <n v="1600"/>
    <n v="1600"/>
    <n v="21000"/>
    <n v="7.6190476190476197E-2"/>
    <n v="4"/>
    <n v="110000"/>
    <n v="7800000"/>
    <n v="1.4102564102564103E-2"/>
    <n v="7"/>
  </r>
  <r>
    <s v="MCS2026"/>
    <x v="28"/>
    <x v="13"/>
    <s v="Mine production, magnesite - gross weight"/>
    <s v="k ton"/>
    <n v="1690"/>
    <n v="1700"/>
    <n v="21000"/>
    <n v="8.0952380952380956E-2"/>
    <n v="3"/>
    <n v="2300000"/>
    <n v="7800000"/>
    <n v="0.29487179487179488"/>
    <n v="1"/>
  </r>
  <r>
    <s v="MCS2026"/>
    <x v="28"/>
    <x v="78"/>
    <s v="Mine production, magnesite - gross weight"/>
    <s v="k ton"/>
    <n v="334"/>
    <n v="330"/>
    <n v="21000"/>
    <n v="1.5714285714285715E-2"/>
    <n v="8"/>
    <n v="1200000"/>
    <n v="7800000"/>
    <n v="0.15384615384615385"/>
    <n v="2"/>
  </r>
  <r>
    <s v="MCS2026"/>
    <x v="28"/>
    <x v="31"/>
    <s v="Mine production, magnesite - gross weight"/>
    <s v="k ton"/>
    <n v="655"/>
    <n v="640"/>
    <n v="21000"/>
    <n v="3.0476190476190476E-2"/>
    <n v="6"/>
    <n v="35000"/>
    <n v="7800000"/>
    <n v="4.4871794871794869E-3"/>
    <n v="10"/>
  </r>
  <r>
    <s v="MCS2026"/>
    <x v="28"/>
    <x v="15"/>
    <s v="Mine production, magnesite - gross weight"/>
    <s v="k ton"/>
    <n v="0"/>
    <n v="0"/>
    <n v="21000"/>
    <n v="0"/>
    <s v="-"/>
    <n v="35000"/>
    <n v="7800000"/>
    <n v="4.4871794871794869E-3"/>
    <n v="10"/>
  </r>
  <r>
    <s v="MCS2026"/>
    <x v="29"/>
    <x v="0"/>
    <s v="Mine production, manganese content"/>
    <s v="k ton"/>
    <n v="1600"/>
    <n v="1600"/>
    <n v="20000"/>
    <n v="0.08"/>
    <n v="4"/>
    <n v="580000"/>
    <n v="1800000"/>
    <n v="0.32222222222222224"/>
    <n v="1"/>
  </r>
  <r>
    <s v="MCS2026"/>
    <x v="29"/>
    <x v="21"/>
    <s v="Mine production, manganese content"/>
    <s v="k ton"/>
    <n v="705"/>
    <n v="800"/>
    <n v="20000"/>
    <n v="0.04"/>
    <n v="5"/>
    <n v="300000"/>
    <n v="1800000"/>
    <n v="0.16666666666666666"/>
    <n v="3"/>
  </r>
  <r>
    <s v="MCS2026"/>
    <x v="29"/>
    <x v="79"/>
    <s v="Mine production, manganese content"/>
    <s v="k ton"/>
    <n v="340"/>
    <n v="350"/>
    <n v="20000"/>
    <n v="1.7500000000000002E-2"/>
    <n v="8"/>
    <n v="0"/>
    <n v="1800000"/>
    <n v="0"/>
    <s v="-"/>
  </r>
  <r>
    <s v="MCS2026"/>
    <x v="29"/>
    <x v="3"/>
    <s v="Mine production, manganese content"/>
    <s v="k ton"/>
    <n v="690"/>
    <n v="700"/>
    <n v="20000"/>
    <n v="3.5000000000000003E-2"/>
    <n v="7"/>
    <n v="260000"/>
    <n v="1800000"/>
    <n v="0.14444444444444443"/>
    <n v="4"/>
  </r>
  <r>
    <s v="MCS2026"/>
    <x v="29"/>
    <x v="80"/>
    <s v="Mine production, manganese content"/>
    <s v="k ton"/>
    <n v="4640"/>
    <n v="5000"/>
    <n v="20000"/>
    <n v="0.25"/>
    <n v="2"/>
    <n v="61000"/>
    <n v="1800000"/>
    <n v="3.3888888888888892E-2"/>
    <n v="5"/>
  </r>
  <r>
    <s v="MCS2026"/>
    <x v="29"/>
    <x v="63"/>
    <s v="Mine production, manganese content"/>
    <s v="k ton"/>
    <n v="1280"/>
    <n v="2000"/>
    <n v="20000"/>
    <n v="0.1"/>
    <n v="3"/>
    <n v="13000"/>
    <n v="1800000"/>
    <n v="7.2222222222222219E-3"/>
    <n v="7"/>
  </r>
  <r>
    <s v="MCS2026"/>
    <x v="29"/>
    <x v="22"/>
    <s v="Mine production, manganese content"/>
    <s v="k ton"/>
    <n v="731"/>
    <n v="790"/>
    <n v="20000"/>
    <n v="3.95E-2"/>
    <n v="6"/>
    <n v="34000"/>
    <n v="1800000"/>
    <n v="1.8888888888888889E-2"/>
    <n v="6"/>
  </r>
  <r>
    <s v="MCS2026"/>
    <x v="29"/>
    <x v="23"/>
    <s v="Mine production, manganese content"/>
    <s v="k ton"/>
    <n v="1240"/>
    <n v="1300"/>
    <n v="20000"/>
    <n v="6.5000000000000002E-2"/>
    <n v="10"/>
    <n v="0"/>
    <n v="1800000"/>
    <n v="0"/>
    <n v="10"/>
  </r>
  <r>
    <s v="MCS2026"/>
    <x v="29"/>
    <x v="49"/>
    <s v="Mine production, manganese content"/>
    <s v="k ton"/>
    <n v="7490"/>
    <n v="7600"/>
    <n v="20000"/>
    <n v="0.38"/>
    <n v="1"/>
    <n v="550000"/>
    <n v="1800000"/>
    <n v="0.30555555555555558"/>
    <n v="2"/>
  </r>
  <r>
    <s v="MCS2026"/>
    <x v="29"/>
    <x v="15"/>
    <s v="Mine production, manganese content"/>
    <s v="k ton"/>
    <n v="0"/>
    <n v="0"/>
    <n v="20000"/>
    <n v="0"/>
    <s v="-"/>
    <n v="0"/>
    <n v="1800000"/>
    <n v="0"/>
    <s v="-"/>
  </r>
  <r>
    <s v="MCS2026"/>
    <x v="30"/>
    <x v="2"/>
    <s v="Mine production, mica scrap and flake"/>
    <s v="ton"/>
    <n v="14000"/>
    <n v="14000"/>
    <n v="350000"/>
    <n v="0.04"/>
    <n v="6"/>
    <n v="0"/>
    <n v="0"/>
    <s v="-"/>
    <s v="-"/>
  </r>
  <r>
    <s v="MCS2026"/>
    <x v="30"/>
    <x v="3"/>
    <s v="Mine production, mica scrap and flake"/>
    <s v="ton"/>
    <n v="85000"/>
    <n v="85000"/>
    <n v="350000"/>
    <n v="0.24285714285714285"/>
    <n v="1"/>
    <n v="1100000"/>
    <n v="0"/>
    <s v="-"/>
    <n v="2"/>
  </r>
  <r>
    <s v="MCS2026"/>
    <x v="30"/>
    <x v="48"/>
    <s v="Mine production, mica scrap and flake"/>
    <s v="ton"/>
    <n v="56900"/>
    <n v="57000"/>
    <n v="350000"/>
    <n v="0.16285714285714287"/>
    <n v="3"/>
    <n v="0"/>
    <n v="0"/>
    <s v="-"/>
    <s v="-"/>
  </r>
  <r>
    <s v="MCS2026"/>
    <x v="30"/>
    <x v="57"/>
    <s v="Mine production, mica scrap and flake"/>
    <s v="ton"/>
    <n v="14000"/>
    <n v="14000"/>
    <n v="350000"/>
    <n v="0.04"/>
    <n v="6"/>
    <n v="0"/>
    <n v="0"/>
    <s v="-"/>
    <s v="-"/>
  </r>
  <r>
    <s v="MCS2026"/>
    <x v="30"/>
    <x v="22"/>
    <s v="Mine production, mica scrap and flake"/>
    <s v="ton"/>
    <n v="14000"/>
    <n v="13000"/>
    <n v="350000"/>
    <n v="3.7142857142857144E-2"/>
    <n v="8"/>
    <n v="0"/>
    <n v="0"/>
    <s v="-"/>
    <s v="-"/>
  </r>
  <r>
    <s v="MCS2026"/>
    <x v="30"/>
    <x v="33"/>
    <s v="Mine production, mica scrap and flake"/>
    <s v="ton"/>
    <n v="90000"/>
    <n v="70000"/>
    <n v="350000"/>
    <n v="0.2"/>
    <n v="2"/>
    <n v="0"/>
    <n v="0"/>
    <s v="-"/>
    <s v="-"/>
  </r>
  <r>
    <s v="MCS2026"/>
    <x v="30"/>
    <x v="23"/>
    <s v="Mine production, mica scrap and flake"/>
    <s v="ton"/>
    <n v="44000"/>
    <n v="39000"/>
    <n v="350000"/>
    <n v="0.11142857142857143"/>
    <n v="11"/>
    <n v="0"/>
    <n v="0"/>
    <s v="-"/>
    <n v="11"/>
  </r>
  <r>
    <s v="MCS2026"/>
    <x v="30"/>
    <x v="12"/>
    <s v="Mine production, mica scrap and flake"/>
    <s v="ton"/>
    <n v="9640"/>
    <n v="9500"/>
    <n v="350000"/>
    <n v="2.7142857142857142E-2"/>
    <n v="9"/>
    <n v="620000"/>
    <n v="0"/>
    <s v="-"/>
    <n v="3"/>
  </r>
  <r>
    <s v="MCS2026"/>
    <x v="30"/>
    <x v="38"/>
    <s v="Mine production, mica scrap and flake"/>
    <s v="ton"/>
    <n v="21000"/>
    <n v="15000"/>
    <n v="350000"/>
    <n v="4.2857142857142858E-2"/>
    <n v="5"/>
    <n v="12000000"/>
    <n v="0"/>
    <s v="-"/>
    <n v="1"/>
  </r>
  <r>
    <s v="MCS2026"/>
    <x v="30"/>
    <x v="31"/>
    <s v="Mine production, mica scrap and flake"/>
    <s v="ton"/>
    <n v="8000"/>
    <n v="8000"/>
    <n v="350000"/>
    <n v="2.2857142857142857E-2"/>
    <n v="10"/>
    <n v="0"/>
    <n v="0"/>
    <s v="-"/>
    <s v="-"/>
  </r>
  <r>
    <s v="MCS2026"/>
    <x v="30"/>
    <x v="15"/>
    <s v="Mine production, mica scrap and flake"/>
    <s v="ton"/>
    <n v="24000"/>
    <n v="26000"/>
    <n v="350000"/>
    <n v="7.4285714285714288E-2"/>
    <n v="4"/>
    <n v="0"/>
    <n v="0"/>
    <s v="-"/>
    <s v="-"/>
  </r>
  <r>
    <s v="MCS2026"/>
    <x v="31"/>
    <x v="81"/>
    <s v="Mine production, molybdenum content"/>
    <s v="ton"/>
    <n v="8200"/>
    <n v="5300"/>
    <n v="260000"/>
    <n v="2.0384615384615383E-2"/>
    <n v="6"/>
    <n v="150000"/>
    <n v="17000000"/>
    <n v="8.8235294117647058E-3"/>
    <n v="7"/>
  </r>
  <r>
    <s v="MCS2026"/>
    <x v="31"/>
    <x v="0"/>
    <s v="Mine production, molybdenum content"/>
    <s v="ton"/>
    <n v="600"/>
    <n v="1000"/>
    <n v="260000"/>
    <n v="3.8461538461538464E-3"/>
    <n v="13"/>
    <n v="760000"/>
    <n v="17000000"/>
    <n v="4.4705882352941179E-2"/>
    <n v="6"/>
  </r>
  <r>
    <s v="MCS2026"/>
    <x v="31"/>
    <x v="2"/>
    <s v="Mine production, molybdenum content"/>
    <s v="ton"/>
    <n v="1540"/>
    <n v="2200"/>
    <n v="260000"/>
    <n v="8.4615384615384613E-3"/>
    <n v="10"/>
    <n v="64000"/>
    <n v="17000000"/>
    <n v="3.7647058823529413E-3"/>
    <n v="10"/>
  </r>
  <r>
    <s v="MCS2026"/>
    <x v="31"/>
    <x v="40"/>
    <s v="Mine production, molybdenum content"/>
    <s v="ton"/>
    <n v="38500"/>
    <n v="42000"/>
    <n v="260000"/>
    <n v="0.16153846153846155"/>
    <n v="2"/>
    <n v="2600000"/>
    <n v="17000000"/>
    <n v="0.15294117647058825"/>
    <n v="3"/>
  </r>
  <r>
    <s v="MCS2026"/>
    <x v="31"/>
    <x v="3"/>
    <s v="Mine production, molybdenum content"/>
    <s v="ton"/>
    <n v="100000"/>
    <n v="97000"/>
    <n v="260000"/>
    <n v="0.37307692307692308"/>
    <n v="1"/>
    <n v="7800000"/>
    <n v="17000000"/>
    <n v="0.45882352941176469"/>
    <n v="1"/>
  </r>
  <r>
    <s v="MCS2026"/>
    <x v="31"/>
    <x v="5"/>
    <s v="Mine production, molybdenum content"/>
    <s v="ton"/>
    <n v="2900"/>
    <n v="3300"/>
    <n v="260000"/>
    <n v="1.2692307692307692E-2"/>
    <n v="9"/>
    <n v="43000"/>
    <n v="17000000"/>
    <n v="2.5294117647058825E-3"/>
    <n v="11"/>
  </r>
  <r>
    <s v="MCS2026"/>
    <x v="31"/>
    <x v="6"/>
    <s v="Mine production, molybdenum content"/>
    <s v="ton"/>
    <n v="4080"/>
    <n v="4300"/>
    <n v="260000"/>
    <n v="1.653846153846154E-2"/>
    <n v="7"/>
    <n v="7000"/>
    <n v="17000000"/>
    <n v="4.1176470588235296E-4"/>
    <n v="15"/>
  </r>
  <r>
    <s v="MCS2026"/>
    <x v="31"/>
    <x v="9"/>
    <s v="Mine production, molybdenum content"/>
    <s v="ton"/>
    <n v="16200"/>
    <n v="17000"/>
    <n v="260000"/>
    <n v="6.5384615384615388E-2"/>
    <n v="5"/>
    <n v="130000"/>
    <n v="17000000"/>
    <n v="7.6470588235294122E-3"/>
    <n v="8"/>
  </r>
  <r>
    <s v="MCS2026"/>
    <x v="31"/>
    <x v="61"/>
    <s v="Mine production, molybdenum content"/>
    <s v="ton"/>
    <n v="3110"/>
    <n v="4200"/>
    <n v="260000"/>
    <n v="1.6153846153846154E-2"/>
    <n v="8"/>
    <n v="10000"/>
    <n v="17000000"/>
    <n v="5.8823529411764701E-4"/>
    <n v="13"/>
  </r>
  <r>
    <s v="MCS2026"/>
    <x v="31"/>
    <x v="65"/>
    <s v="Mine production, molybdenum content"/>
    <s v="ton"/>
    <n v="800"/>
    <n v="800"/>
    <n v="260000"/>
    <n v="3.0769230769230769E-3"/>
    <n v="14"/>
    <n v="78000"/>
    <n v="17000000"/>
    <n v="4.5882352941176473E-3"/>
    <n v="9"/>
  </r>
  <r>
    <s v="MCS2026"/>
    <x v="31"/>
    <x v="23"/>
    <s v="Mine production, molybdenum content"/>
    <s v="ton"/>
    <n v="0"/>
    <n v="0"/>
    <n v="260000"/>
    <n v="0"/>
    <n v="16"/>
    <n v="150000"/>
    <n v="17000000"/>
    <n v="8.8235294117647058E-3"/>
    <n v="16"/>
  </r>
  <r>
    <s v="MCS2026"/>
    <x v="31"/>
    <x v="20"/>
    <s v="Mine production, molybdenum content"/>
    <s v="ton"/>
    <n v="41900"/>
    <n v="39000"/>
    <n v="260000"/>
    <n v="0.15"/>
    <n v="4"/>
    <n v="1000000"/>
    <n v="17000000"/>
    <n v="5.8823529411764705E-2"/>
    <n v="5"/>
  </r>
  <r>
    <s v="MCS2026"/>
    <x v="31"/>
    <x v="13"/>
    <s v="Mine production, molybdenum content"/>
    <s v="ton"/>
    <n v="1500"/>
    <n v="1300"/>
    <n v="260000"/>
    <n v="5.0000000000000001E-3"/>
    <n v="12"/>
    <n v="1100000"/>
    <n v="17000000"/>
    <n v="6.4705882352941183E-2"/>
    <n v="4"/>
  </r>
  <r>
    <s v="MCS2026"/>
    <x v="31"/>
    <x v="38"/>
    <s v="Mine production, molybdenum content"/>
    <s v="ton"/>
    <n v="340"/>
    <n v="500"/>
    <n v="260000"/>
    <n v="1.9230769230769232E-3"/>
    <n v="15"/>
    <n v="8000"/>
    <n v="17000000"/>
    <n v="4.7058823529411766E-4"/>
    <n v="14"/>
  </r>
  <r>
    <s v="MCS2026"/>
    <x v="31"/>
    <x v="15"/>
    <s v="Mine production, molybdenum content"/>
    <s v="ton"/>
    <n v="34000"/>
    <n v="40000"/>
    <n v="260000"/>
    <n v="0.15384615384615385"/>
    <n v="3"/>
    <n v="3500000"/>
    <n v="17000000"/>
    <n v="0.20588235294117646"/>
    <n v="2"/>
  </r>
  <r>
    <s v="MCS2026"/>
    <x v="31"/>
    <x v="47"/>
    <s v="Mine production, molybdenum content"/>
    <s v="ton"/>
    <n v="2100"/>
    <n v="2000"/>
    <n v="260000"/>
    <n v="7.6923076923076927E-3"/>
    <n v="11"/>
    <n v="21000"/>
    <n v="17000000"/>
    <n v="1.2352941176470588E-3"/>
    <n v="12"/>
  </r>
  <r>
    <s v="MCS2026"/>
    <x v="32"/>
    <x v="0"/>
    <s v="Mine production, nickel content"/>
    <s v="ton"/>
    <n v="98000"/>
    <n v="45000"/>
    <n v="3900000"/>
    <n v="1.1538461538461539E-2"/>
    <n v="8"/>
    <n v="25000000"/>
    <n v="140000000"/>
    <n v="0.17857142857142858"/>
    <n v="2"/>
  </r>
  <r>
    <s v="MCS2026"/>
    <x v="32"/>
    <x v="21"/>
    <s v="Mine production, nickel content"/>
    <s v="ton"/>
    <n v="67500"/>
    <n v="70000"/>
    <n v="3900000"/>
    <n v="1.7948717948717947E-2"/>
    <n v="7"/>
    <n v="16000000"/>
    <n v="140000000"/>
    <n v="0.11428571428571428"/>
    <n v="3"/>
  </r>
  <r>
    <s v="MCS2026"/>
    <x v="32"/>
    <x v="2"/>
    <s v="Mine production, nickel content"/>
    <s v="ton"/>
    <n v="125000"/>
    <n v="140000"/>
    <n v="3900000"/>
    <n v="3.5897435897435895E-2"/>
    <n v="4"/>
    <n v="2200000"/>
    <n v="140000000"/>
    <n v="1.5714285714285715E-2"/>
    <n v="8"/>
  </r>
  <r>
    <s v="MCS2026"/>
    <x v="32"/>
    <x v="3"/>
    <s v="Mine production, nickel content"/>
    <s v="ton"/>
    <n v="115000"/>
    <n v="120000"/>
    <n v="3900000"/>
    <n v="3.0769230769230771E-2"/>
    <n v="6"/>
    <n v="4400000"/>
    <n v="140000000"/>
    <n v="3.1428571428571431E-2"/>
    <n v="7"/>
  </r>
  <r>
    <s v="MCS2026"/>
    <x v="32"/>
    <x v="27"/>
    <s v="Mine production, nickel content"/>
    <s v="ton"/>
    <n v="2310000"/>
    <n v="2600000"/>
    <n v="3900000"/>
    <n v="0.66666666666666663"/>
    <n v="1"/>
    <n v="62000000"/>
    <n v="140000000"/>
    <n v="0.44285714285714284"/>
    <n v="1"/>
  </r>
  <r>
    <s v="MCS2026"/>
    <x v="32"/>
    <x v="82"/>
    <s v="Mine production, nickel content"/>
    <s v="ton"/>
    <n v="116000"/>
    <n v="140000"/>
    <n v="3900000"/>
    <n v="3.5897435897435895E-2"/>
    <n v="4"/>
    <n v="7100000"/>
    <n v="140000000"/>
    <n v="5.0714285714285712E-2"/>
    <n v="5"/>
  </r>
  <r>
    <s v="MCS2026"/>
    <x v="32"/>
    <x v="23"/>
    <s v="Mine production, nickel content"/>
    <s v="ton"/>
    <n v="308000"/>
    <n v="290000"/>
    <n v="3900000"/>
    <n v="7.4358974358974358E-2"/>
    <n v="10"/>
    <n v="9100000"/>
    <n v="140000000"/>
    <n v="6.5000000000000002E-2"/>
    <n v="10"/>
  </r>
  <r>
    <s v="MCS2026"/>
    <x v="32"/>
    <x v="54"/>
    <s v="Mine production, nickel content"/>
    <s v="ton"/>
    <n v="354000"/>
    <n v="270000"/>
    <n v="3900000"/>
    <n v="6.9230769230769235E-2"/>
    <n v="2"/>
    <n v="4800000"/>
    <n v="140000000"/>
    <n v="3.4285714285714287E-2"/>
    <n v="6"/>
  </r>
  <r>
    <s v="MCS2026"/>
    <x v="32"/>
    <x v="13"/>
    <s v="Mine production, nickel content"/>
    <s v="ton"/>
    <n v="205000"/>
    <n v="200000"/>
    <n v="3900000"/>
    <n v="5.128205128205128E-2"/>
    <n v="3"/>
    <n v="8300000"/>
    <n v="140000000"/>
    <n v="5.9285714285714289E-2"/>
    <n v="4"/>
  </r>
  <r>
    <s v="MCS2026"/>
    <x v="32"/>
    <x v="15"/>
    <s v="Mine production, nickel content"/>
    <s v="ton"/>
    <n v="7490"/>
    <n v="10000"/>
    <n v="3900000"/>
    <n v="2.5641025641025641E-3"/>
    <n v="9"/>
    <n v="340000"/>
    <n v="140000000"/>
    <n v="2.4285714285714284E-3"/>
    <n v="9"/>
  </r>
  <r>
    <s v="MCS2026"/>
    <x v="33"/>
    <x v="21"/>
    <s v="Mine production, niobium content"/>
    <s v="ton"/>
    <n v="104000"/>
    <n v="104000"/>
    <n v="120000"/>
    <n v="0.8666666666666667"/>
    <n v="1"/>
    <n v="14000000"/>
    <n v="21000000"/>
    <n v="0.66666666666666663"/>
    <n v="1"/>
  </r>
  <r>
    <s v="MCS2026"/>
    <x v="33"/>
    <x v="2"/>
    <s v="Mine production, niobium content"/>
    <s v="ton"/>
    <n v="6900"/>
    <n v="6000"/>
    <n v="120000"/>
    <n v="0.05"/>
    <n v="2"/>
    <n v="640000"/>
    <n v="21000000"/>
    <n v="3.0476190476190476E-2"/>
    <n v="3"/>
  </r>
  <r>
    <s v="MCS2026"/>
    <x v="33"/>
    <x v="3"/>
    <s v="Mine production, niobium content"/>
    <s v="ton"/>
    <n v="44"/>
    <n v="40"/>
    <n v="120000"/>
    <n v="3.3333333333333332E-4"/>
    <n v="6"/>
    <n v="6500000"/>
    <n v="21000000"/>
    <n v="0.30952380952380953"/>
    <n v="2"/>
  </r>
  <r>
    <s v="MCS2026"/>
    <x v="33"/>
    <x v="52"/>
    <s v="Mine production, niobium content"/>
    <s v="ton"/>
    <n v="930"/>
    <n v="970"/>
    <n v="120000"/>
    <n v="8.083333333333333E-3"/>
    <n v="3"/>
    <n v="0"/>
    <n v="21000000"/>
    <n v="0"/>
    <s v="-"/>
  </r>
  <r>
    <s v="MCS2026"/>
    <x v="33"/>
    <x v="23"/>
    <s v="Mine production, niobium content"/>
    <s v="ton"/>
    <n v="160"/>
    <n v="120"/>
    <n v="120000"/>
    <n v="1E-3"/>
    <n v="8"/>
    <n v="0"/>
    <n v="21000000"/>
    <n v="0"/>
    <n v="8"/>
  </r>
  <r>
    <s v="MCS2026"/>
    <x v="33"/>
    <x v="13"/>
    <s v="Mine production, niobium content"/>
    <s v="ton"/>
    <n v="300"/>
    <n v="300"/>
    <n v="120000"/>
    <n v="2.5000000000000001E-3"/>
    <n v="4"/>
    <n v="3000"/>
    <n v="21000000"/>
    <n v="1.4285714285714287E-4"/>
    <n v="5"/>
  </r>
  <r>
    <s v="MCS2026"/>
    <x v="33"/>
    <x v="36"/>
    <s v="Mine production, niobium content"/>
    <s v="ton"/>
    <n v="210"/>
    <n v="200"/>
    <n v="120000"/>
    <n v="1.6666666666666668E-3"/>
    <n v="5"/>
    <n v="0"/>
    <n v="21000000"/>
    <n v="0"/>
    <s v="-"/>
  </r>
  <r>
    <s v="MCS2026"/>
    <x v="33"/>
    <x v="15"/>
    <s v="Mine production, niobium content"/>
    <s v="ton"/>
    <n v="0"/>
    <n v="0"/>
    <n v="120000"/>
    <n v="0"/>
    <s v="-"/>
    <n v="210000"/>
    <n v="21000000"/>
    <n v="0.01"/>
    <n v="4"/>
  </r>
  <r>
    <s v="MCS2026"/>
    <x v="34"/>
    <x v="68"/>
    <s v="Plant production, nitrogen content"/>
    <s v="k ton"/>
    <n v="2000"/>
    <n v="2000"/>
    <n v="160000"/>
    <n v="1.2500000000000001E-2"/>
    <n v="13"/>
    <n v="0"/>
    <n v="0"/>
    <s v="-"/>
    <s v="-"/>
  </r>
  <r>
    <s v="MCS2026"/>
    <x v="34"/>
    <x v="0"/>
    <s v="Plant production, nitrogen content"/>
    <s v="k ton"/>
    <n v="1500"/>
    <n v="1500"/>
    <n v="160000"/>
    <n v="9.3749999999999997E-3"/>
    <n v="19"/>
    <n v="0"/>
    <n v="0"/>
    <s v="-"/>
    <s v="-"/>
  </r>
  <r>
    <s v="MCS2026"/>
    <x v="34"/>
    <x v="2"/>
    <s v="Plant production, nitrogen content"/>
    <s v="k ton"/>
    <n v="3800"/>
    <n v="3800"/>
    <n v="160000"/>
    <n v="2.375E-2"/>
    <n v="9"/>
    <n v="0"/>
    <n v="0"/>
    <s v="-"/>
    <s v="-"/>
  </r>
  <r>
    <s v="MCS2026"/>
    <x v="34"/>
    <x v="3"/>
    <s v="Plant production, nitrogen content"/>
    <s v="k ton"/>
    <n v="49000"/>
    <n v="49000"/>
    <n v="160000"/>
    <n v="0.30625000000000002"/>
    <n v="1"/>
    <n v="0"/>
    <n v="0"/>
    <s v="-"/>
    <s v="-"/>
  </r>
  <r>
    <s v="MCS2026"/>
    <x v="34"/>
    <x v="83"/>
    <s v="Plant production, nitrogen content"/>
    <s v="k ton"/>
    <n v="3900"/>
    <n v="4000"/>
    <n v="160000"/>
    <n v="2.5000000000000001E-2"/>
    <n v="8"/>
    <n v="0"/>
    <n v="0"/>
    <s v="-"/>
    <s v="-"/>
  </r>
  <r>
    <s v="MCS2026"/>
    <x v="34"/>
    <x v="24"/>
    <s v="Plant production, nitrogen content"/>
    <s v="k ton"/>
    <n v="2220"/>
    <n v="2000"/>
    <n v="160000"/>
    <n v="1.2500000000000001E-2"/>
    <n v="13"/>
    <n v="0"/>
    <n v="0"/>
    <s v="-"/>
    <s v="-"/>
  </r>
  <r>
    <s v="MCS2026"/>
    <x v="34"/>
    <x v="22"/>
    <s v="Plant production, nitrogen content"/>
    <s v="k ton"/>
    <n v="15000"/>
    <n v="15000"/>
    <n v="160000"/>
    <n v="9.375E-2"/>
    <n v="2"/>
    <n v="0"/>
    <n v="0"/>
    <s v="-"/>
    <s v="-"/>
  </r>
  <r>
    <s v="MCS2026"/>
    <x v="34"/>
    <x v="27"/>
    <s v="Plant production, nitrogen content"/>
    <s v="k ton"/>
    <n v="5700"/>
    <n v="6000"/>
    <n v="160000"/>
    <n v="3.7499999999999999E-2"/>
    <n v="5"/>
    <n v="0"/>
    <n v="0"/>
    <s v="-"/>
    <s v="-"/>
  </r>
  <r>
    <s v="MCS2026"/>
    <x v="34"/>
    <x v="5"/>
    <s v="Plant production, nitrogen content"/>
    <s v="k ton"/>
    <n v="4800"/>
    <n v="4800"/>
    <n v="160000"/>
    <n v="0.03"/>
    <n v="7"/>
    <n v="0"/>
    <n v="0"/>
    <s v="-"/>
    <s v="-"/>
  </r>
  <r>
    <s v="MCS2026"/>
    <x v="34"/>
    <x v="74"/>
    <s v="Plant production, nitrogen content"/>
    <s v="k ton"/>
    <n v="1500"/>
    <n v="1500"/>
    <n v="160000"/>
    <n v="9.3749999999999997E-3"/>
    <n v="19"/>
    <n v="0"/>
    <n v="0"/>
    <s v="-"/>
    <s v="-"/>
  </r>
  <r>
    <s v="MCS2026"/>
    <x v="34"/>
    <x v="44"/>
    <s v="Plant production, nitrogen content"/>
    <s v="k ton"/>
    <n v="2100"/>
    <n v="2000"/>
    <n v="160000"/>
    <n v="1.2500000000000001E-2"/>
    <n v="13"/>
    <n v="0"/>
    <n v="0"/>
    <s v="-"/>
    <s v="-"/>
  </r>
  <r>
    <s v="MCS2026"/>
    <x v="34"/>
    <x v="35"/>
    <s v="Plant production, nitrogen content"/>
    <s v="k ton"/>
    <n v="2000"/>
    <n v="2000"/>
    <n v="160000"/>
    <n v="1.2500000000000001E-2"/>
    <n v="13"/>
    <n v="0"/>
    <n v="0"/>
    <s v="-"/>
    <s v="-"/>
  </r>
  <r>
    <s v="MCS2026"/>
    <x v="34"/>
    <x v="69"/>
    <s v="Plant production, nitrogen content"/>
    <s v="k ton"/>
    <n v="2000"/>
    <n v="2000"/>
    <n v="160000"/>
    <n v="1.2500000000000001E-2"/>
    <n v="13"/>
    <n v="0"/>
    <n v="0"/>
    <s v="-"/>
    <s v="-"/>
  </r>
  <r>
    <s v="MCS2026"/>
    <x v="34"/>
    <x v="23"/>
    <s v="Plant production, nitrogen content"/>
    <s v="k ton"/>
    <n v="12200"/>
    <n v="12000"/>
    <n v="160000"/>
    <n v="7.4999999999999997E-2"/>
    <n v="23"/>
    <n v="0"/>
    <n v="0"/>
    <s v="-"/>
    <n v="23"/>
  </r>
  <r>
    <s v="MCS2026"/>
    <x v="34"/>
    <x v="11"/>
    <s v="Plant production, nitrogen content"/>
    <s v="k ton"/>
    <n v="3800"/>
    <n v="3800"/>
    <n v="160000"/>
    <n v="2.375E-2"/>
    <n v="9"/>
    <n v="0"/>
    <n v="0"/>
    <s v="-"/>
    <s v="-"/>
  </r>
  <r>
    <s v="MCS2026"/>
    <x v="34"/>
    <x v="46"/>
    <s v="Plant production, nitrogen content"/>
    <s v="k ton"/>
    <n v="1700"/>
    <n v="1700"/>
    <n v="160000"/>
    <n v="1.0625000000000001E-2"/>
    <n v="18"/>
    <n v="0"/>
    <n v="0"/>
    <s v="-"/>
    <s v="-"/>
  </r>
  <r>
    <s v="MCS2026"/>
    <x v="34"/>
    <x v="84"/>
    <s v="Plant production, nitrogen content"/>
    <s v="k ton"/>
    <n v="3040"/>
    <n v="3000"/>
    <n v="160000"/>
    <n v="1.8749999999999999E-2"/>
    <n v="12"/>
    <n v="0"/>
    <n v="0"/>
    <s v="-"/>
    <s v="-"/>
  </r>
  <r>
    <s v="MCS2026"/>
    <x v="34"/>
    <x v="13"/>
    <s v="Plant production, nitrogen content"/>
    <s v="k ton"/>
    <n v="15000"/>
    <n v="15000"/>
    <n v="160000"/>
    <n v="9.375E-2"/>
    <n v="2"/>
    <n v="0"/>
    <n v="0"/>
    <s v="-"/>
    <s v="-"/>
  </r>
  <r>
    <s v="MCS2026"/>
    <x v="34"/>
    <x v="30"/>
    <s v="Plant production, nitrogen content"/>
    <s v="k ton"/>
    <n v="5200"/>
    <n v="5200"/>
    <n v="160000"/>
    <n v="3.2500000000000001E-2"/>
    <n v="6"/>
    <n v="0"/>
    <n v="0"/>
    <s v="-"/>
    <s v="-"/>
  </r>
  <r>
    <s v="MCS2026"/>
    <x v="34"/>
    <x v="85"/>
    <s v="Plant production, nitrogen content"/>
    <s v="k ton"/>
    <n v="3350"/>
    <n v="3300"/>
    <n v="160000"/>
    <n v="2.0625000000000001E-2"/>
    <n v="11"/>
    <n v="0"/>
    <n v="0"/>
    <s v="-"/>
    <s v="-"/>
  </r>
  <r>
    <s v="MCS2026"/>
    <x v="34"/>
    <x v="15"/>
    <s v="Plant production, nitrogen content"/>
    <s v="k ton"/>
    <n v="13600"/>
    <n v="14000"/>
    <n v="160000"/>
    <n v="8.7499999999999994E-2"/>
    <n v="4"/>
    <n v="0"/>
    <n v="0"/>
    <s v="-"/>
    <s v="-"/>
  </r>
  <r>
    <s v="MCS2026"/>
    <x v="34"/>
    <x v="47"/>
    <s v="Plant production, nitrogen content"/>
    <s v="k ton"/>
    <n v="1200"/>
    <n v="1300"/>
    <n v="160000"/>
    <n v="8.1250000000000003E-3"/>
    <n v="22"/>
    <n v="0"/>
    <n v="0"/>
    <s v="-"/>
    <s v="-"/>
  </r>
  <r>
    <s v="MCS2026"/>
    <x v="34"/>
    <x v="16"/>
    <s v="Plant production, nitrogen content"/>
    <s v="k ton"/>
    <n v="1440"/>
    <n v="1400"/>
    <n v="160000"/>
    <n v="8.7500000000000008E-3"/>
    <n v="21"/>
    <n v="0"/>
    <n v="0"/>
    <s v="-"/>
    <s v="-"/>
  </r>
  <r>
    <s v="MCS2026"/>
    <x v="35"/>
    <x v="2"/>
    <s v="Mine production, Palladium content"/>
    <s v="kg"/>
    <n v="17000"/>
    <n v="16000"/>
    <n v="190000"/>
    <n v="8.4210526315789472E-2"/>
    <n v="3"/>
    <n v="310000"/>
    <n v="76000000"/>
    <n v="4.0789473684210526E-3"/>
    <n v="5"/>
  </r>
  <r>
    <s v="MCS2026"/>
    <x v="35"/>
    <x v="23"/>
    <s v="Mine production, Palladium content"/>
    <s v="kg"/>
    <n v="2897"/>
    <n v="2900"/>
    <n v="190000"/>
    <n v="1.5263157894736841E-2"/>
    <n v="6"/>
    <n v="0"/>
    <n v="76000000"/>
    <n v="0"/>
    <n v="6"/>
  </r>
  <r>
    <s v="MCS2026"/>
    <x v="35"/>
    <x v="13"/>
    <s v="Mine production, Palladium content"/>
    <s v="kg"/>
    <n v="89000"/>
    <n v="84000"/>
    <n v="190000"/>
    <n v="0.44210526315789472"/>
    <n v="1"/>
    <n v="11000000"/>
    <n v="76000000"/>
    <n v="0.14473684210526316"/>
    <n v="2"/>
  </r>
  <r>
    <s v="MCS2026"/>
    <x v="35"/>
    <x v="49"/>
    <s v="Mine production, Palladium content"/>
    <s v="kg"/>
    <n v="82600"/>
    <n v="70000"/>
    <n v="190000"/>
    <n v="0.36842105263157893"/>
    <n v="2"/>
    <n v="63000000"/>
    <n v="76000000"/>
    <n v="0.82894736842105265"/>
    <n v="1"/>
  </r>
  <r>
    <s v="MCS2026"/>
    <x v="35"/>
    <x v="15"/>
    <s v="Mine production, Palladium content"/>
    <s v="kg"/>
    <n v="10200"/>
    <n v="6200"/>
    <n v="190000"/>
    <n v="3.2631578947368421E-2"/>
    <n v="5"/>
    <n v="590000"/>
    <n v="76000000"/>
    <n v="7.7631578947368425E-3"/>
    <n v="4"/>
  </r>
  <r>
    <s v="MCS2026"/>
    <x v="35"/>
    <x v="50"/>
    <s v="Mine production, Palladium content"/>
    <s v="kg"/>
    <n v="15200"/>
    <n v="15000"/>
    <n v="190000"/>
    <n v="7.8947368421052627E-2"/>
    <n v="4"/>
    <n v="1300000"/>
    <n v="76000000"/>
    <n v="1.7105263157894738E-2"/>
    <n v="3"/>
  </r>
  <r>
    <s v="MCS2026"/>
    <x v="36"/>
    <x v="39"/>
    <s v="Mine production, estimated"/>
    <s v="k ton"/>
    <n v="32"/>
    <n v="30"/>
    <n v="4600"/>
    <n v="6.5217391304347823E-3"/>
    <n v="9"/>
    <n v="0"/>
    <n v="0"/>
    <s v="-"/>
    <s v="-"/>
  </r>
  <r>
    <s v="MCS2026"/>
    <x v="36"/>
    <x v="81"/>
    <s v="Mine production, estimated"/>
    <s v="k ton"/>
    <n v="29"/>
    <n v="30"/>
    <n v="4600"/>
    <n v="6.5217391304347823E-3"/>
    <n v="9"/>
    <n v="0"/>
    <n v="0"/>
    <s v="-"/>
    <s v="-"/>
  </r>
  <r>
    <s v="MCS2026"/>
    <x v="36"/>
    <x v="3"/>
    <s v="Mine production, estimated"/>
    <s v="k ton"/>
    <n v="1500"/>
    <n v="1500"/>
    <n v="4600"/>
    <n v="0.32608695652173914"/>
    <n v="1"/>
    <n v="32000"/>
    <n v="0"/>
    <s v="-"/>
    <n v="3"/>
  </r>
  <r>
    <s v="MCS2026"/>
    <x v="36"/>
    <x v="86"/>
    <s v="Mine production, estimated"/>
    <s v="k ton"/>
    <n v="39"/>
    <n v="40"/>
    <n v="4600"/>
    <n v="8.6956521739130436E-3"/>
    <n v="7"/>
    <n v="0"/>
    <n v="0"/>
    <s v="-"/>
    <s v="-"/>
  </r>
  <r>
    <s v="MCS2026"/>
    <x v="36"/>
    <x v="25"/>
    <s v="Mine production, estimated"/>
    <s v="k ton"/>
    <n v="840"/>
    <n v="840"/>
    <n v="4600"/>
    <n v="0.18260869565217391"/>
    <n v="3"/>
    <n v="180000"/>
    <n v="0"/>
    <s v="-"/>
    <n v="1"/>
  </r>
  <r>
    <s v="MCS2026"/>
    <x v="36"/>
    <x v="87"/>
    <s v="Mine production, estimated"/>
    <s v="k ton"/>
    <n v="77"/>
    <n v="80"/>
    <n v="4600"/>
    <n v="1.7391304347826087E-2"/>
    <n v="5"/>
    <n v="0"/>
    <n v="0"/>
    <s v="-"/>
    <s v="-"/>
  </r>
  <r>
    <s v="MCS2026"/>
    <x v="36"/>
    <x v="5"/>
    <s v="Mine production, estimated"/>
    <s v="k ton"/>
    <n v="70"/>
    <n v="70"/>
    <n v="4600"/>
    <n v="1.5217391304347827E-2"/>
    <n v="6"/>
    <n v="15000"/>
    <n v="0"/>
    <s v="-"/>
    <n v="5"/>
  </r>
  <r>
    <s v="MCS2026"/>
    <x v="36"/>
    <x v="9"/>
    <s v="Mine production, estimated"/>
    <s v="k ton"/>
    <n v="29"/>
    <n v="30"/>
    <n v="4600"/>
    <n v="6.5217391304347823E-3"/>
    <n v="9"/>
    <n v="0"/>
    <n v="0"/>
    <s v="-"/>
    <s v="-"/>
  </r>
  <r>
    <s v="MCS2026"/>
    <x v="36"/>
    <x v="58"/>
    <s v="Mine production, estimated"/>
    <s v="k ton"/>
    <n v="18"/>
    <n v="20"/>
    <n v="4600"/>
    <n v="4.3478260869565218E-3"/>
    <n v="12"/>
    <n v="0"/>
    <n v="0"/>
    <s v="-"/>
    <s v="-"/>
  </r>
  <r>
    <s v="MCS2026"/>
    <x v="36"/>
    <x v="23"/>
    <s v="Mine production, estimated"/>
    <s v="k ton"/>
    <n v="12"/>
    <n v="10"/>
    <n v="4600"/>
    <n v="2.1739130434782609E-3"/>
    <n v="15"/>
    <n v="0"/>
    <n v="0"/>
    <s v="-"/>
    <n v="15"/>
  </r>
  <r>
    <s v="MCS2026"/>
    <x v="36"/>
    <x v="54"/>
    <s v="Mine production, estimated"/>
    <s v="k ton"/>
    <n v="15"/>
    <n v="20"/>
    <n v="4600"/>
    <n v="4.3478260869565218E-3"/>
    <n v="12"/>
    <n v="0"/>
    <n v="0"/>
    <s v="-"/>
    <s v="-"/>
  </r>
  <r>
    <s v="MCS2026"/>
    <x v="36"/>
    <x v="12"/>
    <s v="Mine production, estimated"/>
    <s v="k ton"/>
    <n v="1360"/>
    <n v="1400"/>
    <n v="4600"/>
    <n v="0.30434782608695654"/>
    <n v="2"/>
    <n v="0"/>
    <n v="0"/>
    <s v="-"/>
    <s v="-"/>
  </r>
  <r>
    <s v="MCS2026"/>
    <x v="36"/>
    <x v="78"/>
    <s v="Mine production, estimated"/>
    <s v="k ton"/>
    <n v="42"/>
    <n v="40"/>
    <n v="4600"/>
    <n v="8.6956521739130436E-3"/>
    <n v="7"/>
    <n v="30000"/>
    <n v="0"/>
    <s v="-"/>
    <n v="4"/>
  </r>
  <r>
    <s v="MCS2026"/>
    <x v="36"/>
    <x v="49"/>
    <s v="Mine production, estimated"/>
    <s v="k ton"/>
    <n v="11"/>
    <n v="10"/>
    <n v="4600"/>
    <n v="2.1739130434782609E-3"/>
    <n v="14"/>
    <n v="0"/>
    <n v="0"/>
    <s v="-"/>
    <s v="-"/>
  </r>
  <r>
    <s v="MCS2026"/>
    <x v="36"/>
    <x v="15"/>
    <s v="Mine production, estimated"/>
    <s v="k ton"/>
    <n v="452"/>
    <n v="460"/>
    <n v="4600"/>
    <n v="0.1"/>
    <n v="4"/>
    <n v="50000"/>
    <n v="0"/>
    <s v="-"/>
    <n v="2"/>
  </r>
  <r>
    <s v="MCS2026"/>
    <x v="37"/>
    <x v="68"/>
    <s v="Mine production, marketable phosphate rock"/>
    <s v="k ton"/>
    <n v="2000"/>
    <n v="2000"/>
    <n v="250000"/>
    <n v="8.0000000000000002E-3"/>
    <n v="16"/>
    <n v="2200000"/>
    <n v="73000000"/>
    <n v="3.0136986301369864E-2"/>
    <n v="6"/>
  </r>
  <r>
    <s v="MCS2026"/>
    <x v="37"/>
    <x v="0"/>
    <s v="Mine production, marketable phosphate rock"/>
    <s v="k ton"/>
    <n v="2500"/>
    <n v="2500"/>
    <n v="250000"/>
    <n v="0.01"/>
    <n v="13"/>
    <n v="800000"/>
    <n v="73000000"/>
    <n v="1.0958904109589041E-2"/>
    <n v="13"/>
  </r>
  <r>
    <s v="MCS2026"/>
    <x v="37"/>
    <x v="21"/>
    <s v="Mine production, marketable phosphate rock"/>
    <s v="k ton"/>
    <n v="5300"/>
    <n v="5000"/>
    <n v="250000"/>
    <n v="0.02"/>
    <n v="8"/>
    <n v="1600000"/>
    <n v="73000000"/>
    <n v="2.1917808219178082E-2"/>
    <n v="7"/>
  </r>
  <r>
    <s v="MCS2026"/>
    <x v="37"/>
    <x v="3"/>
    <s v="Mine production, marketable phosphate rock"/>
    <s v="k ton"/>
    <n v="105000"/>
    <n v="110000"/>
    <n v="250000"/>
    <n v="0.44"/>
    <n v="1"/>
    <n v="3400000"/>
    <n v="73000000"/>
    <n v="4.6575342465753428E-2"/>
    <n v="2"/>
  </r>
  <r>
    <s v="MCS2026"/>
    <x v="37"/>
    <x v="83"/>
    <s v="Mine production, marketable phosphate rock"/>
    <s v="k ton"/>
    <n v="5300"/>
    <n v="5500"/>
    <n v="250000"/>
    <n v="2.1999999999999999E-2"/>
    <n v="7"/>
    <n v="2800000"/>
    <n v="73000000"/>
    <n v="3.8356164383561646E-2"/>
    <n v="3"/>
  </r>
  <r>
    <s v="MCS2026"/>
    <x v="37"/>
    <x v="48"/>
    <s v="Mine production, marketable phosphate rock"/>
    <s v="k ton"/>
    <n v="974"/>
    <n v="980"/>
    <n v="250000"/>
    <n v="3.9199999999999999E-3"/>
    <n v="21"/>
    <n v="1000000"/>
    <n v="73000000"/>
    <n v="1.3698630136986301E-2"/>
    <n v="9"/>
  </r>
  <r>
    <s v="MCS2026"/>
    <x v="37"/>
    <x v="22"/>
    <s v="Mine production, marketable phosphate rock"/>
    <s v="k ton"/>
    <n v="1700"/>
    <n v="1500"/>
    <n v="250000"/>
    <n v="6.0000000000000001E-3"/>
    <n v="19"/>
    <n v="31000"/>
    <n v="73000000"/>
    <n v="4.2465753424657536E-4"/>
    <n v="21"/>
  </r>
  <r>
    <s v="MCS2026"/>
    <x v="37"/>
    <x v="41"/>
    <s v="Mine production, marketable phosphate rock"/>
    <s v="k ton"/>
    <n v="2380"/>
    <n v="2400"/>
    <n v="250000"/>
    <n v="9.5999999999999992E-3"/>
    <n v="14"/>
    <n v="60000"/>
    <n v="73000000"/>
    <n v="8.2191780821917813E-4"/>
    <n v="19"/>
  </r>
  <r>
    <s v="MCS2026"/>
    <x v="37"/>
    <x v="42"/>
    <s v="Mine production, marketable phosphate rock"/>
    <s v="k ton"/>
    <n v="11500"/>
    <n v="12000"/>
    <n v="250000"/>
    <n v="4.8000000000000001E-2"/>
    <n v="5"/>
    <n v="820000"/>
    <n v="73000000"/>
    <n v="1.1232876712328766E-2"/>
    <n v="12"/>
  </r>
  <r>
    <s v="MCS2026"/>
    <x v="37"/>
    <x v="6"/>
    <s v="Mine production, marketable phosphate rock"/>
    <s v="k ton"/>
    <n v="1700"/>
    <n v="1900"/>
    <n v="250000"/>
    <n v="7.6E-3"/>
    <n v="17"/>
    <n v="260000"/>
    <n v="73000000"/>
    <n v="3.5616438356164382E-3"/>
    <n v="14"/>
  </r>
  <r>
    <s v="MCS2026"/>
    <x v="37"/>
    <x v="9"/>
    <s v="Mine production, marketable phosphate rock"/>
    <s v="k ton"/>
    <n v="365"/>
    <n v="450"/>
    <n v="250000"/>
    <n v="1.8E-3"/>
    <n v="24"/>
    <n v="30000"/>
    <n v="73000000"/>
    <n v="4.1095890410958907E-4"/>
    <n v="22"/>
  </r>
  <r>
    <s v="MCS2026"/>
    <x v="37"/>
    <x v="19"/>
    <s v="Mine production, marketable phosphate rock"/>
    <s v="k ton"/>
    <n v="35300"/>
    <n v="36000"/>
    <n v="250000"/>
    <n v="0.14399999999999999"/>
    <n v="2"/>
    <n v="50000000"/>
    <n v="73000000"/>
    <n v="0.68493150684931503"/>
    <n v="1"/>
  </r>
  <r>
    <s v="MCS2026"/>
    <x v="37"/>
    <x v="23"/>
    <s v="Mine production, marketable phosphate rock"/>
    <s v="k ton"/>
    <n v="769"/>
    <n v="770"/>
    <n v="250000"/>
    <n v="3.0799999999999998E-3"/>
    <n v="25"/>
    <n v="800000"/>
    <n v="73000000"/>
    <n v="1.0958904109589041E-2"/>
    <n v="25"/>
  </r>
  <r>
    <s v="MCS2026"/>
    <x v="37"/>
    <x v="20"/>
    <s v="Mine production, marketable phosphate rock"/>
    <s v="k ton"/>
    <n v="4800"/>
    <n v="4800"/>
    <n v="250000"/>
    <n v="1.9199999999999998E-2"/>
    <n v="9"/>
    <n v="210000"/>
    <n v="73000000"/>
    <n v="2.8767123287671234E-3"/>
    <n v="16"/>
  </r>
  <r>
    <s v="MCS2026"/>
    <x v="37"/>
    <x v="12"/>
    <s v="Mine production, marketable phosphate rock"/>
    <s v="k ton"/>
    <n v="1220"/>
    <n v="1200"/>
    <n v="250000"/>
    <n v="4.7999999999999996E-3"/>
    <n v="20"/>
    <n v="71000"/>
    <n v="73000000"/>
    <n v="9.7260273972602743E-4"/>
    <n v="18"/>
  </r>
  <r>
    <s v="MCS2026"/>
    <x v="37"/>
    <x v="13"/>
    <s v="Mine production, marketable phosphate rock"/>
    <s v="k ton"/>
    <n v="14400"/>
    <n v="14000"/>
    <n v="250000"/>
    <n v="5.6000000000000001E-2"/>
    <n v="4"/>
    <n v="2400000"/>
    <n v="73000000"/>
    <n v="3.287671232876712E-2"/>
    <n v="5"/>
  </r>
  <r>
    <s v="MCS2026"/>
    <x v="37"/>
    <x v="30"/>
    <s v="Mine production, marketable phosphate rock"/>
    <s v="k ton"/>
    <n v="10000"/>
    <n v="10000"/>
    <n v="250000"/>
    <n v="0.04"/>
    <n v="6"/>
    <n v="1000000"/>
    <n v="73000000"/>
    <n v="1.3698630136986301E-2"/>
    <n v="9"/>
  </r>
  <r>
    <s v="MCS2026"/>
    <x v="37"/>
    <x v="88"/>
    <s v="Mine production, marketable phosphate rock"/>
    <s v="k ton"/>
    <n v="2800"/>
    <n v="2800"/>
    <n v="250000"/>
    <n v="1.12E-2"/>
    <n v="12"/>
    <n v="50000"/>
    <n v="73000000"/>
    <n v="6.8493150684931507E-4"/>
    <n v="20"/>
  </r>
  <r>
    <s v="MCS2026"/>
    <x v="37"/>
    <x v="49"/>
    <s v="Mine production, marketable phosphate rock"/>
    <s v="k ton"/>
    <n v="2220"/>
    <n v="2200"/>
    <n v="250000"/>
    <n v="8.8000000000000005E-3"/>
    <n v="15"/>
    <n v="1500000"/>
    <n v="73000000"/>
    <n v="2.0547945205479451E-2"/>
    <n v="8"/>
  </r>
  <r>
    <s v="MCS2026"/>
    <x v="37"/>
    <x v="89"/>
    <s v="Mine production, marketable phosphate rock"/>
    <s v="k ton"/>
    <n v="800"/>
    <n v="800"/>
    <n v="250000"/>
    <n v="3.2000000000000002E-3"/>
    <n v="23"/>
    <n v="250000"/>
    <n v="73000000"/>
    <n v="3.4246575342465752E-3"/>
    <n v="15"/>
  </r>
  <r>
    <s v="MCS2026"/>
    <x v="37"/>
    <x v="90"/>
    <s v="Mine production, marketable phosphate rock"/>
    <s v="k ton"/>
    <n v="1560"/>
    <n v="1600"/>
    <n v="250000"/>
    <n v="6.4000000000000003E-3"/>
    <n v="18"/>
    <n v="30000"/>
    <n v="73000000"/>
    <n v="4.1095890410958907E-4"/>
    <n v="22"/>
  </r>
  <r>
    <s v="MCS2026"/>
    <x v="37"/>
    <x v="91"/>
    <s v="Mine production, marketable phosphate rock"/>
    <s v="k ton"/>
    <n v="3280"/>
    <n v="3300"/>
    <n v="250000"/>
    <n v="1.32E-2"/>
    <n v="10"/>
    <n v="2500000"/>
    <n v="73000000"/>
    <n v="3.4246575342465752E-2"/>
    <n v="4"/>
  </r>
  <r>
    <s v="MCS2026"/>
    <x v="37"/>
    <x v="15"/>
    <s v="Mine production, marketable phosphate rock"/>
    <s v="k ton"/>
    <n v="19400"/>
    <n v="20000"/>
    <n v="250000"/>
    <n v="0.08"/>
    <n v="3"/>
    <n v="1000000"/>
    <n v="73000000"/>
    <n v="1.3698630136986301E-2"/>
    <n v="9"/>
  </r>
  <r>
    <s v="MCS2026"/>
    <x v="37"/>
    <x v="47"/>
    <s v="Mine production, marketable phosphate rock"/>
    <s v="k ton"/>
    <n v="950"/>
    <n v="950"/>
    <n v="250000"/>
    <n v="3.8E-3"/>
    <n v="22"/>
    <n v="100000"/>
    <n v="73000000"/>
    <n v="1.3698630136986301E-3"/>
    <n v="17"/>
  </r>
  <r>
    <s v="MCS2026"/>
    <x v="37"/>
    <x v="16"/>
    <s v="Mine production, marketable phosphate rock"/>
    <s v="k ton"/>
    <n v="3000"/>
    <n v="3000"/>
    <n v="250000"/>
    <n v="1.2E-2"/>
    <n v="11"/>
    <n v="30000"/>
    <n v="73000000"/>
    <n v="4.1095890410958907E-4"/>
    <n v="22"/>
  </r>
  <r>
    <s v="MCS2026"/>
    <x v="38"/>
    <x v="2"/>
    <s v="Mine production, Platinum content"/>
    <s v="kg"/>
    <n v="5700"/>
    <n v="5000"/>
    <n v="170000"/>
    <n v="2.9411764705882353E-2"/>
    <n v="4"/>
    <n v="310000"/>
    <n v="76000000"/>
    <n v="4.0789473684210526E-3"/>
    <n v="5"/>
  </r>
  <r>
    <s v="MCS2026"/>
    <x v="38"/>
    <x v="23"/>
    <s v="Mine production, Platinum content"/>
    <s v="kg"/>
    <n v="3860"/>
    <n v="3900"/>
    <n v="170000"/>
    <n v="2.2941176470588236E-2"/>
    <n v="6"/>
    <n v="0"/>
    <n v="76000000"/>
    <n v="0"/>
    <n v="6"/>
  </r>
  <r>
    <s v="MCS2026"/>
    <x v="38"/>
    <x v="13"/>
    <s v="Mine production, Platinum content"/>
    <s v="kg"/>
    <n v="22000"/>
    <n v="20000"/>
    <n v="170000"/>
    <n v="0.11764705882352941"/>
    <n v="2"/>
    <n v="11000000"/>
    <n v="76000000"/>
    <n v="0.14473684210526316"/>
    <n v="2"/>
  </r>
  <r>
    <s v="MCS2026"/>
    <x v="38"/>
    <x v="49"/>
    <s v="Mine production, Platinum content"/>
    <s v="kg"/>
    <n v="126000"/>
    <n v="120000"/>
    <n v="170000"/>
    <n v="0.70588235294117652"/>
    <n v="1"/>
    <n v="63000000"/>
    <n v="76000000"/>
    <n v="0.82894736842105265"/>
    <n v="1"/>
  </r>
  <r>
    <s v="MCS2026"/>
    <x v="38"/>
    <x v="15"/>
    <s v="Mine production, Platinum content"/>
    <s v="kg"/>
    <n v="3010"/>
    <n v="1800"/>
    <n v="170000"/>
    <n v="1.0588235294117647E-2"/>
    <n v="5"/>
    <n v="590000"/>
    <n v="76000000"/>
    <n v="7.7631578947368425E-3"/>
    <n v="4"/>
  </r>
  <r>
    <s v="MCS2026"/>
    <x v="38"/>
    <x v="50"/>
    <s v="Mine production, Platinum content"/>
    <s v="kg"/>
    <n v="18400"/>
    <n v="18000"/>
    <n v="170000"/>
    <n v="0.10588235294117647"/>
    <n v="3"/>
    <n v="1300000"/>
    <n v="76000000"/>
    <n v="1.7105263157894738E-2"/>
    <n v="3"/>
  </r>
  <r>
    <s v="MCS2026"/>
    <x v="39"/>
    <x v="92"/>
    <s v="Mine production, potassium oxide (K₂O) equivalent"/>
    <s v="k ton"/>
    <n v="5000"/>
    <n v="6000"/>
    <n v="49000"/>
    <n v="0.12244897959183673"/>
    <n v="4"/>
    <n v="750000"/>
    <n v="5900000"/>
    <n v="0.1271186440677966"/>
    <n v="4"/>
  </r>
  <r>
    <s v="MCS2026"/>
    <x v="39"/>
    <x v="21"/>
    <s v="Mine production, potassium oxide (K₂O) equivalent"/>
    <s v="k ton"/>
    <n v="331"/>
    <n v="300"/>
    <n v="49000"/>
    <n v="6.1224489795918364E-3"/>
    <n v="12"/>
    <n v="2300"/>
    <n v="5900000"/>
    <n v="3.8983050847457627E-4"/>
    <n v="10"/>
  </r>
  <r>
    <s v="MCS2026"/>
    <x v="39"/>
    <x v="2"/>
    <s v="Mine production, potassium oxide (K₂O) equivalent"/>
    <s v="k ton"/>
    <n v="14400"/>
    <n v="15000"/>
    <n v="49000"/>
    <n v="0.30612244897959184"/>
    <n v="1"/>
    <n v="1100000"/>
    <n v="5900000"/>
    <n v="0.1864406779661017"/>
    <n v="2"/>
  </r>
  <r>
    <s v="MCS2026"/>
    <x v="39"/>
    <x v="40"/>
    <s v="Mine production, potassium oxide (K₂O) equivalent"/>
    <s v="k ton"/>
    <n v="564"/>
    <n v="600"/>
    <n v="49000"/>
    <n v="1.2244897959183673E-2"/>
    <n v="9"/>
    <n v="100000"/>
    <n v="5900000"/>
    <n v="1.6949152542372881E-2"/>
    <n v="8"/>
  </r>
  <r>
    <s v="MCS2026"/>
    <x v="39"/>
    <x v="3"/>
    <s v="Mine production, potassium oxide (K₂O) equivalent"/>
    <s v="k ton"/>
    <n v="6300"/>
    <n v="6300"/>
    <n v="49000"/>
    <n v="0.12857142857142856"/>
    <n v="3"/>
    <n v="200000"/>
    <n v="5900000"/>
    <n v="3.3898305084745763E-2"/>
    <n v="6"/>
  </r>
  <r>
    <s v="MCS2026"/>
    <x v="39"/>
    <x v="24"/>
    <s v="Mine production, potassium oxide (K₂O) equivalent"/>
    <s v="k ton"/>
    <n v="2500"/>
    <n v="3000"/>
    <n v="49000"/>
    <n v="6.1224489795918366E-2"/>
    <n v="5"/>
    <n v="150000"/>
    <n v="5900000"/>
    <n v="2.5423728813559324E-2"/>
    <n v="7"/>
  </r>
  <r>
    <s v="MCS2026"/>
    <x v="39"/>
    <x v="41"/>
    <s v="Mine production, potassium oxide (K₂O) equivalent"/>
    <s v="k ton"/>
    <n v="2260"/>
    <n v="2000"/>
    <n v="49000"/>
    <n v="4.0816326530612242E-2"/>
    <n v="7"/>
    <n v="0"/>
    <n v="5900000"/>
    <n v="0"/>
    <s v="-"/>
  </r>
  <r>
    <s v="MCS2026"/>
    <x v="39"/>
    <x v="42"/>
    <s v="Mine production, potassium oxide (K₂O) equivalent"/>
    <s v="k ton"/>
    <n v="1730"/>
    <n v="1800"/>
    <n v="49000"/>
    <n v="3.6734693877551024E-2"/>
    <n v="8"/>
    <n v="0"/>
    <n v="5900000"/>
    <n v="0"/>
    <s v="-"/>
  </r>
  <r>
    <s v="MCS2026"/>
    <x v="39"/>
    <x v="8"/>
    <s v="Mine production, potassium oxide (K₂O) equivalent"/>
    <s v="k ton"/>
    <n v="2400"/>
    <n v="2400"/>
    <n v="49000"/>
    <n v="4.8979591836734691E-2"/>
    <n v="6"/>
    <n v="1000000"/>
    <n v="5900000"/>
    <n v="0.16949152542372881"/>
    <n v="3"/>
  </r>
  <r>
    <s v="MCS2026"/>
    <x v="39"/>
    <x v="23"/>
    <s v="Mine production, potassium oxide (K₂O) equivalent"/>
    <s v="k ton"/>
    <n v="350"/>
    <n v="350"/>
    <n v="49000"/>
    <n v="7.1428571428571426E-3"/>
    <n v="13"/>
    <n v="300000"/>
    <n v="5900000"/>
    <n v="5.0847457627118647E-2"/>
    <n v="13"/>
  </r>
  <r>
    <s v="MCS2026"/>
    <x v="39"/>
    <x v="13"/>
    <s v="Mine production, potassium oxide (K₂O) equivalent"/>
    <s v="k ton"/>
    <n v="10000"/>
    <n v="10000"/>
    <n v="49000"/>
    <n v="0.20408163265306123"/>
    <n v="2"/>
    <n v="2000000"/>
    <n v="5900000"/>
    <n v="0.33898305084745761"/>
    <n v="1"/>
  </r>
  <r>
    <s v="MCS2026"/>
    <x v="39"/>
    <x v="31"/>
    <s v="Mine production, potassium oxide (K₂O) equivalent"/>
    <s v="k ton"/>
    <n v="489"/>
    <n v="450"/>
    <n v="49000"/>
    <n v="9.1836734693877559E-3"/>
    <n v="11"/>
    <n v="100000"/>
    <n v="5900000"/>
    <n v="1.6949152542372881E-2"/>
    <n v="8"/>
  </r>
  <r>
    <s v="MCS2026"/>
    <x v="39"/>
    <x v="15"/>
    <s v="Mine production, potassium oxide (K₂O) equivalent"/>
    <s v="k ton"/>
    <n v="410"/>
    <n v="500"/>
    <n v="49000"/>
    <n v="1.020408163265306E-2"/>
    <n v="10"/>
    <n v="220000"/>
    <n v="5900000"/>
    <n v="3.7288135593220341E-2"/>
    <n v="5"/>
  </r>
  <r>
    <s v="MCS2026"/>
    <x v="40"/>
    <x v="0"/>
    <s v="Mine production, rare-earth-oxide equivalent"/>
    <s v="ton"/>
    <n v="29000"/>
    <n v="29000"/>
    <n v="390000"/>
    <n v="7.4358974358974358E-2"/>
    <n v="3"/>
    <n v="6300000"/>
    <n v="85000000"/>
    <n v="7.4117647058823524E-2"/>
    <n v="3"/>
  </r>
  <r>
    <s v="MCS2026"/>
    <x v="40"/>
    <x v="21"/>
    <s v="Mine production, rare-earth-oxide equivalent"/>
    <s v="ton"/>
    <n v="560"/>
    <n v="2000"/>
    <n v="390000"/>
    <n v="5.1282051282051282E-3"/>
    <n v="9"/>
    <n v="21000000"/>
    <n v="85000000"/>
    <n v="0.24705882352941178"/>
    <n v="2"/>
  </r>
  <r>
    <s v="MCS2026"/>
    <x v="40"/>
    <x v="2"/>
    <s v="Mine production, rare-earth-oxide equivalent"/>
    <s v="ton"/>
    <n v="0"/>
    <n v="0"/>
    <n v="390000"/>
    <n v="0"/>
    <s v="-"/>
    <n v="830000"/>
    <n v="85000000"/>
    <n v="9.764705882352941E-3"/>
    <n v="10"/>
  </r>
  <r>
    <s v="MCS2026"/>
    <x v="40"/>
    <x v="3"/>
    <s v="Mine production, rare-earth-oxide equivalent"/>
    <s v="ton"/>
    <n v="270000"/>
    <n v="270000"/>
    <n v="390000"/>
    <n v="0.69230769230769229"/>
    <n v="1"/>
    <n v="44000000"/>
    <n v="85000000"/>
    <n v="0.51764705882352946"/>
    <n v="1"/>
  </r>
  <r>
    <s v="MCS2026"/>
    <x v="40"/>
    <x v="93"/>
    <s v="Mine production, rare-earth-oxide equivalent"/>
    <s v="ton"/>
    <n v="0"/>
    <n v="0"/>
    <n v="390000"/>
    <n v="0"/>
    <s v="-"/>
    <n v="1500000"/>
    <n v="85000000"/>
    <n v="1.7647058823529412E-2"/>
    <n v="7"/>
  </r>
  <r>
    <s v="MCS2026"/>
    <x v="40"/>
    <x v="22"/>
    <s v="Mine production, rare-earth-oxide equivalent"/>
    <s v="ton"/>
    <n v="2900"/>
    <n v="2900"/>
    <n v="390000"/>
    <n v="7.4358974358974357E-3"/>
    <n v="6"/>
    <n v="0"/>
    <n v="85000000"/>
    <n v="0"/>
    <s v="-"/>
  </r>
  <r>
    <s v="MCS2026"/>
    <x v="40"/>
    <x v="33"/>
    <s v="Mine production, rare-earth-oxide equivalent"/>
    <s v="ton"/>
    <n v="1400"/>
    <n v="2700"/>
    <n v="390000"/>
    <n v="6.9230769230769233E-3"/>
    <n v="7"/>
    <n v="0"/>
    <n v="85000000"/>
    <n v="0"/>
    <s v="-"/>
  </r>
  <r>
    <s v="MCS2026"/>
    <x v="40"/>
    <x v="74"/>
    <s v="Mine production, rare-earth-oxide equivalent"/>
    <s v="ton"/>
    <n v="140"/>
    <n v="110"/>
    <n v="390000"/>
    <n v="2.8205128205128203E-4"/>
    <n v="12"/>
    <n v="710000"/>
    <n v="85000000"/>
    <n v="8.352941176470589E-3"/>
    <n v="11"/>
  </r>
  <r>
    <s v="MCS2026"/>
    <x v="40"/>
    <x v="10"/>
    <s v="Mine production, rare-earth-oxide equivalent"/>
    <s v="ton"/>
    <n v="27000"/>
    <n v="22000"/>
    <n v="390000"/>
    <n v="5.6410256410256411E-2"/>
    <n v="4"/>
    <n v="0"/>
    <n v="85000000"/>
    <n v="0"/>
    <s v="-"/>
  </r>
  <r>
    <s v="MCS2026"/>
    <x v="40"/>
    <x v="35"/>
    <s v="Mine production, rare-earth-oxide equivalent"/>
    <s v="ton"/>
    <n v="1500"/>
    <n v="1500"/>
    <n v="390000"/>
    <n v="3.8461538461538464E-3"/>
    <n v="10"/>
    <n v="0"/>
    <n v="85000000"/>
    <n v="0"/>
    <s v="-"/>
  </r>
  <r>
    <s v="MCS2026"/>
    <x v="40"/>
    <x v="23"/>
    <s v="Mine production, rare-earth-oxide equivalent"/>
    <s v="ton"/>
    <n v="1000"/>
    <n v="550"/>
    <n v="390000"/>
    <n v="1.4102564102564104E-3"/>
    <n v="17"/>
    <n v="0"/>
    <n v="85000000"/>
    <n v="0"/>
    <n v="17"/>
  </r>
  <r>
    <s v="MCS2026"/>
    <x v="40"/>
    <x v="13"/>
    <s v="Mine production, rare-earth-oxide equivalent"/>
    <s v="ton"/>
    <n v="2600"/>
    <n v="2600"/>
    <n v="390000"/>
    <n v="6.6666666666666671E-3"/>
    <n v="8"/>
    <n v="3800000"/>
    <n v="85000000"/>
    <n v="4.4705882352941179E-2"/>
    <n v="4"/>
  </r>
  <r>
    <s v="MCS2026"/>
    <x v="40"/>
    <x v="49"/>
    <s v="Mine production, rare-earth-oxide equivalent"/>
    <s v="ton"/>
    <n v="0"/>
    <n v="0"/>
    <n v="390000"/>
    <n v="0"/>
    <s v="-"/>
    <n v="860000"/>
    <n v="85000000"/>
    <n v="1.011764705882353E-2"/>
    <n v="9"/>
  </r>
  <r>
    <s v="MCS2026"/>
    <x v="40"/>
    <x v="67"/>
    <s v="Mine production, rare-earth-oxide equivalent"/>
    <s v="ton"/>
    <n v="0"/>
    <n v="0"/>
    <n v="390000"/>
    <n v="0"/>
    <s v="-"/>
    <n v="890000"/>
    <n v="85000000"/>
    <n v="1.0470588235294117E-2"/>
    <n v="8"/>
  </r>
  <r>
    <s v="MCS2026"/>
    <x v="40"/>
    <x v="60"/>
    <s v="Mine production, rare-earth-oxide equivalent"/>
    <s v="ton"/>
    <n v="2100"/>
    <n v="4800"/>
    <n v="390000"/>
    <n v="1.2307692307692308E-2"/>
    <n v="5"/>
    <n v="0"/>
    <n v="85000000"/>
    <n v="0"/>
    <s v="-"/>
  </r>
  <r>
    <s v="MCS2026"/>
    <x v="40"/>
    <x v="15"/>
    <s v="Mine production, rare-earth-oxide equivalent"/>
    <s v="ton"/>
    <n v="45500"/>
    <n v="51000"/>
    <n v="390000"/>
    <n v="0.13076923076923078"/>
    <n v="2"/>
    <n v="1900000"/>
    <n v="85000000"/>
    <n v="2.2352941176470589E-2"/>
    <n v="6"/>
  </r>
  <r>
    <s v="MCS2026"/>
    <x v="40"/>
    <x v="16"/>
    <s v="Mine production, rare-earth-oxide equivalent"/>
    <s v="ton"/>
    <n v="300"/>
    <n v="150"/>
    <n v="390000"/>
    <n v="3.8461538461538462E-4"/>
    <n v="11"/>
    <n v="3500000"/>
    <n v="85000000"/>
    <n v="4.1176470588235294E-2"/>
    <n v="5"/>
  </r>
  <r>
    <s v="MCS2026"/>
    <x v="41"/>
    <x v="81"/>
    <s v="Mine production, rhenium content"/>
    <s v="kg"/>
    <n v="200"/>
    <n v="200"/>
    <n v="81000"/>
    <n v="2.4691358024691358E-3"/>
    <n v="8"/>
    <n v="95000"/>
    <n v="0"/>
    <s v="-"/>
    <n v="6"/>
  </r>
  <r>
    <s v="MCS2026"/>
    <x v="41"/>
    <x v="40"/>
    <s v="Mine production, rhenium content"/>
    <s v="kg"/>
    <n v="29000"/>
    <n v="30000"/>
    <n v="81000"/>
    <n v="0.37037037037037035"/>
    <n v="1"/>
    <n v="1300000"/>
    <n v="0"/>
    <s v="-"/>
    <n v="1"/>
  </r>
  <r>
    <s v="MCS2026"/>
    <x v="41"/>
    <x v="3"/>
    <s v="Mine production, rhenium content"/>
    <s v="kg"/>
    <n v="20000"/>
    <n v="20000"/>
    <n v="81000"/>
    <n v="0.24691358024691357"/>
    <n v="2"/>
    <n v="200000"/>
    <n v="0"/>
    <s v="-"/>
    <n v="4"/>
  </r>
  <r>
    <s v="MCS2026"/>
    <x v="41"/>
    <x v="6"/>
    <s v="Mine production, rhenium content"/>
    <s v="kg"/>
    <n v="1500"/>
    <n v="1000"/>
    <n v="81000"/>
    <n v="1.2345679012345678E-2"/>
    <n v="7"/>
    <n v="190000"/>
    <n v="0"/>
    <s v="-"/>
    <n v="5"/>
  </r>
  <r>
    <s v="MCS2026"/>
    <x v="41"/>
    <x v="46"/>
    <s v="Mine production, rhenium content"/>
    <s v="kg"/>
    <n v="9400"/>
    <n v="10000"/>
    <n v="81000"/>
    <n v="0.12345679012345678"/>
    <n v="3"/>
    <n v="0"/>
    <n v="0"/>
    <s v="-"/>
    <s v="-"/>
  </r>
  <r>
    <s v="MCS2026"/>
    <x v="41"/>
    <x v="13"/>
    <s v="Mine production, rhenium content"/>
    <s v="kg"/>
    <n v="0"/>
    <n v="0"/>
    <n v="81000"/>
    <n v="0"/>
    <s v="-"/>
    <n v="310000"/>
    <n v="0"/>
    <s v="-"/>
    <n v="3"/>
  </r>
  <r>
    <s v="MCS2026"/>
    <x v="41"/>
    <x v="38"/>
    <s v="Mine production, rhenium content"/>
    <s v="kg"/>
    <n v="3000"/>
    <n v="3000"/>
    <n v="81000"/>
    <n v="3.7037037037037035E-2"/>
    <n v="6"/>
    <n v="0"/>
    <n v="0"/>
    <s v="-"/>
    <s v="-"/>
  </r>
  <r>
    <s v="MCS2026"/>
    <x v="41"/>
    <x v="15"/>
    <s v="Mine production, rhenium content"/>
    <s v="kg"/>
    <n v="9310"/>
    <n v="9800"/>
    <n v="81000"/>
    <n v="0.12098765432098765"/>
    <n v="4"/>
    <n v="400000"/>
    <n v="0"/>
    <s v="-"/>
    <n v="2"/>
  </r>
  <r>
    <s v="MCS2026"/>
    <x v="41"/>
    <x v="47"/>
    <s v="Mine production, rhenium content"/>
    <s v="kg"/>
    <n v="7400"/>
    <n v="7000"/>
    <n v="81000"/>
    <n v="8.6419753086419748E-2"/>
    <n v="5"/>
    <n v="0"/>
    <n v="0"/>
    <s v="-"/>
    <s v="-"/>
  </r>
  <r>
    <s v="MCS2026"/>
    <x v="42"/>
    <x v="17"/>
    <s v="Refinery production, selenium content"/>
    <s v="ton"/>
    <n v="200"/>
    <n v="200"/>
    <n v="3800"/>
    <n v="5.2631578947368418E-2"/>
    <n v="4"/>
    <n v="0"/>
    <n v="0"/>
    <s v="-"/>
    <s v="-"/>
  </r>
  <r>
    <s v="MCS2026"/>
    <x v="42"/>
    <x v="2"/>
    <s v="Refinery production, selenium content"/>
    <s v="ton"/>
    <n v="130"/>
    <n v="130"/>
    <n v="3800"/>
    <n v="3.4210526315789476E-2"/>
    <n v="5"/>
    <n v="0"/>
    <n v="0"/>
    <s v="-"/>
    <s v="-"/>
  </r>
  <r>
    <s v="MCS2026"/>
    <x v="42"/>
    <x v="3"/>
    <s v="Refinery production, selenium content"/>
    <s v="ton"/>
    <n v="1800"/>
    <n v="2000"/>
    <n v="3800"/>
    <n v="0.52631578947368418"/>
    <n v="1"/>
    <n v="0"/>
    <n v="0"/>
    <s v="-"/>
    <s v="-"/>
  </r>
  <r>
    <s v="MCS2026"/>
    <x v="42"/>
    <x v="48"/>
    <s v="Refinery production, selenium content"/>
    <s v="ton"/>
    <n v="38"/>
    <n v="39"/>
    <n v="3800"/>
    <n v="1.0263157894736842E-2"/>
    <n v="14"/>
    <n v="0"/>
    <n v="0"/>
    <s v="-"/>
    <s v="-"/>
  </r>
  <r>
    <s v="MCS2026"/>
    <x v="42"/>
    <x v="24"/>
    <s v="Refinery production, selenium content"/>
    <s v="ton"/>
    <n v="49"/>
    <n v="47"/>
    <n v="3800"/>
    <n v="1.2368421052631579E-2"/>
    <n v="12"/>
    <n v="0"/>
    <n v="0"/>
    <s v="-"/>
    <s v="-"/>
  </r>
  <r>
    <s v="MCS2026"/>
    <x v="42"/>
    <x v="22"/>
    <s v="Refinery production, selenium content"/>
    <s v="ton"/>
    <n v="88"/>
    <n v="90"/>
    <n v="3800"/>
    <n v="2.368421052631579E-2"/>
    <n v="6"/>
    <n v="0"/>
    <n v="0"/>
    <s v="-"/>
    <s v="-"/>
  </r>
  <r>
    <s v="MCS2026"/>
    <x v="42"/>
    <x v="18"/>
    <s v="Refinery production, selenium content"/>
    <s v="ton"/>
    <n v="730"/>
    <n v="640"/>
    <n v="3800"/>
    <n v="0.16842105263157894"/>
    <n v="2"/>
    <n v="0"/>
    <n v="0"/>
    <s v="-"/>
    <s v="-"/>
  </r>
  <r>
    <s v="MCS2026"/>
    <x v="42"/>
    <x v="6"/>
    <s v="Refinery production, selenium content"/>
    <s v="ton"/>
    <n v="2"/>
    <n v="50"/>
    <n v="3800"/>
    <n v="1.3157894736842105E-2"/>
    <n v="10"/>
    <n v="0"/>
    <n v="0"/>
    <s v="-"/>
    <s v="-"/>
  </r>
  <r>
    <s v="MCS2026"/>
    <x v="42"/>
    <x v="9"/>
    <s v="Refinery production, selenium content"/>
    <s v="ton"/>
    <n v="78"/>
    <n v="88"/>
    <n v="3800"/>
    <n v="2.3157894736842106E-2"/>
    <n v="7"/>
    <n v="0"/>
    <n v="0"/>
    <s v="-"/>
    <s v="-"/>
  </r>
  <r>
    <s v="MCS2026"/>
    <x v="42"/>
    <x v="23"/>
    <s v="Refinery production, selenium content"/>
    <s v="ton"/>
    <n v="0"/>
    <n v="0"/>
    <n v="3800"/>
    <n v="0"/>
    <n v="18"/>
    <n v="0"/>
    <n v="0"/>
    <s v="-"/>
    <n v="18"/>
  </r>
  <r>
    <s v="MCS2026"/>
    <x v="42"/>
    <x v="20"/>
    <s v="Refinery production, selenium content"/>
    <s v="ton"/>
    <n v="53"/>
    <n v="48"/>
    <n v="3800"/>
    <n v="1.2631578947368421E-2"/>
    <n v="11"/>
    <n v="0"/>
    <n v="0"/>
    <s v="-"/>
    <s v="-"/>
  </r>
  <r>
    <s v="MCS2026"/>
    <x v="42"/>
    <x v="46"/>
    <s v="Refinery production, selenium content"/>
    <s v="ton"/>
    <n v="68"/>
    <n v="67"/>
    <n v="3800"/>
    <n v="1.7631578947368422E-2"/>
    <n v="9"/>
    <n v="0"/>
    <n v="0"/>
    <s v="-"/>
    <s v="-"/>
  </r>
  <r>
    <s v="MCS2026"/>
    <x v="42"/>
    <x v="12"/>
    <s v="Refinery production, selenium content"/>
    <s v="ton"/>
    <n v="43"/>
    <n v="43"/>
    <n v="3800"/>
    <n v="1.1315789473684211E-2"/>
    <n v="13"/>
    <n v="0"/>
    <n v="0"/>
    <s v="-"/>
    <s v="-"/>
  </r>
  <r>
    <s v="MCS2026"/>
    <x v="42"/>
    <x v="13"/>
    <s v="Refinery production, selenium content"/>
    <s v="ton"/>
    <n v="310"/>
    <n v="320"/>
    <n v="3800"/>
    <n v="8.4210526315789472E-2"/>
    <n v="3"/>
    <n v="0"/>
    <n v="0"/>
    <s v="-"/>
    <s v="-"/>
  </r>
  <r>
    <s v="MCS2026"/>
    <x v="42"/>
    <x v="94"/>
    <s v="Refinery production, selenium content"/>
    <s v="ton"/>
    <n v="69"/>
    <n v="71"/>
    <n v="3800"/>
    <n v="1.8684210526315789E-2"/>
    <n v="8"/>
    <n v="0"/>
    <n v="0"/>
    <s v="-"/>
    <s v="-"/>
  </r>
  <r>
    <s v="MCS2026"/>
    <x v="42"/>
    <x v="49"/>
    <s v="Refinery production, selenium content"/>
    <s v="ton"/>
    <n v="11"/>
    <n v="10"/>
    <n v="3800"/>
    <n v="2.631578947368421E-3"/>
    <n v="15"/>
    <n v="0"/>
    <n v="0"/>
    <s v="-"/>
    <s v="-"/>
  </r>
  <r>
    <s v="MCS2026"/>
    <x v="42"/>
    <x v="15"/>
    <s v="Refinery production, selenium content"/>
    <s v="ton"/>
    <n v="0"/>
    <n v="0"/>
    <n v="3800"/>
    <n v="0"/>
    <s v="-"/>
    <n v="0"/>
    <n v="0"/>
    <s v="-"/>
    <s v="-"/>
  </r>
  <r>
    <s v="MCS2026"/>
    <x v="42"/>
    <x v="47"/>
    <s v="Refinery production, selenium content"/>
    <s v="ton"/>
    <n v="2"/>
    <n v="2"/>
    <n v="3800"/>
    <n v="5.263157894736842E-4"/>
    <n v="16"/>
    <n v="0"/>
    <n v="0"/>
    <s v="-"/>
    <s v="-"/>
  </r>
  <r>
    <s v="MCS2026"/>
    <x v="43"/>
    <x v="0"/>
    <s v="Plant production, Ferosilicon, silicon content + 메탈 합산"/>
    <s v="k ton"/>
    <n v="47"/>
    <n v="47"/>
    <n v="9600"/>
    <n v="4.8958333333333336E-3"/>
    <n v="12"/>
    <n v="0"/>
    <n v="0"/>
    <s v="-"/>
    <s v="-"/>
  </r>
  <r>
    <s v="MCS2026"/>
    <x v="43"/>
    <x v="95"/>
    <s v="Plant production, Ferosilicon, silicon content + 메탈 합산"/>
    <s v="k ton"/>
    <n v="98"/>
    <n v="98"/>
    <n v="9600"/>
    <n v="1.0208333333333333E-2"/>
    <n v="7"/>
    <n v="0"/>
    <n v="0"/>
    <s v="-"/>
    <s v="-"/>
  </r>
  <r>
    <s v="MCS2026"/>
    <x v="43"/>
    <x v="21"/>
    <s v="Plant production, Ferosilicon, silicon content + 메탈 합산"/>
    <s v="k ton"/>
    <n v="350"/>
    <n v="350"/>
    <n v="9600"/>
    <n v="3.6458333333333336E-2"/>
    <n v="3"/>
    <n v="0"/>
    <n v="0"/>
    <s v="-"/>
    <s v="-"/>
  </r>
  <r>
    <s v="MCS2026"/>
    <x v="43"/>
    <x v="2"/>
    <s v="Plant production, Ferosilicon, silicon content + 메탈 합산"/>
    <s v="k ton"/>
    <n v="57"/>
    <n v="57"/>
    <n v="9600"/>
    <n v="5.9375000000000001E-3"/>
    <n v="11"/>
    <n v="0"/>
    <n v="0"/>
    <s v="-"/>
    <s v="-"/>
  </r>
  <r>
    <s v="MCS2026"/>
    <x v="43"/>
    <x v="3"/>
    <s v="Plant production, Ferosilicon, silicon content + 메탈 합산"/>
    <s v="k ton"/>
    <n v="7900"/>
    <n v="7500"/>
    <n v="9600"/>
    <n v="0.78125"/>
    <n v="1"/>
    <n v="0"/>
    <n v="0"/>
    <s v="-"/>
    <s v="-"/>
  </r>
  <r>
    <s v="MCS2026"/>
    <x v="43"/>
    <x v="57"/>
    <s v="Plant production, Ferosilicon, silicon content + 메탈 합산"/>
    <s v="k ton"/>
    <n v="111"/>
    <n v="89"/>
    <n v="9600"/>
    <n v="9.2708333333333341E-3"/>
    <n v="8"/>
    <n v="0"/>
    <n v="0"/>
    <s v="-"/>
    <s v="-"/>
  </r>
  <r>
    <s v="MCS2026"/>
    <x v="43"/>
    <x v="24"/>
    <s v="Plant production, Ferosilicon, silicon content + 메탈 합산"/>
    <s v="k ton"/>
    <n v="29"/>
    <n v="13"/>
    <n v="9600"/>
    <n v="1.3541666666666667E-3"/>
    <n v="15"/>
    <n v="0"/>
    <n v="0"/>
    <s v="-"/>
    <s v="-"/>
  </r>
  <r>
    <s v="MCS2026"/>
    <x v="43"/>
    <x v="22"/>
    <s v="Plant production, Ferosilicon, silicon content + 메탈 합산"/>
    <s v="k ton"/>
    <n v="59"/>
    <n v="59"/>
    <n v="9600"/>
    <n v="6.145833333333333E-3"/>
    <n v="10"/>
    <n v="0"/>
    <n v="0"/>
    <s v="-"/>
    <s v="-"/>
  </r>
  <r>
    <s v="MCS2026"/>
    <x v="43"/>
    <x v="96"/>
    <s v="Plant production, Ferosilicon, silicon content + 메탈 합산"/>
    <s v="k ton"/>
    <n v="118"/>
    <n v="88"/>
    <n v="9600"/>
    <n v="9.1666666666666667E-3"/>
    <n v="9"/>
    <n v="0"/>
    <n v="0"/>
    <s v="-"/>
    <s v="-"/>
  </r>
  <r>
    <s v="MCS2026"/>
    <x v="43"/>
    <x v="6"/>
    <s v="Plant production, Ferosilicon, silicon content + 메탈 합산"/>
    <s v="k ton"/>
    <n v="127"/>
    <n v="127"/>
    <n v="9600"/>
    <n v="1.3229166666666667E-2"/>
    <n v="5"/>
    <n v="0"/>
    <n v="0"/>
    <s v="-"/>
    <s v="-"/>
  </r>
  <r>
    <s v="MCS2026"/>
    <x v="43"/>
    <x v="74"/>
    <s v="Plant production, Ferosilicon, silicon content + 메탈 합산"/>
    <s v="k ton"/>
    <n v="120"/>
    <n v="120"/>
    <n v="9600"/>
    <n v="1.2500000000000001E-2"/>
    <n v="6"/>
    <n v="0"/>
    <n v="0"/>
    <s v="-"/>
    <s v="-"/>
  </r>
  <r>
    <s v="MCS2026"/>
    <x v="43"/>
    <x v="45"/>
    <s v="Plant production, Ferosilicon, silicon content + 메탈 합산"/>
    <s v="k ton"/>
    <n v="300"/>
    <n v="280"/>
    <n v="9600"/>
    <n v="2.9166666666666667E-2"/>
    <n v="4"/>
    <n v="0"/>
    <n v="0"/>
    <s v="-"/>
    <s v="-"/>
  </r>
  <r>
    <s v="MCS2026"/>
    <x v="43"/>
    <x v="23"/>
    <s v="Plant production, Ferosilicon, silicon content + 메탈 합산"/>
    <s v="k ton"/>
    <n v="162"/>
    <n v="86"/>
    <n v="9600"/>
    <n v="8.9583333333333338E-3"/>
    <n v="17"/>
    <n v="0"/>
    <n v="0"/>
    <s v="-"/>
    <n v="17"/>
  </r>
  <r>
    <s v="MCS2026"/>
    <x v="43"/>
    <x v="13"/>
    <s v="Plant production, Ferosilicon, silicon content + 메탈 합산"/>
    <s v="k ton"/>
    <n v="479"/>
    <n v="455"/>
    <n v="9600"/>
    <n v="4.7395833333333331E-2"/>
    <n v="2"/>
    <n v="0"/>
    <n v="0"/>
    <s v="-"/>
    <s v="-"/>
  </r>
  <r>
    <s v="MCS2026"/>
    <x v="43"/>
    <x v="49"/>
    <s v="Plant production, Ferosilicon, silicon content + 메탈 합산"/>
    <s v="k ton"/>
    <n v="51"/>
    <n v="45"/>
    <n v="9600"/>
    <n v="4.6874999999999998E-3"/>
    <n v="13"/>
    <n v="0"/>
    <n v="0"/>
    <s v="-"/>
    <s v="-"/>
  </r>
  <r>
    <s v="MCS2026"/>
    <x v="43"/>
    <x v="31"/>
    <s v="Plant production, Ferosilicon, silicon content + 메탈 합산"/>
    <s v="k ton"/>
    <n v="47"/>
    <n v="44"/>
    <n v="9600"/>
    <n v="4.5833333333333334E-3"/>
    <n v="14"/>
    <n v="0"/>
    <n v="0"/>
    <s v="-"/>
    <s v="-"/>
  </r>
  <r>
    <s v="MCS2026"/>
    <x v="43"/>
    <x v="15"/>
    <s v="Plant production, Ferosilicon, silicon content + 메탈 합산"/>
    <s v="k ton"/>
    <n v="0"/>
    <n v="0"/>
    <n v="9600"/>
    <n v="0"/>
    <s v="-"/>
    <n v="0"/>
    <n v="0"/>
    <s v="-"/>
    <s v="-"/>
  </r>
  <r>
    <s v="MCS2026"/>
    <x v="44"/>
    <x v="39"/>
    <s v="Mine production, silver content"/>
    <s v="ton"/>
    <n v="774"/>
    <n v="800"/>
    <n v="26000"/>
    <n v="3.0769230769230771E-2"/>
    <n v="10"/>
    <n v="6500"/>
    <n v="610000"/>
    <n v="1.0655737704918032E-2"/>
    <n v="11"/>
  </r>
  <r>
    <s v="MCS2026"/>
    <x v="44"/>
    <x v="0"/>
    <s v="Mine production, silver content"/>
    <s v="ton"/>
    <n v="1050"/>
    <n v="1000"/>
    <n v="26000"/>
    <n v="3.8461538461538464E-2"/>
    <n v="9"/>
    <n v="91000"/>
    <n v="610000"/>
    <n v="0.14918032786885246"/>
    <n v="3"/>
  </r>
  <r>
    <s v="MCS2026"/>
    <x v="44"/>
    <x v="1"/>
    <s v="Mine production, silver content"/>
    <s v="ton"/>
    <n v="1490"/>
    <n v="1500"/>
    <n v="26000"/>
    <n v="5.7692307692307696E-2"/>
    <n v="4"/>
    <n v="22000"/>
    <n v="610000"/>
    <n v="3.6065573770491806E-2"/>
    <n v="9"/>
  </r>
  <r>
    <s v="MCS2026"/>
    <x v="44"/>
    <x v="2"/>
    <s v="Mine production, silver content"/>
    <s v="ton"/>
    <n v="366"/>
    <n v="400"/>
    <n v="26000"/>
    <n v="1.5384615384615385E-2"/>
    <n v="13"/>
    <n v="4900"/>
    <n v="610000"/>
    <n v="8.032786885245901E-3"/>
    <n v="12"/>
  </r>
  <r>
    <s v="MCS2026"/>
    <x v="44"/>
    <x v="40"/>
    <s v="Mine production, silver content"/>
    <s v="ton"/>
    <n v="1200"/>
    <n v="1400"/>
    <n v="26000"/>
    <n v="5.3846153846153849E-2"/>
    <n v="5"/>
    <n v="33000"/>
    <n v="610000"/>
    <n v="5.4098360655737705E-2"/>
    <n v="7"/>
  </r>
  <r>
    <s v="MCS2026"/>
    <x v="44"/>
    <x v="3"/>
    <s v="Mine production, silver content"/>
    <s v="ton"/>
    <n v="3430"/>
    <n v="3400"/>
    <n v="26000"/>
    <n v="0.13076923076923078"/>
    <n v="3"/>
    <n v="67000"/>
    <n v="610000"/>
    <n v="0.10983606557377049"/>
    <n v="4"/>
  </r>
  <r>
    <s v="MCS2026"/>
    <x v="44"/>
    <x v="22"/>
    <s v="Mine production, silver content"/>
    <s v="ton"/>
    <n v="700"/>
    <n v="800"/>
    <n v="26000"/>
    <n v="3.0769230769230771E-2"/>
    <n v="10"/>
    <n v="8000"/>
    <n v="610000"/>
    <n v="1.3114754098360656E-2"/>
    <n v="10"/>
  </r>
  <r>
    <s v="MCS2026"/>
    <x v="44"/>
    <x v="6"/>
    <s v="Mine production, silver content"/>
    <s v="ton"/>
    <n v="850"/>
    <n v="630"/>
    <n v="26000"/>
    <n v="2.4230769230769229E-2"/>
    <n v="12"/>
    <n v="0"/>
    <n v="610000"/>
    <n v="0"/>
    <s v="-"/>
  </r>
  <r>
    <s v="MCS2026"/>
    <x v="44"/>
    <x v="9"/>
    <s v="Mine production, silver content"/>
    <s v="ton"/>
    <n v="5780"/>
    <n v="6300"/>
    <n v="26000"/>
    <n v="0.24230769230769231"/>
    <n v="1"/>
    <n v="37000"/>
    <n v="610000"/>
    <n v="6.0655737704918035E-2"/>
    <n v="6"/>
  </r>
  <r>
    <s v="MCS2026"/>
    <x v="44"/>
    <x v="23"/>
    <s v="Mine production, silver content"/>
    <s v="ton"/>
    <n v="2110"/>
    <n v="2100"/>
    <n v="26000"/>
    <n v="8.0769230769230774E-2"/>
    <n v="15"/>
    <n v="57000"/>
    <n v="610000"/>
    <n v="9.3442622950819676E-2"/>
    <n v="15"/>
  </r>
  <r>
    <s v="MCS2026"/>
    <x v="44"/>
    <x v="20"/>
    <s v="Mine production, silver content"/>
    <s v="ton"/>
    <n v="3510"/>
    <n v="3600"/>
    <n v="26000"/>
    <n v="0.13846153846153847"/>
    <n v="2"/>
    <n v="110000"/>
    <n v="610000"/>
    <n v="0.18032786885245902"/>
    <n v="1"/>
  </r>
  <r>
    <s v="MCS2026"/>
    <x v="44"/>
    <x v="46"/>
    <s v="Mine production, silver content"/>
    <s v="ton"/>
    <n v="1320"/>
    <n v="1300"/>
    <n v="26000"/>
    <n v="0.05"/>
    <n v="6"/>
    <n v="59000"/>
    <n v="610000"/>
    <n v="9.6721311475409841E-2"/>
    <n v="5"/>
  </r>
  <r>
    <s v="MCS2026"/>
    <x v="44"/>
    <x v="13"/>
    <s v="Mine production, silver content"/>
    <s v="ton"/>
    <n v="1280"/>
    <n v="1200"/>
    <n v="26000"/>
    <n v="4.6153846153846156E-2"/>
    <n v="7"/>
    <n v="92000"/>
    <n v="610000"/>
    <n v="0.15081967213114755"/>
    <n v="2"/>
  </r>
  <r>
    <s v="MCS2026"/>
    <x v="44"/>
    <x v="73"/>
    <s v="Mine production, silver content"/>
    <s v="ton"/>
    <n v="432"/>
    <n v="400"/>
    <n v="26000"/>
    <n v="1.5384615384615385E-2"/>
    <n v="13"/>
    <n v="0"/>
    <n v="610000"/>
    <n v="0"/>
    <s v="-"/>
  </r>
  <r>
    <s v="MCS2026"/>
    <x v="44"/>
    <x v="15"/>
    <s v="Mine production, silver content"/>
    <s v="ton"/>
    <n v="1050"/>
    <n v="1100"/>
    <n v="26000"/>
    <n v="4.230769230769231E-2"/>
    <n v="8"/>
    <n v="23000"/>
    <n v="610000"/>
    <n v="3.7704918032786888E-2"/>
    <n v="8"/>
  </r>
  <r>
    <s v="MCS2026"/>
    <x v="45"/>
    <x v="97"/>
    <s v="Mine production, natural"/>
    <s v="k ton"/>
    <n v="298"/>
    <n v="290"/>
    <n v="19000"/>
    <n v="1.5263157894736841E-2"/>
    <n v="3"/>
    <n v="16000"/>
    <n v="25000000"/>
    <n v="6.4000000000000005E-4"/>
    <n v="4"/>
  </r>
  <r>
    <s v="MCS2026"/>
    <x v="45"/>
    <x v="98"/>
    <s v="Mine production, natural"/>
    <s v="k ton"/>
    <n v="18"/>
    <n v="18"/>
    <n v="19000"/>
    <n v="9.4736842105263154E-4"/>
    <n v="5"/>
    <n v="400000"/>
    <n v="25000000"/>
    <n v="1.6E-2"/>
    <n v="3"/>
  </r>
  <r>
    <s v="MCS2026"/>
    <x v="45"/>
    <x v="99"/>
    <s v="Mine production, natural"/>
    <s v="k ton"/>
    <n v="265"/>
    <n v="270"/>
    <n v="19000"/>
    <n v="1.4210526315789474E-2"/>
    <n v="4"/>
    <n v="7000"/>
    <n v="25000000"/>
    <n v="2.7999999999999998E-4"/>
    <n v="5"/>
  </r>
  <r>
    <s v="MCS2026"/>
    <x v="45"/>
    <x v="23"/>
    <s v="Mine production, natural"/>
    <s v="k ton"/>
    <n v="0"/>
    <n v="0"/>
    <n v="19000"/>
    <n v="0"/>
    <n v="6"/>
    <n v="280000"/>
    <n v="25000000"/>
    <n v="1.12E-2"/>
    <n v="6"/>
  </r>
  <r>
    <s v="MCS2026"/>
    <x v="45"/>
    <x v="12"/>
    <s v="Mine production, natural"/>
    <s v="k ton"/>
    <n v="6100"/>
    <n v="6000"/>
    <n v="19000"/>
    <n v="0.31578947368421051"/>
    <n v="2"/>
    <n v="840000"/>
    <n v="25000000"/>
    <n v="3.3599999999999998E-2"/>
    <n v="2"/>
  </r>
  <r>
    <s v="MCS2026"/>
    <x v="45"/>
    <x v="15"/>
    <s v="Soda ash, natural, mine production"/>
    <s v="k ton"/>
    <n v="11700"/>
    <n v="12000"/>
    <n v="19000"/>
    <n v="0.63157894736842102"/>
    <n v="1"/>
    <n v="23000000"/>
    <n v="25000000"/>
    <n v="0.92"/>
    <n v="1"/>
  </r>
  <r>
    <s v="MCS2026"/>
    <x v="46"/>
    <x v="39"/>
    <s v="Mine production, strontium content"/>
    <s v="ton"/>
    <n v="700"/>
    <n v="700"/>
    <n v="450000"/>
    <n v="1.5555555555555555E-3"/>
    <n v="5"/>
    <n v="0"/>
    <n v="0"/>
    <s v="-"/>
    <s v="-"/>
  </r>
  <r>
    <s v="MCS2026"/>
    <x v="46"/>
    <x v="3"/>
    <s v="Mine production, strontium content"/>
    <s v="ton"/>
    <n v="80000"/>
    <n v="80000"/>
    <n v="450000"/>
    <n v="0.17777777777777778"/>
    <n v="3"/>
    <n v="12000000"/>
    <n v="0"/>
    <s v="-"/>
    <n v="1"/>
  </r>
  <r>
    <s v="MCS2026"/>
    <x v="46"/>
    <x v="5"/>
    <s v="Mine production, strontium content"/>
    <s v="ton"/>
    <n v="200000"/>
    <n v="250000"/>
    <n v="450000"/>
    <n v="0.55555555555555558"/>
    <n v="1"/>
    <n v="2000000"/>
    <n v="0"/>
    <s v="-"/>
    <n v="2"/>
  </r>
  <r>
    <s v="MCS2026"/>
    <x v="46"/>
    <x v="9"/>
    <s v="Mine production, strontium content"/>
    <s v="ton"/>
    <n v="19000"/>
    <n v="20000"/>
    <n v="450000"/>
    <n v="4.4444444444444446E-2"/>
    <n v="4"/>
    <n v="0"/>
    <n v="0"/>
    <s v="-"/>
    <s v="-"/>
  </r>
  <r>
    <s v="MCS2026"/>
    <x v="46"/>
    <x v="31"/>
    <s v="Mine production, strontium content"/>
    <s v="ton"/>
    <n v="100000"/>
    <n v="100000"/>
    <n v="450000"/>
    <n v="0.22222222222222221"/>
    <n v="2"/>
    <n v="0"/>
    <n v="0"/>
    <s v="-"/>
    <s v="-"/>
  </r>
  <r>
    <s v="MCS2026"/>
    <x v="46"/>
    <x v="15"/>
    <s v="Mine production, strontium content"/>
    <s v="ton"/>
    <n v="0"/>
    <n v="0"/>
    <n v="450000"/>
    <n v="0"/>
    <s v="-"/>
    <n v="0"/>
    <n v="0"/>
    <s v="-"/>
    <s v="-"/>
  </r>
  <r>
    <s v="MCS2026"/>
    <x v="47"/>
    <x v="0"/>
    <s v="Production, all forms, sulfur content"/>
    <s v="k ton"/>
    <n v="900"/>
    <n v="900"/>
    <n v="84000"/>
    <n v="1.0714285714285714E-2"/>
    <n v="16"/>
    <n v="0"/>
    <n v="0"/>
    <s v="-"/>
    <s v="-"/>
  </r>
  <r>
    <s v="MCS2026"/>
    <x v="47"/>
    <x v="2"/>
    <s v="Production, all forms, sulfur content"/>
    <s v="k ton"/>
    <n v="5060"/>
    <n v="5000"/>
    <n v="84000"/>
    <n v="5.9523809523809521E-2"/>
    <n v="6"/>
    <n v="0"/>
    <n v="0"/>
    <s v="-"/>
    <s v="-"/>
  </r>
  <r>
    <s v="MCS2026"/>
    <x v="47"/>
    <x v="40"/>
    <s v="Production, all forms, sulfur content"/>
    <s v="k ton"/>
    <n v="1500"/>
    <n v="1400"/>
    <n v="84000"/>
    <n v="1.6666666666666666E-2"/>
    <n v="13"/>
    <n v="0"/>
    <n v="0"/>
    <s v="-"/>
    <s v="-"/>
  </r>
  <r>
    <s v="MCS2026"/>
    <x v="47"/>
    <x v="3"/>
    <s v="Production, all forms, sulfur content"/>
    <s v="k ton"/>
    <n v="19000"/>
    <n v="19000"/>
    <n v="84000"/>
    <n v="0.22619047619047619"/>
    <n v="1"/>
    <n v="0"/>
    <n v="0"/>
    <s v="-"/>
    <s v="-"/>
  </r>
  <r>
    <s v="MCS2026"/>
    <x v="47"/>
    <x v="22"/>
    <s v="Production, all forms, sulfur content"/>
    <s v="k ton"/>
    <n v="3700"/>
    <n v="3700"/>
    <n v="84000"/>
    <n v="4.4047619047619051E-2"/>
    <n v="8"/>
    <n v="0"/>
    <n v="0"/>
    <s v="-"/>
    <s v="-"/>
  </r>
  <r>
    <s v="MCS2026"/>
    <x v="47"/>
    <x v="5"/>
    <s v="Production, all forms, sulfur content"/>
    <s v="k ton"/>
    <n v="2000"/>
    <n v="2100"/>
    <n v="84000"/>
    <n v="2.5000000000000001E-2"/>
    <n v="12"/>
    <n v="0"/>
    <n v="0"/>
    <s v="-"/>
    <s v="-"/>
  </r>
  <r>
    <s v="MCS2026"/>
    <x v="47"/>
    <x v="18"/>
    <s v="Production, all forms, sulfur content"/>
    <s v="k ton"/>
    <n v="2750"/>
    <n v="2700"/>
    <n v="84000"/>
    <n v="3.214285714285714E-2"/>
    <n v="11"/>
    <n v="0"/>
    <n v="0"/>
    <s v="-"/>
    <s v="-"/>
  </r>
  <r>
    <s v="MCS2026"/>
    <x v="47"/>
    <x v="6"/>
    <s v="Production, all forms, sulfur content"/>
    <s v="k ton"/>
    <n v="4740"/>
    <n v="4800"/>
    <n v="84000"/>
    <n v="5.7142857142857141E-2"/>
    <n v="7"/>
    <n v="0"/>
    <n v="0"/>
    <s v="-"/>
    <s v="-"/>
  </r>
  <r>
    <s v="MCS2026"/>
    <x v="47"/>
    <x v="100"/>
    <s v="Production, all forms, sulfur content"/>
    <s v="k ton"/>
    <n v="1300"/>
    <n v="1300"/>
    <n v="84000"/>
    <n v="1.5476190476190477E-2"/>
    <n v="14"/>
    <n v="0"/>
    <n v="0"/>
    <s v="-"/>
    <s v="-"/>
  </r>
  <r>
    <s v="MCS2026"/>
    <x v="47"/>
    <x v="23"/>
    <s v="Production, all forms, sulfur content"/>
    <s v="k ton"/>
    <n v="5100"/>
    <n v="5700"/>
    <n v="84000"/>
    <n v="6.7857142857142852E-2"/>
    <n v="18"/>
    <n v="0"/>
    <n v="0"/>
    <s v="-"/>
    <n v="18"/>
  </r>
  <r>
    <s v="MCS2026"/>
    <x v="47"/>
    <x v="46"/>
    <s v="Production, all forms, sulfur content"/>
    <s v="k ton"/>
    <n v="1000"/>
    <n v="1100"/>
    <n v="84000"/>
    <n v="1.3095238095238096E-2"/>
    <n v="15"/>
    <n v="0"/>
    <n v="0"/>
    <s v="-"/>
    <s v="-"/>
  </r>
  <r>
    <s v="MCS2026"/>
    <x v="47"/>
    <x v="84"/>
    <s v="Production, all forms, sulfur content"/>
    <s v="k ton"/>
    <n v="3000"/>
    <n v="3100"/>
    <n v="84000"/>
    <n v="3.6904761904761905E-2"/>
    <n v="9"/>
    <n v="0"/>
    <n v="0"/>
    <s v="-"/>
    <s v="-"/>
  </r>
  <r>
    <s v="MCS2026"/>
    <x v="47"/>
    <x v="13"/>
    <s v="Production, all forms, sulfur content"/>
    <s v="k ton"/>
    <n v="7400"/>
    <n v="7500"/>
    <n v="84000"/>
    <n v="8.9285714285714288E-2"/>
    <n v="3"/>
    <n v="0"/>
    <n v="0"/>
    <s v="-"/>
    <s v="-"/>
  </r>
  <r>
    <s v="MCS2026"/>
    <x v="47"/>
    <x v="30"/>
    <s v="Production, all forms, sulfur content"/>
    <s v="k ton"/>
    <n v="7200"/>
    <n v="7200"/>
    <n v="84000"/>
    <n v="8.5714285714285715E-2"/>
    <n v="4"/>
    <n v="0"/>
    <n v="0"/>
    <s v="-"/>
    <s v="-"/>
  </r>
  <r>
    <s v="MCS2026"/>
    <x v="47"/>
    <x v="38"/>
    <s v="Production, all forms, sulfur content"/>
    <s v="k ton"/>
    <n v="3100"/>
    <n v="3100"/>
    <n v="84000"/>
    <n v="3.6904761904761905E-2"/>
    <n v="9"/>
    <n v="0"/>
    <n v="0"/>
    <s v="-"/>
    <s v="-"/>
  </r>
  <r>
    <s v="MCS2026"/>
    <x v="47"/>
    <x v="71"/>
    <s v="Production, all forms, sulfur content"/>
    <s v="k ton"/>
    <n v="880"/>
    <n v="870"/>
    <n v="84000"/>
    <n v="1.0357142857142856E-2"/>
    <n v="17"/>
    <n v="0"/>
    <n v="0"/>
    <s v="-"/>
    <s v="-"/>
  </r>
  <r>
    <s v="MCS2026"/>
    <x v="47"/>
    <x v="32"/>
    <s v="Production, all forms, sulfur content"/>
    <s v="k ton"/>
    <n v="6300"/>
    <n v="6300"/>
    <n v="84000"/>
    <n v="7.4999999999999997E-2"/>
    <n v="5"/>
    <n v="0"/>
    <n v="0"/>
    <s v="-"/>
    <s v="-"/>
  </r>
  <r>
    <s v="MCS2026"/>
    <x v="47"/>
    <x v="15"/>
    <s v="Production, all forms, sulfur content"/>
    <s v="k ton"/>
    <n v="8320"/>
    <n v="8100"/>
    <n v="84000"/>
    <n v="9.6428571428571433E-2"/>
    <n v="2"/>
    <n v="0"/>
    <n v="0"/>
    <s v="-"/>
    <s v="-"/>
  </r>
  <r>
    <s v="MCS2026"/>
    <x v="48"/>
    <x v="101"/>
    <s v="Mine production, estimated"/>
    <s v="k ton"/>
    <n v="190"/>
    <n v="200"/>
    <n v="6900"/>
    <n v="2.8985507246376812E-2"/>
    <n v="9"/>
    <n v="0"/>
    <n v="0"/>
    <s v="-"/>
    <s v="-"/>
  </r>
  <r>
    <s v="MCS2026"/>
    <x v="48"/>
    <x v="21"/>
    <s v="Mine production, estimated"/>
    <s v="k ton"/>
    <n v="649"/>
    <n v="570"/>
    <n v="6900"/>
    <n v="8.2608695652173908E-2"/>
    <n v="3"/>
    <n v="48000"/>
    <n v="0"/>
    <s v="-"/>
    <n v="6"/>
  </r>
  <r>
    <s v="MCS2026"/>
    <x v="48"/>
    <x v="2"/>
    <s v="Mine production, estimated"/>
    <s v="k ton"/>
    <n v="150"/>
    <n v="150"/>
    <n v="6900"/>
    <n v="2.1739130434782608E-2"/>
    <n v="13"/>
    <n v="0"/>
    <n v="0"/>
    <s v="-"/>
    <s v="-"/>
  </r>
  <r>
    <s v="MCS2026"/>
    <x v="48"/>
    <x v="3"/>
    <s v="Mine production, estimated"/>
    <s v="k ton"/>
    <n v="1300"/>
    <n v="1300"/>
    <n v="6900"/>
    <n v="0.18840579710144928"/>
    <n v="2"/>
    <n v="60000"/>
    <n v="0"/>
    <s v="-"/>
    <n v="5"/>
  </r>
  <r>
    <s v="MCS2026"/>
    <x v="48"/>
    <x v="48"/>
    <s v="Mine production, estimated"/>
    <s v="k ton"/>
    <n v="212"/>
    <n v="200"/>
    <n v="6900"/>
    <n v="2.8985507246376812E-2"/>
    <n v="9"/>
    <n v="0"/>
    <n v="0"/>
    <s v="-"/>
    <s v="-"/>
  </r>
  <r>
    <s v="MCS2026"/>
    <x v="48"/>
    <x v="57"/>
    <s v="Mine production, estimated"/>
    <s v="k ton"/>
    <n v="280"/>
    <n v="300"/>
    <n v="6900"/>
    <n v="4.3478260869565216E-2"/>
    <n v="5"/>
    <n v="0"/>
    <n v="0"/>
    <s v="-"/>
    <s v="-"/>
  </r>
  <r>
    <s v="MCS2026"/>
    <x v="48"/>
    <x v="22"/>
    <s v="Mine production, estimated"/>
    <s v="k ton"/>
    <n v="1540"/>
    <n v="1500"/>
    <n v="6900"/>
    <n v="0.21739130434782608"/>
    <n v="1"/>
    <n v="110000"/>
    <n v="0"/>
    <s v="-"/>
    <n v="2"/>
  </r>
  <r>
    <s v="MCS2026"/>
    <x v="48"/>
    <x v="59"/>
    <s v="Mine production, estimated"/>
    <s v="k ton"/>
    <n v="170"/>
    <n v="170"/>
    <n v="6900"/>
    <n v="2.4637681159420291E-2"/>
    <n v="12"/>
    <n v="0"/>
    <n v="0"/>
    <s v="-"/>
    <s v="-"/>
  </r>
  <r>
    <s v="MCS2026"/>
    <x v="48"/>
    <x v="18"/>
    <s v="Mine production, estimated"/>
    <s v="k ton"/>
    <n v="130"/>
    <n v="130"/>
    <n v="6900"/>
    <n v="1.8840579710144929E-2"/>
    <n v="14"/>
    <n v="100000"/>
    <n v="0"/>
    <s v="-"/>
    <n v="3"/>
  </r>
  <r>
    <s v="MCS2026"/>
    <x v="48"/>
    <x v="23"/>
    <s v="Mine production, estimated"/>
    <s v="k ton"/>
    <n v="882"/>
    <n v="790"/>
    <n v="6900"/>
    <n v="0.11449275362318841"/>
    <n v="15"/>
    <n v="0"/>
    <n v="0"/>
    <s v="-"/>
    <n v="15"/>
  </r>
  <r>
    <s v="MCS2026"/>
    <x v="48"/>
    <x v="11"/>
    <s v="Mine production, estimated"/>
    <s v="k ton"/>
    <n v="221"/>
    <n v="200"/>
    <n v="6900"/>
    <n v="2.8985507246376812E-2"/>
    <n v="9"/>
    <n v="0"/>
    <n v="0"/>
    <s v="-"/>
    <s v="-"/>
  </r>
  <r>
    <s v="MCS2026"/>
    <x v="48"/>
    <x v="12"/>
    <s v="Mine production, estimated"/>
    <s v="k ton"/>
    <n v="304"/>
    <n v="300"/>
    <n v="6900"/>
    <n v="4.3478260869565216E-2"/>
    <n v="5"/>
    <n v="15000"/>
    <n v="0"/>
    <s v="-"/>
    <n v="7"/>
  </r>
  <r>
    <s v="MCS2026"/>
    <x v="48"/>
    <x v="49"/>
    <s v="Mine production, estimated"/>
    <s v="k ton"/>
    <n v="390"/>
    <n v="300"/>
    <n v="6900"/>
    <n v="4.3478260869565216E-2"/>
    <n v="5"/>
    <n v="0"/>
    <n v="0"/>
    <s v="-"/>
    <s v="-"/>
  </r>
  <r>
    <s v="MCS2026"/>
    <x v="48"/>
    <x v="38"/>
    <s v="Mine production, estimated"/>
    <s v="k ton"/>
    <n v="322"/>
    <n v="300"/>
    <n v="6900"/>
    <n v="4.3478260869565216E-2"/>
    <n v="5"/>
    <n v="81000"/>
    <n v="0"/>
    <s v="-"/>
    <n v="4"/>
  </r>
  <r>
    <s v="MCS2026"/>
    <x v="48"/>
    <x v="15"/>
    <s v="Mine production, estimated"/>
    <s v="k ton"/>
    <n v="457"/>
    <n v="490"/>
    <n v="6900"/>
    <n v="7.101449275362319E-2"/>
    <n v="4"/>
    <n v="140000"/>
    <n v="0"/>
    <s v="-"/>
    <n v="1"/>
  </r>
  <r>
    <s v="MCS2026"/>
    <x v="49"/>
    <x v="0"/>
    <s v="Mine production, tantalum content"/>
    <s v="ton"/>
    <n v="52"/>
    <n v="50"/>
    <n v="2500"/>
    <n v="0.02"/>
    <n v="6"/>
    <n v="120000"/>
    <n v="0"/>
    <s v="-"/>
    <n v="2"/>
  </r>
  <r>
    <s v="MCS2026"/>
    <x v="49"/>
    <x v="1"/>
    <s v="Mine production, tantalum content"/>
    <s v="ton"/>
    <n v="2"/>
    <n v="2"/>
    <n v="2500"/>
    <n v="8.0000000000000004E-4"/>
    <n v="9"/>
    <n v="0"/>
    <n v="0"/>
    <s v="-"/>
    <s v="-"/>
  </r>
  <r>
    <s v="MCS2026"/>
    <x v="49"/>
    <x v="21"/>
    <s v="Mine production, tantalum content"/>
    <s v="ton"/>
    <n v="210"/>
    <n v="190"/>
    <n v="2500"/>
    <n v="7.5999999999999998E-2"/>
    <n v="4"/>
    <n v="40000"/>
    <n v="0"/>
    <s v="-"/>
    <n v="3"/>
  </r>
  <r>
    <s v="MCS2026"/>
    <x v="49"/>
    <x v="102"/>
    <s v="Mine production, tantalum content"/>
    <s v="ton"/>
    <n v="2"/>
    <n v="2"/>
    <n v="2500"/>
    <n v="8.0000000000000004E-4"/>
    <n v="9"/>
    <n v="0"/>
    <n v="0"/>
    <s v="-"/>
    <s v="-"/>
  </r>
  <r>
    <s v="MCS2026"/>
    <x v="49"/>
    <x v="3"/>
    <s v="Mine production, tantalum content"/>
    <s v="ton"/>
    <n v="76"/>
    <n v="80"/>
    <n v="2500"/>
    <n v="3.2000000000000001E-2"/>
    <n v="5"/>
    <n v="240000"/>
    <n v="0"/>
    <s v="-"/>
    <n v="1"/>
  </r>
  <r>
    <s v="MCS2026"/>
    <x v="49"/>
    <x v="52"/>
    <s v="Mine production, tantalum content"/>
    <s v="ton"/>
    <n v="1270"/>
    <n v="1300"/>
    <n v="2500"/>
    <n v="0.52"/>
    <n v="1"/>
    <n v="0"/>
    <n v="0"/>
    <s v="-"/>
    <s v="-"/>
  </r>
  <r>
    <s v="MCS2026"/>
    <x v="49"/>
    <x v="98"/>
    <s v="Mine production, tantalum content"/>
    <s v="ton"/>
    <n v="40"/>
    <n v="40"/>
    <n v="2500"/>
    <n v="1.6E-2"/>
    <n v="7"/>
    <n v="0"/>
    <n v="0"/>
    <s v="-"/>
    <s v="-"/>
  </r>
  <r>
    <s v="MCS2026"/>
    <x v="49"/>
    <x v="34"/>
    <s v="Mine production, tantalum content"/>
    <s v="ton"/>
    <n v="55"/>
    <n v="1"/>
    <n v="2500"/>
    <n v="4.0000000000000002E-4"/>
    <n v="11"/>
    <n v="0"/>
    <n v="0"/>
    <s v="-"/>
    <s v="-"/>
  </r>
  <r>
    <s v="MCS2026"/>
    <x v="49"/>
    <x v="35"/>
    <s v="Mine production, tantalum content"/>
    <s v="ton"/>
    <n v="390"/>
    <n v="390"/>
    <n v="2500"/>
    <n v="0.156"/>
    <n v="3"/>
    <n v="0"/>
    <n v="0"/>
    <s v="-"/>
    <s v="-"/>
  </r>
  <r>
    <s v="MCS2026"/>
    <x v="49"/>
    <x v="13"/>
    <s v="Mine production, tantalum content"/>
    <s v="ton"/>
    <n v="29"/>
    <n v="30"/>
    <n v="2500"/>
    <n v="1.2E-2"/>
    <n v="8"/>
    <n v="150"/>
    <n v="0"/>
    <s v="-"/>
    <n v="4"/>
  </r>
  <r>
    <s v="MCS2026"/>
    <x v="49"/>
    <x v="36"/>
    <s v="Mine production, tantalum content"/>
    <s v="ton"/>
    <n v="374"/>
    <n v="400"/>
    <n v="2500"/>
    <n v="0.16"/>
    <n v="2"/>
    <n v="0"/>
    <n v="0"/>
    <s v="-"/>
    <s v="-"/>
  </r>
  <r>
    <s v="MCS2026"/>
    <x v="49"/>
    <x v="15"/>
    <s v="Mine production, tantalum content"/>
    <s v="ton"/>
    <n v="0"/>
    <n v="0"/>
    <n v="2500"/>
    <n v="0"/>
    <s v="-"/>
    <n v="0"/>
    <n v="0"/>
    <s v="-"/>
    <s v="-"/>
  </r>
  <r>
    <s v="MCS2026"/>
    <x v="50"/>
    <x v="37"/>
    <s v="Refinery production, tellurium content"/>
    <s v="ton"/>
    <n v="1"/>
    <n v="1"/>
    <n v="1000"/>
    <n v="1E-3"/>
    <n v="8"/>
    <n v="0"/>
    <n v="0"/>
    <s v="-"/>
    <s v="-"/>
  </r>
  <r>
    <s v="MCS2026"/>
    <x v="50"/>
    <x v="2"/>
    <s v="Refinery production, tellurium content"/>
    <s v="ton"/>
    <n v="27"/>
    <n v="28"/>
    <n v="1000"/>
    <n v="2.8000000000000001E-2"/>
    <n v="5"/>
    <n v="0"/>
    <n v="0"/>
    <s v="-"/>
    <s v="-"/>
  </r>
  <r>
    <s v="MCS2026"/>
    <x v="50"/>
    <x v="3"/>
    <s v="Refinery production, tellurium content"/>
    <s v="ton"/>
    <n v="750"/>
    <n v="800"/>
    <n v="1000"/>
    <n v="0.8"/>
    <n v="1"/>
    <n v="0"/>
    <n v="0"/>
    <s v="-"/>
    <s v="-"/>
  </r>
  <r>
    <s v="MCS2026"/>
    <x v="50"/>
    <x v="18"/>
    <s v="Refinery production, tellurium content"/>
    <s v="ton"/>
    <n v="70"/>
    <n v="61"/>
    <n v="1000"/>
    <n v="6.0999999999999999E-2"/>
    <n v="3"/>
    <n v="0"/>
    <n v="0"/>
    <s v="-"/>
    <s v="-"/>
  </r>
  <r>
    <s v="MCS2026"/>
    <x v="50"/>
    <x v="23"/>
    <s v="Refinery production, tellurium content"/>
    <s v="ton"/>
    <n v="0"/>
    <n v="0"/>
    <n v="1000"/>
    <n v="0"/>
    <n v="10"/>
    <n v="0"/>
    <n v="0"/>
    <s v="-"/>
    <n v="10"/>
  </r>
  <r>
    <s v="MCS2026"/>
    <x v="50"/>
    <x v="13"/>
    <s v="Refinery production, tellurium content"/>
    <s v="ton"/>
    <n v="64"/>
    <n v="67"/>
    <n v="1000"/>
    <n v="6.7000000000000004E-2"/>
    <n v="2"/>
    <n v="0"/>
    <n v="0"/>
    <s v="-"/>
    <s v="-"/>
  </r>
  <r>
    <s v="MCS2026"/>
    <x v="50"/>
    <x v="49"/>
    <s v="Refinery production, tellurium content"/>
    <s v="ton"/>
    <n v="5"/>
    <n v="5"/>
    <n v="1000"/>
    <n v="5.0000000000000001E-3"/>
    <n v="7"/>
    <n v="0"/>
    <n v="0"/>
    <s v="-"/>
    <s v="-"/>
  </r>
  <r>
    <s v="MCS2026"/>
    <x v="50"/>
    <x v="73"/>
    <s v="Refinery production, tellurium content"/>
    <s v="ton"/>
    <n v="46"/>
    <n v="48"/>
    <n v="1000"/>
    <n v="4.8000000000000001E-2"/>
    <n v="4"/>
    <n v="0"/>
    <n v="0"/>
    <s v="-"/>
    <s v="-"/>
  </r>
  <r>
    <s v="MCS2026"/>
    <x v="50"/>
    <x v="15"/>
    <s v="Refinery production, tellurium content"/>
    <s v="ton"/>
    <n v="0"/>
    <n v="0"/>
    <n v="1000"/>
    <n v="0"/>
    <s v="-"/>
    <n v="0"/>
    <n v="0"/>
    <s v="-"/>
    <s v="-"/>
  </r>
  <r>
    <s v="MCS2026"/>
    <x v="50"/>
    <x v="47"/>
    <s v="Refinery production, tellurium content"/>
    <s v="ton"/>
    <n v="18"/>
    <n v="18"/>
    <n v="1000"/>
    <n v="1.7999999999999999E-2"/>
    <n v="6"/>
    <n v="0"/>
    <n v="0"/>
    <s v="-"/>
    <s v="-"/>
  </r>
  <r>
    <s v="MCS2026"/>
    <x v="51"/>
    <x v="0"/>
    <s v="Mine production, tin content"/>
    <s v="ton"/>
    <n v="11300"/>
    <n v="12000"/>
    <n v="290000"/>
    <n v="4.1379310344827586E-2"/>
    <n v="7"/>
    <n v="570000"/>
    <n v="6000000"/>
    <n v="9.5000000000000001E-2"/>
    <n v="5"/>
  </r>
  <r>
    <s v="MCS2026"/>
    <x v="51"/>
    <x v="1"/>
    <s v="Mine production, tin content"/>
    <s v="ton"/>
    <n v="21200"/>
    <n v="15000"/>
    <n v="290000"/>
    <n v="5.1724137931034482E-2"/>
    <n v="6"/>
    <n v="400000"/>
    <n v="6000000"/>
    <n v="6.6666666666666666E-2"/>
    <n v="7"/>
  </r>
  <r>
    <s v="MCS2026"/>
    <x v="51"/>
    <x v="21"/>
    <s v="Mine production, tin content"/>
    <s v="ton"/>
    <n v="27600"/>
    <n v="28000"/>
    <n v="290000"/>
    <n v="9.6551724137931033E-2"/>
    <n v="4"/>
    <n v="700000"/>
    <n v="6000000"/>
    <n v="0.11666666666666667"/>
    <n v="3"/>
  </r>
  <r>
    <s v="MCS2026"/>
    <x v="51"/>
    <x v="3"/>
    <s v="Mine production, tin content"/>
    <s v="ton"/>
    <n v="71000"/>
    <n v="71000"/>
    <n v="290000"/>
    <n v="0.24482758620689654"/>
    <n v="1"/>
    <n v="1200000"/>
    <n v="6000000"/>
    <n v="0.2"/>
    <n v="2"/>
  </r>
  <r>
    <s v="MCS2026"/>
    <x v="51"/>
    <x v="52"/>
    <s v="Mine production, tin content"/>
    <s v="ton"/>
    <n v="26000"/>
    <n v="27000"/>
    <n v="290000"/>
    <n v="9.3103448275862075E-2"/>
    <n v="5"/>
    <n v="91000"/>
    <n v="6000000"/>
    <n v="1.5166666666666667E-2"/>
    <n v="9"/>
  </r>
  <r>
    <s v="MCS2026"/>
    <x v="51"/>
    <x v="27"/>
    <s v="Mine production, tin content"/>
    <s v="ton"/>
    <n v="55000"/>
    <n v="61000"/>
    <n v="290000"/>
    <n v="0.2103448275862069"/>
    <n v="2"/>
    <n v="1400000"/>
    <n v="6000000"/>
    <n v="0.23333333333333334"/>
    <n v="1"/>
  </r>
  <r>
    <s v="MCS2026"/>
    <x v="51"/>
    <x v="8"/>
    <s v="Mine production, tin content"/>
    <s v="ton"/>
    <n v="1860"/>
    <n v="1800"/>
    <n v="290000"/>
    <n v="6.2068965517241377E-3"/>
    <n v="14"/>
    <n v="0"/>
    <n v="6000000"/>
    <n v="0"/>
    <s v="-"/>
  </r>
  <r>
    <s v="MCS2026"/>
    <x v="51"/>
    <x v="74"/>
    <s v="Mine production, tin content"/>
    <s v="ton"/>
    <n v="5460"/>
    <n v="5000"/>
    <n v="290000"/>
    <n v="1.7241379310344827E-2"/>
    <n v="10"/>
    <n v="0"/>
    <n v="6000000"/>
    <n v="0"/>
    <s v="-"/>
  </r>
  <r>
    <s v="MCS2026"/>
    <x v="51"/>
    <x v="10"/>
    <s v="Mine production, tin content"/>
    <s v="ton"/>
    <n v="20000"/>
    <n v="12000"/>
    <n v="290000"/>
    <n v="4.1379310344827586E-2"/>
    <n v="7"/>
    <n v="700000"/>
    <n v="6000000"/>
    <n v="0.11666666666666667"/>
    <n v="3"/>
  </r>
  <r>
    <s v="MCS2026"/>
    <x v="51"/>
    <x v="35"/>
    <s v="Mine production, tin content"/>
    <s v="ton"/>
    <n v="3100"/>
    <n v="3500"/>
    <n v="290000"/>
    <n v="1.2068965517241379E-2"/>
    <n v="13"/>
    <n v="0"/>
    <n v="6000000"/>
    <n v="0"/>
    <s v="-"/>
  </r>
  <r>
    <s v="MCS2026"/>
    <x v="51"/>
    <x v="23"/>
    <s v="Mine production, tin content"/>
    <s v="ton"/>
    <n v="1570"/>
    <n v="1700"/>
    <n v="290000"/>
    <n v="5.8620689655172415E-3"/>
    <n v="16"/>
    <n v="310000"/>
    <n v="6000000"/>
    <n v="5.1666666666666666E-2"/>
    <n v="16"/>
  </r>
  <r>
    <s v="MCS2026"/>
    <x v="51"/>
    <x v="20"/>
    <s v="Mine production, tin content"/>
    <s v="ton"/>
    <n v="32300"/>
    <n v="33000"/>
    <n v="290000"/>
    <n v="0.11379310344827587"/>
    <n v="3"/>
    <n v="150000"/>
    <n v="6000000"/>
    <n v="2.5000000000000001E-2"/>
    <n v="8"/>
  </r>
  <r>
    <s v="MCS2026"/>
    <x v="51"/>
    <x v="13"/>
    <s v="Mine production, tin content"/>
    <s v="ton"/>
    <n v="3260"/>
    <n v="4500"/>
    <n v="290000"/>
    <n v="1.5517241379310345E-2"/>
    <n v="12"/>
    <n v="460000"/>
    <n v="6000000"/>
    <n v="7.6666666666666661E-2"/>
    <n v="6"/>
  </r>
  <r>
    <s v="MCS2026"/>
    <x v="51"/>
    <x v="36"/>
    <s v="Mine production, tin content"/>
    <s v="ton"/>
    <n v="4100"/>
    <n v="4600"/>
    <n v="290000"/>
    <n v="1.5862068965517243E-2"/>
    <n v="11"/>
    <n v="0"/>
    <n v="6000000"/>
    <n v="0"/>
    <s v="-"/>
  </r>
  <r>
    <s v="MCS2026"/>
    <x v="51"/>
    <x v="15"/>
    <s v="Mine production, tin content"/>
    <s v="ton"/>
    <n v="0"/>
    <n v="0"/>
    <n v="290000"/>
    <n v="0"/>
    <s v="-"/>
    <n v="0"/>
    <n v="6000000"/>
    <n v="0"/>
    <s v="-"/>
  </r>
  <r>
    <s v="MCS2026"/>
    <x v="51"/>
    <x v="16"/>
    <s v="Mine production, tin content"/>
    <s v="ton"/>
    <n v="11000"/>
    <n v="11000"/>
    <n v="290000"/>
    <n v="3.793103448275862E-2"/>
    <n v="9"/>
    <n v="23000"/>
    <n v="6000000"/>
    <n v="3.8333333333333331E-3"/>
    <n v="10"/>
  </r>
  <r>
    <s v="MCS2026"/>
    <x v="52"/>
    <x v="0"/>
    <s v="Mine production, ilmentite, titanium dioxide (TiO₂) content"/>
    <s v="k ton"/>
    <n v="600"/>
    <n v="780"/>
    <n v="9400"/>
    <n v="8.2978723404255314E-2"/>
    <n v="4"/>
    <n v="170000"/>
    <n v="490000"/>
    <n v="0.34693877551020408"/>
    <n v="1"/>
  </r>
  <r>
    <s v="MCS2026"/>
    <x v="52"/>
    <x v="2"/>
    <s v="Mine production, ilmentite, titanium dioxide (TiO₂) content"/>
    <s v="k ton"/>
    <n v="360"/>
    <n v="360"/>
    <n v="9400"/>
    <n v="3.8297872340425532E-2"/>
    <n v="7"/>
    <n v="50000"/>
    <n v="490000"/>
    <n v="0.10204081632653061"/>
    <n v="3"/>
  </r>
  <r>
    <s v="MCS2026"/>
    <x v="52"/>
    <x v="3"/>
    <s v="Mine production, ilmentite, titanium dioxide (TiO₂) content"/>
    <s v="k ton"/>
    <n v="3040"/>
    <n v="3200"/>
    <n v="9400"/>
    <n v="0.34042553191489361"/>
    <n v="1"/>
    <n v="110000"/>
    <n v="490000"/>
    <n v="0.22448979591836735"/>
    <n v="2"/>
  </r>
  <r>
    <s v="MCS2026"/>
    <x v="52"/>
    <x v="22"/>
    <s v="Mine production, ilmentite, titanium dioxide (TiO₂) content"/>
    <s v="k ton"/>
    <n v="230"/>
    <n v="240"/>
    <n v="9400"/>
    <n v="2.553191489361702E-2"/>
    <n v="9"/>
    <n v="15000"/>
    <n v="490000"/>
    <n v="3.0612244897959183E-2"/>
    <n v="7"/>
  </r>
  <r>
    <s v="MCS2026"/>
    <x v="52"/>
    <x v="33"/>
    <s v="Mine production, ilmentite, titanium dioxide (TiO₂) content"/>
    <s v="k ton"/>
    <n v="300"/>
    <n v="300"/>
    <n v="9400"/>
    <n v="3.1914893617021274E-2"/>
    <n v="8"/>
    <n v="30000"/>
    <n v="490000"/>
    <n v="6.1224489795918366E-2"/>
    <n v="5"/>
  </r>
  <r>
    <s v="MCS2026"/>
    <x v="52"/>
    <x v="34"/>
    <s v="Mine production, ilmentite, titanium dioxide (TiO₂) content"/>
    <s v="k ton"/>
    <n v="1930"/>
    <n v="1900"/>
    <n v="9400"/>
    <n v="0.20212765957446807"/>
    <n v="2"/>
    <n v="0"/>
    <n v="490000"/>
    <n v="0"/>
    <s v="-"/>
  </r>
  <r>
    <s v="MCS2026"/>
    <x v="52"/>
    <x v="45"/>
    <s v="Mine production, ilmentite, titanium dioxide (TiO₂) content"/>
    <s v="k ton"/>
    <n v="432"/>
    <n v="390"/>
    <n v="9400"/>
    <n v="4.1489361702127657E-2"/>
    <n v="5"/>
    <n v="37000"/>
    <n v="490000"/>
    <n v="7.5510204081632656E-2"/>
    <n v="4"/>
  </r>
  <r>
    <s v="MCS2026"/>
    <x v="52"/>
    <x v="23"/>
    <s v="Mine production, ilmentite, titanium dioxide (TiO₂) content"/>
    <s v="k ton"/>
    <n v="332"/>
    <n v="230"/>
    <n v="9400"/>
    <n v="2.4468085106382979E-2"/>
    <n v="12"/>
    <n v="46000"/>
    <n v="490000"/>
    <n v="9.3877551020408165E-2"/>
    <n v="12"/>
  </r>
  <r>
    <s v="MCS2026"/>
    <x v="52"/>
    <x v="88"/>
    <s v="Mine production, ilmentite, titanium dioxide (TiO₂) content"/>
    <s v="k ton"/>
    <n v="345"/>
    <n v="370"/>
    <n v="9400"/>
    <n v="3.9361702127659576E-2"/>
    <n v="6"/>
    <n v="0"/>
    <n v="490000"/>
    <n v="0"/>
    <s v="-"/>
  </r>
  <r>
    <s v="MCS2026"/>
    <x v="52"/>
    <x v="49"/>
    <s v="Mine production, ilmentite, titanium dioxide (TiO₂) content"/>
    <s v="k ton"/>
    <n v="1260"/>
    <n v="1300"/>
    <n v="9400"/>
    <n v="0.13829787234042554"/>
    <n v="3"/>
    <n v="28000"/>
    <n v="490000"/>
    <n v="5.7142857142857141E-2"/>
    <n v="6"/>
  </r>
  <r>
    <s v="MCS2026"/>
    <x v="52"/>
    <x v="43"/>
    <s v="Mine production, ilmentite, titanium dioxide (TiO₂) content"/>
    <s v="k ton"/>
    <n v="286"/>
    <n v="200"/>
    <n v="9400"/>
    <n v="2.1276595744680851E-2"/>
    <n v="10"/>
    <n v="5900"/>
    <n v="490000"/>
    <n v="1.2040816326530613E-2"/>
    <n v="8"/>
  </r>
  <r>
    <s v="MCS2026"/>
    <x v="52"/>
    <x v="15"/>
    <s v="Mine production, ilmentite, titanium dioxide (TiO₂) content"/>
    <s v="k ton"/>
    <n v="100"/>
    <n v="100"/>
    <n v="9400"/>
    <n v="1.0638297872340425E-2"/>
    <n v="11"/>
    <n v="2000"/>
    <n v="490000"/>
    <n v="4.0816326530612249E-3"/>
    <n v="9"/>
  </r>
  <r>
    <s v="MCS2026"/>
    <x v="53"/>
    <x v="0"/>
    <s v="Mine production, rutile, titanium dioxide (TiO₂) content"/>
    <s v="k ton"/>
    <n v="200"/>
    <n v="200"/>
    <n v="450"/>
    <n v="0.44444444444444442"/>
    <n v="1"/>
    <n v="35000"/>
    <n v="49000"/>
    <n v="0.7142857142857143"/>
    <n v="1"/>
  </r>
  <r>
    <s v="MCS2026"/>
    <x v="53"/>
    <x v="22"/>
    <s v="Mine production, rutile, titanium dioxide (TiO₂) content"/>
    <s v="k ton"/>
    <n v="12"/>
    <n v="13"/>
    <n v="450"/>
    <n v="2.8888888888888888E-2"/>
    <n v="4"/>
    <n v="670"/>
    <n v="49000"/>
    <n v="1.3673469387755101E-2"/>
    <n v="6"/>
  </r>
  <r>
    <s v="MCS2026"/>
    <x v="53"/>
    <x v="99"/>
    <s v="Mine production, rutile, titanium dioxide (TiO₂) content"/>
    <s v="k ton"/>
    <n v="41"/>
    <n v="0"/>
    <n v="450"/>
    <n v="0"/>
    <s v="-"/>
    <n v="0"/>
    <n v="49000"/>
    <n v="0"/>
    <s v="-"/>
  </r>
  <r>
    <s v="MCS2026"/>
    <x v="53"/>
    <x v="34"/>
    <s v="Mine production, rutile, titanium dioxide (TiO₂) content"/>
    <s v="k ton"/>
    <n v="9"/>
    <n v="10"/>
    <n v="450"/>
    <n v="2.2222222222222223E-2"/>
    <n v="5"/>
    <n v="720"/>
    <n v="49000"/>
    <n v="1.4693877551020407E-2"/>
    <n v="5"/>
  </r>
  <r>
    <s v="MCS2026"/>
    <x v="53"/>
    <x v="23"/>
    <s v="Mine production, rutile, titanium dioxide (TiO₂) content"/>
    <s v="k ton"/>
    <n v="10"/>
    <n v="9"/>
    <n v="450"/>
    <n v="0.02"/>
    <n v="9"/>
    <n v="540"/>
    <n v="49000"/>
    <n v="1.1020408163265306E-2"/>
    <n v="9"/>
  </r>
  <r>
    <s v="MCS2026"/>
    <x v="53"/>
    <x v="103"/>
    <s v="Mine production, rutile, titanium dioxide (TiO₂) content"/>
    <s v="k ton"/>
    <n v="80"/>
    <n v="110"/>
    <n v="450"/>
    <n v="0.24444444444444444"/>
    <n v="2"/>
    <n v="2900"/>
    <n v="49000"/>
    <n v="5.9183673469387757E-2"/>
    <n v="3"/>
  </r>
  <r>
    <s v="MCS2026"/>
    <x v="53"/>
    <x v="49"/>
    <s v="Mine production, rutile, titanium dioxide (TiO₂) content"/>
    <s v="k ton"/>
    <n v="102"/>
    <n v="100"/>
    <n v="450"/>
    <n v="0.22222222222222221"/>
    <n v="3"/>
    <n v="6200"/>
    <n v="49000"/>
    <n v="0.12653061224489795"/>
    <n v="2"/>
  </r>
  <r>
    <s v="MCS2026"/>
    <x v="53"/>
    <x v="43"/>
    <s v="Mine production, rutile, titanium dioxide (TiO₂) content"/>
    <s v="k ton"/>
    <n v="9"/>
    <n v="10"/>
    <n v="450"/>
    <n v="2.2222222222222223E-2"/>
    <n v="5"/>
    <n v="2500"/>
    <n v="49000"/>
    <n v="5.1020408163265307E-2"/>
    <n v="4"/>
  </r>
  <r>
    <s v="MCS2026"/>
    <x v="53"/>
    <x v="15"/>
    <s v="Mine production, rutile, titanium dioxide (TiO₂) content"/>
    <s v="k ton"/>
    <n v="0"/>
    <n v="0"/>
    <n v="450"/>
    <n v="0"/>
    <s v="-"/>
    <n v="0"/>
    <n v="49000"/>
    <n v="0"/>
    <s v="-"/>
  </r>
  <r>
    <s v="MCS2026"/>
    <x v="54"/>
    <x v="0"/>
    <s v="Mine production, tungsten content"/>
    <s v="ton"/>
    <n v="920"/>
    <n v="1000"/>
    <n v="85000"/>
    <n v="1.1764705882352941E-2"/>
    <n v="8"/>
    <n v="570000"/>
    <n v="4700000"/>
    <n v="0.12127659574468085"/>
    <n v="2"/>
  </r>
  <r>
    <s v="MCS2026"/>
    <x v="54"/>
    <x v="64"/>
    <s v="Mine production, tungsten content"/>
    <s v="ton"/>
    <n v="840"/>
    <n v="840"/>
    <n v="85000"/>
    <n v="9.8823529411764706E-3"/>
    <n v="9"/>
    <n v="10000"/>
    <n v="4700000"/>
    <n v="2.1276595744680851E-3"/>
    <n v="7"/>
  </r>
  <r>
    <s v="MCS2026"/>
    <x v="54"/>
    <x v="1"/>
    <s v="Mine production, tungsten content"/>
    <s v="ton"/>
    <n v="1700"/>
    <n v="1700"/>
    <n v="85000"/>
    <n v="0.02"/>
    <n v="6"/>
    <n v="0"/>
    <n v="4700000"/>
    <n v="0"/>
    <s v="-"/>
  </r>
  <r>
    <s v="MCS2026"/>
    <x v="54"/>
    <x v="3"/>
    <s v="Mine production, tungsten content"/>
    <s v="ton"/>
    <n v="67000"/>
    <n v="67000"/>
    <n v="85000"/>
    <n v="0.78823529411764703"/>
    <n v="1"/>
    <n v="2500000"/>
    <n v="4700000"/>
    <n v="0.53191489361702127"/>
    <n v="1"/>
  </r>
  <r>
    <s v="MCS2026"/>
    <x v="54"/>
    <x v="6"/>
    <s v="Mine production, tungsten content"/>
    <s v="ton"/>
    <n v="0"/>
    <n v="2400"/>
    <n v="85000"/>
    <n v="2.823529411764706E-2"/>
    <n v="3"/>
    <n v="0"/>
    <n v="4700000"/>
    <n v="0"/>
    <s v="-"/>
  </r>
  <r>
    <s v="MCS2026"/>
    <x v="54"/>
    <x v="65"/>
    <s v="Mine production, tungsten content"/>
    <s v="ton"/>
    <n v="1900"/>
    <n v="2000"/>
    <n v="85000"/>
    <n v="2.3529411764705882E-2"/>
    <n v="4"/>
    <n v="29000"/>
    <n v="4700000"/>
    <n v="6.1702127659574472E-3"/>
    <n v="6"/>
  </r>
  <r>
    <s v="MCS2026"/>
    <x v="54"/>
    <x v="23"/>
    <s v="Mine production, tungsten content"/>
    <s v="ton"/>
    <n v="1700"/>
    <n v="2400"/>
    <n v="85000"/>
    <n v="2.823529411764706E-2"/>
    <n v="13"/>
    <n v="950000"/>
    <n v="4700000"/>
    <n v="0.20212765957446807"/>
    <n v="13"/>
  </r>
  <r>
    <s v="MCS2026"/>
    <x v="54"/>
    <x v="77"/>
    <s v="Mine production, tungsten content"/>
    <s v="ton"/>
    <n v="650"/>
    <n v="700"/>
    <n v="85000"/>
    <n v="8.2352941176470594E-3"/>
    <n v="11"/>
    <n v="3400"/>
    <n v="4700000"/>
    <n v="7.2340425531914894E-4"/>
    <n v="8"/>
  </r>
  <r>
    <s v="MCS2026"/>
    <x v="54"/>
    <x v="13"/>
    <s v="Mine production, tungsten content"/>
    <s v="ton"/>
    <n v="1500"/>
    <n v="2000"/>
    <n v="85000"/>
    <n v="2.3529411764705882E-2"/>
    <n v="4"/>
    <n v="400000"/>
    <n v="4700000"/>
    <n v="8.5106382978723402E-2"/>
    <n v="3"/>
  </r>
  <r>
    <s v="MCS2026"/>
    <x v="54"/>
    <x v="36"/>
    <s v="Mine production, tungsten content"/>
    <s v="ton"/>
    <n v="1300"/>
    <n v="1300"/>
    <n v="85000"/>
    <n v="1.5294117647058824E-2"/>
    <n v="7"/>
    <n v="0"/>
    <n v="4700000"/>
    <n v="0"/>
    <s v="-"/>
  </r>
  <r>
    <s v="MCS2026"/>
    <x v="54"/>
    <x v="31"/>
    <s v="Mine production, tungsten content"/>
    <s v="ton"/>
    <n v="700"/>
    <n v="800"/>
    <n v="85000"/>
    <n v="9.4117647058823521E-3"/>
    <n v="10"/>
    <n v="66000"/>
    <n v="4700000"/>
    <n v="1.4042553191489362E-2"/>
    <n v="5"/>
  </r>
  <r>
    <s v="MCS2026"/>
    <x v="54"/>
    <x v="15"/>
    <s v="Mine production, tungsten content"/>
    <s v="ton"/>
    <n v="0"/>
    <n v="0"/>
    <n v="85000"/>
    <n v="0"/>
    <s v="-"/>
    <n v="0"/>
    <n v="4700000"/>
    <n v="0"/>
    <s v="-"/>
  </r>
  <r>
    <s v="MCS2026"/>
    <x v="54"/>
    <x v="16"/>
    <s v="Mine production, tungsten content"/>
    <s v="ton"/>
    <n v="3400"/>
    <n v="3000"/>
    <n v="85000"/>
    <n v="3.5294117647058823E-2"/>
    <n v="2"/>
    <n v="170000"/>
    <n v="4700000"/>
    <n v="3.6170212765957444E-2"/>
    <n v="4"/>
  </r>
  <r>
    <s v="MCS2026"/>
    <x v="55"/>
    <x v="0"/>
    <s v="Mine production, vanadium content"/>
    <s v="ton"/>
    <n v="0"/>
    <n v="0"/>
    <n v="110000"/>
    <n v="0"/>
    <s v="-"/>
    <n v="10000000"/>
    <n v="21000000"/>
    <n v="0.47619047619047616"/>
    <n v="1"/>
  </r>
  <r>
    <s v="MCS2026"/>
    <x v="55"/>
    <x v="21"/>
    <s v="Mine production, vanadium content"/>
    <s v="ton"/>
    <n v="5190"/>
    <n v="5300"/>
    <n v="110000"/>
    <n v="4.818181818181818E-2"/>
    <n v="3"/>
    <n v="94000"/>
    <n v="21000000"/>
    <n v="4.4761904761904765E-3"/>
    <n v="5"/>
  </r>
  <r>
    <s v="MCS2026"/>
    <x v="55"/>
    <x v="3"/>
    <s v="Mine production, vanadium content"/>
    <s v="ton"/>
    <n v="84000"/>
    <n v="82000"/>
    <n v="110000"/>
    <n v="0.74545454545454548"/>
    <n v="1"/>
    <n v="5800000"/>
    <n v="21000000"/>
    <n v="0.27619047619047621"/>
    <n v="2"/>
  </r>
  <r>
    <s v="MCS2026"/>
    <x v="55"/>
    <x v="13"/>
    <s v="Mine production, vanadium content"/>
    <s v="ton"/>
    <n v="21000"/>
    <n v="21000"/>
    <n v="110000"/>
    <n v="0.19090909090909092"/>
    <n v="2"/>
    <n v="5000000"/>
    <n v="21000000"/>
    <n v="0.23809523809523808"/>
    <n v="3"/>
  </r>
  <r>
    <s v="MCS2026"/>
    <x v="55"/>
    <x v="49"/>
    <s v="Mine production, vanadium content"/>
    <s v="ton"/>
    <n v="8050"/>
    <n v="5000"/>
    <n v="110000"/>
    <n v="4.5454545454545456E-2"/>
    <n v="4"/>
    <n v="520000"/>
    <n v="21000000"/>
    <n v="2.4761904761904763E-2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104CE-18D9-44E9-A35F-8C0EC301389D}" name="피벗 테이블4" cacheId="18" applyNumberFormats="0" applyBorderFormats="0" applyFontFormats="0" applyPatternFormats="0" applyAlignmentFormats="0" applyWidthHeightFormats="1" dataCaption="값" updatedVersion="8" minRefreshableVersion="3" itemPrintTitles="1" createdVersion="8" indent="0" showHeaders="0" outline="1" outlineData="1" multipleFieldFilters="0">
  <location ref="K3:O19" firstHeaderRow="0" firstDataRow="1" firstDataCol="1"/>
  <pivotFields count="14">
    <pivotField showAll="0"/>
    <pivotField showAll="0">
      <items count="6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t="default"/>
      </items>
    </pivotField>
    <pivotField axis="axisRow" showAll="0" measureFilter="1" sortType="ascending">
      <items count="107">
        <item x="101"/>
        <item x="68"/>
        <item x="39"/>
        <item x="81"/>
        <item x="0"/>
        <item x="64"/>
        <item x="70"/>
        <item x="92"/>
        <item x="17"/>
        <item x="95"/>
        <item x="1"/>
        <item x="97"/>
        <item x="21"/>
        <item x="37"/>
        <item x="102"/>
        <item x="2"/>
        <item x="40"/>
        <item x="3"/>
        <item x="79"/>
        <item x="51"/>
        <item x="62"/>
        <item x="56"/>
        <item m="1" x="105"/>
        <item x="83"/>
        <item x="98"/>
        <item x="48"/>
        <item x="57"/>
        <item x="80"/>
        <item x="86"/>
        <item x="24"/>
        <item x="63"/>
        <item x="25"/>
        <item x="93"/>
        <item x="4"/>
        <item x="26"/>
        <item x="87"/>
        <item x="22"/>
        <item x="27"/>
        <item x="5"/>
        <item x="28"/>
        <item x="96"/>
        <item x="41"/>
        <item x="59"/>
        <item x="29"/>
        <item x="18"/>
        <item x="42"/>
        <item x="6"/>
        <item x="99"/>
        <item x="100"/>
        <item x="7"/>
        <item x="8"/>
        <item x="33"/>
        <item x="74"/>
        <item x="76"/>
        <item x="72"/>
        <item x="9"/>
        <item x="61"/>
        <item x="19"/>
        <item x="34"/>
        <item x="10"/>
        <item x="44"/>
        <item x="82"/>
        <item x="58"/>
        <item x="35"/>
        <item x="65"/>
        <item x="45"/>
        <item x="69"/>
        <item x="23"/>
        <item x="11"/>
        <item x="53"/>
        <item x="20"/>
        <item x="54"/>
        <item x="46"/>
        <item x="77"/>
        <item x="84"/>
        <item x="13"/>
        <item x="36"/>
        <item x="30"/>
        <item x="88"/>
        <item x="94"/>
        <item x="103"/>
        <item x="78"/>
        <item x="49"/>
        <item x="38"/>
        <item x="31"/>
        <item x="66"/>
        <item x="73"/>
        <item x="89"/>
        <item x="14"/>
        <item x="67"/>
        <item x="60"/>
        <item x="90"/>
        <item x="85"/>
        <item x="91"/>
        <item x="12"/>
        <item x="71"/>
        <item x="32"/>
        <item x="104"/>
        <item x="43"/>
        <item x="75"/>
        <item x="15"/>
        <item x="47"/>
        <item x="16"/>
        <item x="55"/>
        <item x="50"/>
        <item x="52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showAll="0"/>
    <pivotField numFmtId="41" showAll="0"/>
    <pivotField numFmtId="41" showAll="0"/>
    <pivotField numFmtId="41" showAll="0"/>
    <pivotField showAll="0"/>
    <pivotField showAll="0"/>
    <pivotField dataField="1" numFmtId="41" showAll="0"/>
    <pivotField dataField="1" numFmtId="41" showAll="0"/>
    <pivotField dataField="1" showAll="0"/>
    <pivotField dataField="1" showAll="0"/>
  </pivotFields>
  <rowFields count="1">
    <field x="2"/>
  </rowFields>
  <rowItems count="16">
    <i>
      <x v="16"/>
    </i>
    <i>
      <x v="4"/>
    </i>
    <i>
      <x v="70"/>
    </i>
    <i>
      <x v="105"/>
    </i>
    <i>
      <x v="75"/>
    </i>
    <i>
      <x v="55"/>
    </i>
    <i>
      <x v="100"/>
    </i>
    <i>
      <x v="17"/>
    </i>
    <i>
      <x v="72"/>
    </i>
    <i>
      <x v="103"/>
    </i>
    <i>
      <x v="37"/>
    </i>
    <i>
      <x v="46"/>
    </i>
    <i>
      <x v="15"/>
    </i>
    <i>
      <x v="36"/>
    </i>
    <i>
      <x v="6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2025 광종별 가채매장량" fld="10" baseField="2" baseItem="0" numFmtId="41"/>
    <dataField name="2025 광종별 가채매장량총계(Rounded)" fld="11" baseField="2" baseItem="0" numFmtId="41"/>
    <dataField name="2025 광종별 가채매장량 국가 점유율(%)" fld="12" baseField="2" baseItem="0" numFmtId="176"/>
    <dataField name="2025 광종별 가채매장량 국가순위" fld="13" baseField="2" baseItem="4"/>
  </dataFields>
  <formats count="4">
    <format dxfId="27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7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6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68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valueGreaterThan" evalOrder="-1" id="2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F8BF2-2D2A-4B37-A271-6BF1506113E1}" name="피벗 테이블3" cacheId="18" applyNumberFormats="0" applyBorderFormats="0" applyFontFormats="0" applyPatternFormats="0" applyAlignmentFormats="0" applyWidthHeightFormats="1" dataCaption="값" updatedVersion="8" minRefreshableVersion="3" itemPrintTitles="1" createdVersion="8" indent="0" showHeaders="0" outline="1" outlineData="1" multipleFieldFilters="0">
  <location ref="D3:I19" firstHeaderRow="0" firstDataRow="1" firstDataCol="1"/>
  <pivotFields count="14">
    <pivotField showAll="0"/>
    <pivotField showAll="0">
      <items count="6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t="default"/>
      </items>
    </pivotField>
    <pivotField axis="axisRow" showAll="0" measureFilter="1" sortType="ascending">
      <items count="107">
        <item x="101"/>
        <item x="68"/>
        <item x="39"/>
        <item x="81"/>
        <item x="0"/>
        <item x="64"/>
        <item x="70"/>
        <item x="92"/>
        <item x="17"/>
        <item x="95"/>
        <item x="1"/>
        <item x="97"/>
        <item x="21"/>
        <item x="37"/>
        <item x="102"/>
        <item x="2"/>
        <item x="40"/>
        <item x="3"/>
        <item x="79"/>
        <item x="51"/>
        <item x="62"/>
        <item x="56"/>
        <item m="1" x="105"/>
        <item x="83"/>
        <item x="98"/>
        <item x="48"/>
        <item x="57"/>
        <item x="80"/>
        <item x="86"/>
        <item x="24"/>
        <item x="63"/>
        <item x="25"/>
        <item x="93"/>
        <item x="4"/>
        <item x="26"/>
        <item x="87"/>
        <item x="22"/>
        <item x="27"/>
        <item x="5"/>
        <item x="28"/>
        <item x="96"/>
        <item x="41"/>
        <item x="59"/>
        <item x="29"/>
        <item x="18"/>
        <item x="42"/>
        <item x="6"/>
        <item x="99"/>
        <item x="100"/>
        <item x="7"/>
        <item x="8"/>
        <item x="33"/>
        <item x="74"/>
        <item x="76"/>
        <item x="72"/>
        <item x="9"/>
        <item x="61"/>
        <item x="19"/>
        <item x="34"/>
        <item x="10"/>
        <item x="44"/>
        <item x="82"/>
        <item x="58"/>
        <item x="35"/>
        <item x="65"/>
        <item x="45"/>
        <item x="69"/>
        <item x="23"/>
        <item x="11"/>
        <item x="53"/>
        <item x="20"/>
        <item x="54"/>
        <item x="46"/>
        <item x="77"/>
        <item x="84"/>
        <item x="13"/>
        <item x="36"/>
        <item x="30"/>
        <item x="88"/>
        <item x="94"/>
        <item x="103"/>
        <item x="78"/>
        <item x="49"/>
        <item x="38"/>
        <item x="31"/>
        <item x="66"/>
        <item x="73"/>
        <item x="89"/>
        <item x="14"/>
        <item x="67"/>
        <item x="60"/>
        <item x="90"/>
        <item x="85"/>
        <item x="91"/>
        <item x="12"/>
        <item x="71"/>
        <item x="32"/>
        <item x="104"/>
        <item x="43"/>
        <item x="75"/>
        <item x="15"/>
        <item x="47"/>
        <item x="16"/>
        <item x="55"/>
        <item x="50"/>
        <item x="52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showAll="0"/>
    <pivotField showAll="0"/>
    <pivotField dataField="1" numFmtId="41" showAll="0"/>
    <pivotField dataField="1" numFmtId="41" showAll="0"/>
    <pivotField dataField="1" numFmtId="41" showAll="0"/>
    <pivotField dataField="1" showAll="0"/>
    <pivotField dataField="1" showAll="0"/>
    <pivotField numFmtId="41" showAll="0"/>
    <pivotField numFmtId="41" showAll="0"/>
    <pivotField showAll="0"/>
    <pivotField showAll="0"/>
  </pivotFields>
  <rowFields count="1">
    <field x="2"/>
  </rowFields>
  <rowItems count="16">
    <i>
      <x v="16"/>
    </i>
    <i>
      <x v="105"/>
    </i>
    <i>
      <x v="70"/>
    </i>
    <i>
      <x v="17"/>
    </i>
    <i>
      <x v="75"/>
    </i>
    <i>
      <x v="100"/>
    </i>
    <i>
      <x v="103"/>
    </i>
    <i>
      <x v="4"/>
    </i>
    <i>
      <x v="46"/>
    </i>
    <i>
      <x v="37"/>
    </i>
    <i>
      <x v="55"/>
    </i>
    <i>
      <x v="15"/>
    </i>
    <i>
      <x v="72"/>
    </i>
    <i>
      <x v="36"/>
    </i>
    <i>
      <x v="6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2024 생산 " fld="5" baseField="0" baseItem="34" numFmtId="177"/>
    <dataField name="2025 생산(EST.) " fld="6" baseField="0" baseItem="0" numFmtId="177"/>
    <dataField name="2025 생산(EST.) 계(Rounded) " fld="7" baseField="0" baseItem="0" numFmtId="177"/>
    <dataField name="2025 광종별 생산(EST.) 국가 점유율(%)" fld="8" baseField="2" baseItem="0" numFmtId="176"/>
    <dataField name=" 2025 광종별 생산(EST.) 국가 순위" fld="9" baseField="0" baseItem="0"/>
  </dataFields>
  <formats count="7">
    <format dxfId="27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7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7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75">
      <pivotArea outline="0" fieldPosition="0">
        <references count="1">
          <reference field="4294967294" count="1">
            <x v="2"/>
          </reference>
        </references>
      </pivotArea>
    </format>
    <format dxfId="274">
      <pivotArea outline="0" fieldPosition="0">
        <references count="1">
          <reference field="4294967294" count="1">
            <x v="3"/>
          </reference>
        </references>
      </pivotArea>
    </format>
    <format dxfId="273">
      <pivotArea collapsedLevelsAreSubtotals="1" fieldPosition="0">
        <references count="2">
          <reference field="4294967294" count="1" selected="0">
            <x v="0"/>
          </reference>
          <reference field="2" count="1">
            <x v="34"/>
          </reference>
        </references>
      </pivotArea>
    </format>
    <format dxfId="27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62821-86C7-4A50-983A-B6DEE8AC8E5B}" name="피벗 테이블1" cacheId="23" applyNumberFormats="0" applyBorderFormats="0" applyFontFormats="0" applyPatternFormats="0" applyAlignmentFormats="0" applyWidthHeightFormats="1" dataCaption="값" showError="1" updatedVersion="8" minRefreshableVersion="3" itemPrintTitles="1" createdVersion="8" indent="0" showHeaders="0" outline="1" outlineData="1" multipleFieldFilters="0">
  <location ref="C3:H31" firstHeaderRow="0" firstDataRow="1" firstDataCol="1"/>
  <pivotFields count="14">
    <pivotField showAll="0"/>
    <pivotField axis="axisRow" showAll="0" measureFilter="1" sortType="ascending">
      <items count="65">
        <item m="1" x="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m="1" x="5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m="1" x="58"/>
        <item x="54"/>
        <item x="55"/>
        <item m="1" x="59"/>
        <item m="1" x="60"/>
        <item m="1" x="61"/>
        <item m="1" x="62"/>
        <item m="1" x="63"/>
        <item x="52"/>
        <item x="53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showAll="0">
      <items count="106">
        <item h="1" x="101"/>
        <item h="1" x="68"/>
        <item h="1" x="39"/>
        <item h="1" x="81"/>
        <item x="0"/>
        <item h="1" x="64"/>
        <item h="1" x="70"/>
        <item h="1" x="92"/>
        <item h="1" x="17"/>
        <item h="1" x="95"/>
        <item h="1" x="1"/>
        <item h="1" x="97"/>
        <item h="1" x="21"/>
        <item h="1" x="37"/>
        <item h="1" x="102"/>
        <item h="1" x="2"/>
        <item h="1" x="40"/>
        <item h="1" x="3"/>
        <item h="1" x="79"/>
        <item h="1" x="51"/>
        <item h="1" x="62"/>
        <item h="1" x="56"/>
        <item h="1" m="1" x="104"/>
        <item h="1" x="52"/>
        <item h="1" x="83"/>
        <item h="1" x="98"/>
        <item h="1" x="48"/>
        <item h="1" x="57"/>
        <item h="1" x="80"/>
        <item h="1" x="86"/>
        <item h="1" x="24"/>
        <item h="1" x="63"/>
        <item h="1" x="25"/>
        <item h="1" x="93"/>
        <item h="1" x="4"/>
        <item h="1" x="26"/>
        <item h="1" x="87"/>
        <item h="1" x="22"/>
        <item h="1" x="27"/>
        <item h="1" x="5"/>
        <item h="1" x="28"/>
        <item h="1" x="96"/>
        <item h="1" x="41"/>
        <item h="1" x="59"/>
        <item h="1" x="29"/>
        <item h="1" x="18"/>
        <item h="1" x="42"/>
        <item h="1" x="6"/>
        <item h="1" x="99"/>
        <item h="1" x="100"/>
        <item h="1" x="7"/>
        <item h="1" x="8"/>
        <item h="1" x="33"/>
        <item h="1" x="74"/>
        <item h="1" x="76"/>
        <item h="1" x="72"/>
        <item h="1" x="9"/>
        <item h="1" x="61"/>
        <item h="1" x="19"/>
        <item h="1" x="34"/>
        <item h="1" x="10"/>
        <item h="1" x="44"/>
        <item h="1" x="82"/>
        <item h="1" x="58"/>
        <item h="1" x="35"/>
        <item h="1" x="65"/>
        <item h="1" x="45"/>
        <item h="1" x="69"/>
        <item h="1" x="23"/>
        <item h="1" x="11"/>
        <item h="1" x="53"/>
        <item h="1" x="20"/>
        <item h="1" x="54"/>
        <item h="1" x="46"/>
        <item h="1" x="77"/>
        <item h="1" x="84"/>
        <item h="1" x="13"/>
        <item h="1" x="36"/>
        <item h="1" x="30"/>
        <item h="1" x="88"/>
        <item h="1" x="94"/>
        <item h="1" x="103"/>
        <item h="1" x="78"/>
        <item h="1" x="49"/>
        <item h="1" x="38"/>
        <item h="1" x="31"/>
        <item h="1" x="66"/>
        <item h="1" x="73"/>
        <item h="1" x="89"/>
        <item h="1" x="14"/>
        <item h="1" x="67"/>
        <item h="1" x="60"/>
        <item h="1" x="90"/>
        <item h="1" x="85"/>
        <item h="1" x="91"/>
        <item h="1" x="12"/>
        <item h="1" x="71"/>
        <item h="1" x="32"/>
        <item h="1" x="43"/>
        <item h="1" x="75"/>
        <item h="1" x="15"/>
        <item h="1" x="47"/>
        <item h="1" x="16"/>
        <item h="1" x="55"/>
        <item h="1" x="50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1"/>
  </rowFields>
  <rowItems count="28">
    <i>
      <x v="18"/>
    </i>
    <i>
      <x v="63"/>
    </i>
    <i>
      <x v="25"/>
    </i>
    <i>
      <x v="29"/>
    </i>
    <i>
      <x v="5"/>
    </i>
    <i>
      <x v="27"/>
    </i>
    <i>
      <x v="20"/>
    </i>
    <i>
      <x v="42"/>
    </i>
    <i>
      <x v="31"/>
    </i>
    <i>
      <x v="62"/>
    </i>
    <i>
      <x v="12"/>
    </i>
    <i>
      <x v="51"/>
    </i>
    <i>
      <x v="30"/>
    </i>
    <i>
      <x v="1"/>
    </i>
    <i>
      <x v="53"/>
    </i>
    <i>
      <x v="10"/>
    </i>
    <i>
      <x v="13"/>
    </i>
    <i>
      <x v="55"/>
    </i>
    <i>
      <x v="34"/>
    </i>
    <i>
      <x v="46"/>
    </i>
    <i>
      <x v="45"/>
    </i>
    <i>
      <x v="39"/>
    </i>
    <i>
      <x v="28"/>
    </i>
    <i>
      <x v="33"/>
    </i>
    <i>
      <x v="22"/>
    </i>
    <i>
      <x v="49"/>
    </i>
    <i>
      <x v="3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2024 생산  " fld="5" baseField="1" baseItem="2" numFmtId="177"/>
    <dataField name="2025 생산(EST.) " fld="6" baseField="1" baseItem="1" numFmtId="177"/>
    <dataField name="2025 생산(EST.) 계(Rounded) " fld="7" baseField="1" baseItem="1" numFmtId="177"/>
    <dataField name="2025 광종별 생산(EST.) 국가 점유율(%)" fld="8" subtotal="average" baseField="1" baseItem="1" numFmtId="176"/>
    <dataField name="2025 광종별 생산(EST.) 국가 순위" fld="9" baseField="1" baseItem="2"/>
  </dataFields>
  <formats count="6">
    <format dxfId="25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5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5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55">
      <pivotArea outline="0" fieldPosition="0">
        <references count="1">
          <reference field="4294967294" count="1">
            <x v="2"/>
          </reference>
        </references>
      </pivotArea>
    </format>
    <format dxfId="254">
      <pivotArea outline="0" fieldPosition="0">
        <references count="1">
          <reference field="4294967294" count="1">
            <x v="3"/>
          </reference>
        </references>
      </pivotArea>
    </format>
    <format dxfId="25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FFFAC-AEB1-496F-BC3B-9DA85DE096C3}" name="피벗 테이블2" cacheId="23" applyNumberFormats="0" applyBorderFormats="0" applyFontFormats="0" applyPatternFormats="0" applyAlignmentFormats="0" applyWidthHeightFormats="1" dataCaption="값" showError="1" showMissing="0" updatedVersion="8" minRefreshableVersion="3" itemPrintTitles="1" createdVersion="8" indent="0" showHeaders="0" outline="1" outlineData="1" multipleFieldFilters="0">
  <location ref="J3:N25" firstHeaderRow="0" firstDataRow="1" firstDataCol="1"/>
  <pivotFields count="14">
    <pivotField showAll="0"/>
    <pivotField axis="axisRow" showAll="0" measureFilter="1" sortType="ascending">
      <items count="65">
        <item m="1" x="57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m="1" x="56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24"/>
        <item x="46"/>
        <item x="47"/>
        <item x="48"/>
        <item x="49"/>
        <item x="50"/>
        <item x="51"/>
        <item m="1" x="58"/>
        <item x="54"/>
        <item x="55"/>
        <item m="1" x="59"/>
        <item m="1" x="60"/>
        <item m="1" x="61"/>
        <item m="1" x="62"/>
        <item m="1" x="63"/>
        <item x="52"/>
        <item x="53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>
      <items count="106">
        <item h="1" x="101"/>
        <item h="1" x="68"/>
        <item h="1" x="39"/>
        <item h="1" x="81"/>
        <item x="0"/>
        <item h="1" x="64"/>
        <item h="1" x="70"/>
        <item h="1" x="92"/>
        <item h="1" x="17"/>
        <item h="1" x="95"/>
        <item h="1" x="1"/>
        <item h="1" x="97"/>
        <item h="1" x="21"/>
        <item h="1" x="37"/>
        <item h="1" x="102"/>
        <item h="1" x="2"/>
        <item h="1" x="40"/>
        <item h="1" x="3"/>
        <item h="1" x="79"/>
        <item h="1" x="51"/>
        <item h="1" x="62"/>
        <item h="1" x="56"/>
        <item h="1" m="1" x="104"/>
        <item h="1" x="52"/>
        <item h="1" x="83"/>
        <item h="1" x="98"/>
        <item h="1" x="48"/>
        <item h="1" x="57"/>
        <item h="1" x="80"/>
        <item h="1" x="86"/>
        <item h="1" x="24"/>
        <item h="1" x="63"/>
        <item h="1" x="25"/>
        <item h="1" x="93"/>
        <item h="1" x="4"/>
        <item h="1" x="26"/>
        <item h="1" x="87"/>
        <item h="1" x="22"/>
        <item h="1" x="27"/>
        <item h="1" x="5"/>
        <item h="1" x="28"/>
        <item h="1" x="96"/>
        <item h="1" x="41"/>
        <item h="1" x="59"/>
        <item h="1" x="29"/>
        <item h="1" x="18"/>
        <item h="1" x="42"/>
        <item h="1" x="6"/>
        <item h="1" x="99"/>
        <item h="1" x="100"/>
        <item h="1" x="7"/>
        <item h="1" x="8"/>
        <item h="1" x="33"/>
        <item h="1" x="74"/>
        <item h="1" x="76"/>
        <item h="1" x="72"/>
        <item h="1" x="9"/>
        <item h="1" x="61"/>
        <item h="1" x="19"/>
        <item h="1" x="34"/>
        <item h="1" x="10"/>
        <item h="1" x="44"/>
        <item h="1" x="82"/>
        <item h="1" x="58"/>
        <item h="1" x="35"/>
        <item h="1" x="65"/>
        <item h="1" x="45"/>
        <item h="1" x="69"/>
        <item h="1" x="23"/>
        <item h="1" x="11"/>
        <item h="1" x="53"/>
        <item h="1" x="20"/>
        <item h="1" x="54"/>
        <item h="1" x="46"/>
        <item h="1" x="77"/>
        <item h="1" x="84"/>
        <item h="1" x="13"/>
        <item h="1" x="36"/>
        <item h="1" x="30"/>
        <item h="1" x="88"/>
        <item h="1" x="94"/>
        <item h="1" x="103"/>
        <item h="1" x="78"/>
        <item h="1" x="49"/>
        <item h="1" x="38"/>
        <item h="1" x="31"/>
        <item h="1" x="66"/>
        <item h="1" x="73"/>
        <item h="1" x="89"/>
        <item h="1" x="14"/>
        <item h="1" x="67"/>
        <item h="1" x="60"/>
        <item h="1" x="90"/>
        <item h="1" x="85"/>
        <item h="1" x="91"/>
        <item h="1" x="12"/>
        <item h="1" x="71"/>
        <item h="1" x="32"/>
        <item h="1" x="43"/>
        <item h="1" x="75"/>
        <item h="1" x="15"/>
        <item h="1" x="47"/>
        <item h="1" x="16"/>
        <item h="1" x="55"/>
        <item h="1" x="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22">
    <i>
      <x v="26"/>
    </i>
    <i>
      <x v="56"/>
    </i>
    <i>
      <x v="62"/>
    </i>
    <i>
      <x v="25"/>
    </i>
    <i>
      <x v="63"/>
    </i>
    <i>
      <x v="20"/>
    </i>
    <i>
      <x v="30"/>
    </i>
    <i>
      <x v="28"/>
    </i>
    <i>
      <x v="33"/>
    </i>
    <i>
      <x v="12"/>
    </i>
    <i>
      <x v="13"/>
    </i>
    <i>
      <x v="51"/>
    </i>
    <i>
      <x v="5"/>
    </i>
    <i>
      <x v="55"/>
    </i>
    <i>
      <x v="41"/>
    </i>
    <i>
      <x v="45"/>
    </i>
    <i>
      <x v="29"/>
    </i>
    <i>
      <x v="53"/>
    </i>
    <i>
      <x v="32"/>
    </i>
    <i>
      <x v="2"/>
    </i>
    <i>
      <x v="3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2025 광종별 가채매장량" fld="10" baseField="1" baseItem="29" numFmtId="177"/>
    <dataField name="2025 광종별 가채매장량총계(Rounded)" fld="11" baseField="1" baseItem="29" numFmtId="177"/>
    <dataField name="2025 광종별 가채매장량 국가 점유율(%)" fld="12" baseField="1" baseItem="0" numFmtId="176"/>
    <dataField name="2025 광종별 가채매장량  국가 순위" fld="13" baseField="1" baseItem="8"/>
  </dataFields>
  <formats count="9">
    <format dxfId="26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66">
      <pivotArea type="all" dataOnly="0" outline="0" fieldPosition="0"/>
    </format>
    <format dxfId="265">
      <pivotArea outline="0" collapsedLevelsAreSubtotals="1" fieldPosition="0"/>
    </format>
    <format dxfId="264">
      <pivotArea dataOnly="0" labelOnly="1" fieldPosition="0">
        <references count="1">
          <reference field="1" count="10">
            <x v="8"/>
            <x v="13"/>
            <x v="24"/>
            <x v="25"/>
            <x v="28"/>
            <x v="32"/>
            <x v="40"/>
            <x v="42"/>
            <x v="45"/>
            <x v="49"/>
          </reference>
        </references>
      </pivotArea>
    </format>
    <format dxfId="263">
      <pivotArea dataOnly="0" labelOnly="1" grandRow="1" outline="0" fieldPosition="0"/>
    </format>
    <format dxfId="262">
      <pivotArea outline="0" fieldPosition="0">
        <references count="1">
          <reference field="4294967294" count="1">
            <x v="0"/>
          </reference>
        </references>
      </pivotArea>
    </format>
    <format dxfId="261">
      <pivotArea outline="0" fieldPosition="0">
        <references count="1">
          <reference field="4294967294" count="1">
            <x v="1"/>
          </reference>
        </references>
      </pivotArea>
    </format>
    <format dxfId="26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59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valueGreaterThan" evalOrder="-1" id="2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COUNTRY2" xr10:uid="{F785F546-A182-4B1E-AFAB-D6BE26BCF9BB}" sourceName="COUNTRY">
  <pivotTables>
    <pivotTable tabId="3" name="피벗 테이블1"/>
    <pivotTable tabId="3" name="피벗 테이블2"/>
  </pivotTables>
  <data>
    <tabular pivotCacheId="100341972">
      <items count="105">
        <i x="101"/>
        <i x="68"/>
        <i x="39"/>
        <i x="81"/>
        <i x="0" s="1"/>
        <i x="64"/>
        <i x="70"/>
        <i x="92"/>
        <i x="17"/>
        <i x="95"/>
        <i x="1"/>
        <i x="97"/>
        <i x="21"/>
        <i x="37"/>
        <i x="102"/>
        <i x="2"/>
        <i x="40"/>
        <i x="3"/>
        <i x="79"/>
        <i x="51"/>
        <i x="62"/>
        <i x="56"/>
        <i x="52"/>
        <i x="83"/>
        <i x="98"/>
        <i x="48"/>
        <i x="57"/>
        <i x="80"/>
        <i x="86"/>
        <i x="24"/>
        <i x="63"/>
        <i x="25"/>
        <i x="93"/>
        <i x="4"/>
        <i x="26"/>
        <i x="87"/>
        <i x="22"/>
        <i x="27"/>
        <i x="5"/>
        <i x="28"/>
        <i x="96"/>
        <i x="41"/>
        <i x="59"/>
        <i x="29"/>
        <i x="18"/>
        <i x="42"/>
        <i x="6"/>
        <i x="99"/>
        <i x="100"/>
        <i x="7"/>
        <i x="8"/>
        <i x="33"/>
        <i x="74"/>
        <i x="76"/>
        <i x="72"/>
        <i x="9"/>
        <i x="61"/>
        <i x="19"/>
        <i x="34"/>
        <i x="10"/>
        <i x="44"/>
        <i x="82"/>
        <i x="58"/>
        <i x="35"/>
        <i x="65"/>
        <i x="45"/>
        <i x="69"/>
        <i x="23"/>
        <i x="11"/>
        <i x="53"/>
        <i x="20"/>
        <i x="54"/>
        <i x="46"/>
        <i x="77"/>
        <i x="84"/>
        <i x="13"/>
        <i x="36"/>
        <i x="30"/>
        <i x="88"/>
        <i x="94"/>
        <i x="103"/>
        <i x="78"/>
        <i x="49"/>
        <i x="38"/>
        <i x="31"/>
        <i x="66"/>
        <i x="73"/>
        <i x="89"/>
        <i x="14"/>
        <i x="67"/>
        <i x="60"/>
        <i x="90"/>
        <i x="85"/>
        <i x="91"/>
        <i x="12"/>
        <i x="71"/>
        <i x="32"/>
        <i x="43"/>
        <i x="75"/>
        <i x="15"/>
        <i x="47"/>
        <i x="16"/>
        <i x="55"/>
        <i x="50"/>
        <i x="10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COMMODITY1" xr10:uid="{7575E015-E305-4BD0-BFF4-5B8CA982DB68}" sourceName="COMMODITY">
  <pivotTables>
    <pivotTable tabId="5" name="피벗 테이블3"/>
    <pivotTable tabId="5" name="피벗 테이블4"/>
  </pivotTables>
  <data>
    <tabular pivotCacheId="1566137709">
      <items count="61">
        <i x="0"/>
        <i x="1"/>
        <i x="2"/>
        <i x="3"/>
        <i x="4"/>
        <i x="5"/>
        <i x="6"/>
        <i x="7"/>
        <i x="8"/>
        <i x="9"/>
        <i x="10"/>
        <i x="11"/>
        <i x="12" s="1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2"/>
        <i x="33"/>
        <i x="34"/>
        <i x="35"/>
        <i x="36"/>
        <i x="37"/>
        <i x="38"/>
        <i x="39"/>
        <i x="40"/>
        <i x="41"/>
        <i x="42"/>
        <i x="43"/>
        <i x="44"/>
        <i x="45"/>
        <i x="46"/>
        <i x="47"/>
        <i x="48"/>
        <i x="49"/>
        <i x="50"/>
        <i x="51"/>
        <i x="52"/>
        <i x="53"/>
        <i x="54"/>
        <i x="55"/>
        <i x="56"/>
        <i x="57"/>
        <i x="58"/>
        <i x="59"/>
        <i x="6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MODITY" xr10:uid="{637265BD-9A57-474B-B16A-67C54570C995}" cache="슬라이서_COMMODITY1" caption="COMMODITY" columnCount="4" rowHeight="2730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CBB6491E-213E-4296-925E-D7EAFC3B101D}" cache="슬라이서_COUNTRY2" caption="COUNTRY" columnCount="4" rowHeight="2730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1:H822">
  <tableColumns count="8">
    <tableColumn id="1" xr3:uid="{00000000-0010-0000-0000-000001000000}" name="SOURCE"/>
    <tableColumn id="2" xr3:uid="{00000000-0010-0000-0000-000002000000}" name="COMMODITY"/>
    <tableColumn id="3" xr3:uid="{00000000-0010-0000-0000-000003000000}" name="COUNTRY"/>
    <tableColumn id="4" xr3:uid="{00000000-0010-0000-0000-000004000000}" name="TYPE"/>
    <tableColumn id="5" xr3:uid="{00000000-0010-0000-0000-000005000000}" name="UNIT_MEAS"/>
    <tableColumn id="6" xr3:uid="{00000000-0010-0000-0000-000006000000}" name="PROD_2024" dataCellStyle="쉼표 [0]"/>
    <tableColumn id="7" xr3:uid="{00000000-0010-0000-0000-000007000000}" name="PROD_EST_ 2025" dataCellStyle="쉼표 [0]"/>
    <tableColumn id="8" xr3:uid="{00000000-0010-0000-0000-000008000000}" name="RESERVES_2025" dataCellStyle="쉼표 [0]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microsoft.com/office/2007/relationships/slicer" Target="../slicers/slicer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C46CF-F9BB-425F-9904-F6EE83C513D4}">
  <dimension ref="A1:O30"/>
  <sheetViews>
    <sheetView tabSelected="1" workbookViewId="0"/>
  </sheetViews>
  <sheetFormatPr defaultRowHeight="16.5" x14ac:dyDescent="0.3"/>
  <cols>
    <col min="1" max="1" width="9" style="4"/>
    <col min="2" max="2" width="49.625" style="4" customWidth="1"/>
    <col min="3" max="3" width="9" style="4"/>
    <col min="4" max="4" width="14.625" customWidth="1"/>
    <col min="5" max="5" width="11.875" customWidth="1"/>
    <col min="6" max="6" width="16.375" customWidth="1"/>
    <col min="7" max="7" width="18.875" bestFit="1" customWidth="1"/>
    <col min="8" max="8" width="21.75" customWidth="1"/>
    <col min="9" max="9" width="19.75" customWidth="1"/>
    <col min="11" max="11" width="17" customWidth="1"/>
    <col min="12" max="12" width="16.875" customWidth="1"/>
    <col min="13" max="14" width="23.125" customWidth="1"/>
    <col min="15" max="15" width="21.625" customWidth="1"/>
    <col min="16" max="16" width="9.125" bestFit="1" customWidth="1"/>
  </cols>
  <sheetData>
    <row r="1" spans="4:15" s="4" customFormat="1" x14ac:dyDescent="0.3"/>
    <row r="2" spans="4:15" s="4" customFormat="1" x14ac:dyDescent="0.3"/>
    <row r="3" spans="4:15" ht="33" x14ac:dyDescent="0.3">
      <c r="E3" s="2" t="s">
        <v>280</v>
      </c>
      <c r="F3" s="2" t="s">
        <v>224</v>
      </c>
      <c r="G3" s="2" t="s">
        <v>225</v>
      </c>
      <c r="H3" s="2" t="s">
        <v>226</v>
      </c>
      <c r="I3" s="2" t="s">
        <v>281</v>
      </c>
      <c r="L3" s="2" t="s">
        <v>276</v>
      </c>
      <c r="M3" s="2" t="s">
        <v>277</v>
      </c>
      <c r="N3" s="2" t="s">
        <v>278</v>
      </c>
      <c r="O3" s="2" t="s">
        <v>282</v>
      </c>
    </row>
    <row r="4" spans="4:15" x14ac:dyDescent="0.3">
      <c r="D4" s="3" t="s">
        <v>71</v>
      </c>
      <c r="E4" s="8">
        <v>5510</v>
      </c>
      <c r="F4" s="8">
        <v>5300</v>
      </c>
      <c r="G4" s="8">
        <v>23000</v>
      </c>
      <c r="H4" s="9">
        <v>0.23043478260869565</v>
      </c>
      <c r="I4" s="17">
        <v>1</v>
      </c>
      <c r="K4" s="3" t="s">
        <v>71</v>
      </c>
      <c r="L4" s="10">
        <v>180000</v>
      </c>
      <c r="M4" s="10">
        <v>980000</v>
      </c>
      <c r="N4" s="9">
        <v>0.18367346938775511</v>
      </c>
      <c r="O4" s="17">
        <v>1</v>
      </c>
    </row>
    <row r="5" spans="4:15" x14ac:dyDescent="0.3">
      <c r="D5" s="3" t="s">
        <v>287</v>
      </c>
      <c r="E5" s="8">
        <v>2990</v>
      </c>
      <c r="F5" s="8">
        <v>3200</v>
      </c>
      <c r="G5" s="8">
        <v>23000</v>
      </c>
      <c r="H5" s="9">
        <v>0.1391304347826087</v>
      </c>
      <c r="I5" s="17">
        <v>2</v>
      </c>
      <c r="K5" s="3" t="s">
        <v>22</v>
      </c>
      <c r="L5" s="10">
        <v>100000</v>
      </c>
      <c r="M5" s="10">
        <v>980000</v>
      </c>
      <c r="N5" s="9">
        <v>0.10204081632653061</v>
      </c>
      <c r="O5" s="17">
        <v>2</v>
      </c>
    </row>
    <row r="6" spans="4:15" x14ac:dyDescent="0.3">
      <c r="D6" s="3" t="s">
        <v>41</v>
      </c>
      <c r="E6" s="8">
        <v>2740</v>
      </c>
      <c r="F6" s="8">
        <v>2700</v>
      </c>
      <c r="G6" s="8">
        <v>23000</v>
      </c>
      <c r="H6" s="9">
        <v>0.11739130434782609</v>
      </c>
      <c r="I6" s="17">
        <v>3</v>
      </c>
      <c r="K6" s="3" t="s">
        <v>41</v>
      </c>
      <c r="L6" s="10">
        <v>85000</v>
      </c>
      <c r="M6" s="10">
        <v>980000</v>
      </c>
      <c r="N6" s="9">
        <v>8.673469387755102E-2</v>
      </c>
      <c r="O6" s="17">
        <v>3</v>
      </c>
    </row>
    <row r="7" spans="4:15" x14ac:dyDescent="0.3">
      <c r="D7" s="3" t="s">
        <v>25</v>
      </c>
      <c r="E7" s="8">
        <v>1840</v>
      </c>
      <c r="F7" s="8">
        <v>1800</v>
      </c>
      <c r="G7" s="8">
        <v>23000</v>
      </c>
      <c r="H7" s="9">
        <v>7.8260869565217397E-2</v>
      </c>
      <c r="I7" s="17">
        <v>4</v>
      </c>
      <c r="K7" s="3" t="s">
        <v>287</v>
      </c>
      <c r="L7" s="10">
        <v>80000</v>
      </c>
      <c r="M7" s="10">
        <v>980000</v>
      </c>
      <c r="N7" s="9">
        <v>8.1632653061224483E-2</v>
      </c>
      <c r="O7" s="17">
        <v>4</v>
      </c>
    </row>
    <row r="8" spans="4:15" x14ac:dyDescent="0.3">
      <c r="D8" s="3" t="s">
        <v>32</v>
      </c>
      <c r="E8" s="8">
        <v>1020</v>
      </c>
      <c r="F8" s="8">
        <v>1300</v>
      </c>
      <c r="G8" s="8">
        <v>23000</v>
      </c>
      <c r="H8" s="9">
        <v>5.6521739130434782E-2</v>
      </c>
      <c r="I8" s="17">
        <v>5</v>
      </c>
      <c r="K8" s="3" t="s">
        <v>32</v>
      </c>
      <c r="L8" s="10">
        <v>80000</v>
      </c>
      <c r="M8" s="10">
        <v>980000</v>
      </c>
      <c r="N8" s="9">
        <v>8.1632653061224483E-2</v>
      </c>
      <c r="O8" s="17">
        <v>4</v>
      </c>
    </row>
    <row r="9" spans="4:15" x14ac:dyDescent="0.3">
      <c r="D9" s="3" t="s">
        <v>19</v>
      </c>
      <c r="E9" s="8">
        <v>1050</v>
      </c>
      <c r="F9" s="8">
        <v>1000</v>
      </c>
      <c r="G9" s="8">
        <v>23000</v>
      </c>
      <c r="H9" s="9">
        <v>4.3478260869565216E-2</v>
      </c>
      <c r="I9" s="17">
        <v>6</v>
      </c>
      <c r="K9" s="3" t="s">
        <v>30</v>
      </c>
      <c r="L9" s="10">
        <v>53000</v>
      </c>
      <c r="M9" s="10">
        <v>980000</v>
      </c>
      <c r="N9" s="9">
        <v>5.4081632653061228E-2</v>
      </c>
      <c r="O9" s="17">
        <v>6</v>
      </c>
    </row>
    <row r="10" spans="4:15" x14ac:dyDescent="0.3">
      <c r="D10" s="3" t="s">
        <v>97</v>
      </c>
      <c r="E10" s="8">
        <v>823</v>
      </c>
      <c r="F10" s="8">
        <v>940</v>
      </c>
      <c r="G10" s="8">
        <v>23000</v>
      </c>
      <c r="H10" s="9">
        <v>4.0869565217391303E-2</v>
      </c>
      <c r="I10" s="17">
        <v>7</v>
      </c>
      <c r="K10" s="3" t="s">
        <v>19</v>
      </c>
      <c r="L10" s="10">
        <v>47000</v>
      </c>
      <c r="M10" s="10">
        <v>980000</v>
      </c>
      <c r="N10" s="9">
        <v>4.7959183673469387E-2</v>
      </c>
      <c r="O10" s="17">
        <v>7</v>
      </c>
    </row>
    <row r="11" spans="4:15" x14ac:dyDescent="0.3">
      <c r="D11" s="3" t="s">
        <v>22</v>
      </c>
      <c r="E11" s="8">
        <v>765</v>
      </c>
      <c r="F11" s="8">
        <v>730</v>
      </c>
      <c r="G11" s="8">
        <v>23000</v>
      </c>
      <c r="H11" s="9">
        <v>3.173913043478261E-2</v>
      </c>
      <c r="I11" s="17">
        <v>8</v>
      </c>
      <c r="K11" s="3" t="s">
        <v>25</v>
      </c>
      <c r="L11" s="10">
        <v>41000</v>
      </c>
      <c r="M11" s="10">
        <v>980000</v>
      </c>
      <c r="N11" s="9">
        <v>4.1836734693877553E-2</v>
      </c>
      <c r="O11" s="17">
        <v>8</v>
      </c>
    </row>
    <row r="12" spans="4:15" x14ac:dyDescent="0.3">
      <c r="D12" s="3" t="s">
        <v>28</v>
      </c>
      <c r="E12" s="8">
        <v>724</v>
      </c>
      <c r="F12" s="8">
        <v>710</v>
      </c>
      <c r="G12" s="8">
        <v>23000</v>
      </c>
      <c r="H12" s="9">
        <v>3.0869565217391304E-2</v>
      </c>
      <c r="I12" s="17">
        <v>9</v>
      </c>
      <c r="K12" s="3" t="s">
        <v>82</v>
      </c>
      <c r="L12" s="10">
        <v>33000</v>
      </c>
      <c r="M12" s="10">
        <v>980000</v>
      </c>
      <c r="N12" s="9">
        <v>3.3673469387755103E-2</v>
      </c>
      <c r="O12" s="17">
        <v>9</v>
      </c>
    </row>
    <row r="13" spans="4:15" x14ac:dyDescent="0.3">
      <c r="D13" s="3" t="s">
        <v>55</v>
      </c>
      <c r="E13" s="8">
        <v>1010</v>
      </c>
      <c r="F13" s="8">
        <v>710</v>
      </c>
      <c r="G13" s="8">
        <v>23000</v>
      </c>
      <c r="H13" s="9">
        <v>3.0869565217391304E-2</v>
      </c>
      <c r="I13" s="17">
        <v>9</v>
      </c>
      <c r="K13" s="3" t="s">
        <v>97</v>
      </c>
      <c r="L13" s="10">
        <v>21000</v>
      </c>
      <c r="M13" s="10">
        <v>980000</v>
      </c>
      <c r="N13" s="9">
        <v>2.1428571428571429E-2</v>
      </c>
      <c r="O13" s="17">
        <v>10</v>
      </c>
    </row>
    <row r="14" spans="4:15" x14ac:dyDescent="0.3">
      <c r="D14" s="3" t="s">
        <v>30</v>
      </c>
      <c r="E14" s="8">
        <v>717</v>
      </c>
      <c r="F14" s="8">
        <v>690</v>
      </c>
      <c r="G14" s="8">
        <v>23000</v>
      </c>
      <c r="H14" s="9">
        <v>0.03</v>
      </c>
      <c r="I14" s="17">
        <v>11</v>
      </c>
      <c r="K14" s="3" t="s">
        <v>55</v>
      </c>
      <c r="L14" s="10">
        <v>21000</v>
      </c>
      <c r="M14" s="10">
        <v>980000</v>
      </c>
      <c r="N14" s="9">
        <v>2.1428571428571429E-2</v>
      </c>
      <c r="O14" s="17">
        <v>10</v>
      </c>
    </row>
    <row r="15" spans="4:15" x14ac:dyDescent="0.3">
      <c r="D15" s="3" t="s">
        <v>220</v>
      </c>
      <c r="E15" s="8">
        <v>515</v>
      </c>
      <c r="F15" s="8">
        <v>500</v>
      </c>
      <c r="G15" s="8">
        <v>23000</v>
      </c>
      <c r="H15" s="9">
        <v>2.1739130434782608E-2</v>
      </c>
      <c r="I15" s="17">
        <v>12</v>
      </c>
      <c r="K15" s="3" t="s">
        <v>28</v>
      </c>
      <c r="L15" s="10">
        <v>20000</v>
      </c>
      <c r="M15" s="10">
        <v>980000</v>
      </c>
      <c r="N15" s="9">
        <v>2.0408163265306121E-2</v>
      </c>
      <c r="O15" s="17">
        <v>12</v>
      </c>
    </row>
    <row r="16" spans="4:15" x14ac:dyDescent="0.3">
      <c r="D16" s="3" t="s">
        <v>82</v>
      </c>
      <c r="E16" s="8">
        <v>400</v>
      </c>
      <c r="F16" s="8">
        <v>410</v>
      </c>
      <c r="G16" s="8">
        <v>23000</v>
      </c>
      <c r="H16" s="9">
        <v>1.7826086956521738E-2</v>
      </c>
      <c r="I16" s="17">
        <v>13</v>
      </c>
      <c r="K16" s="3" t="s">
        <v>220</v>
      </c>
      <c r="L16" s="10">
        <v>7000</v>
      </c>
      <c r="M16" s="10">
        <v>980000</v>
      </c>
      <c r="N16" s="9">
        <v>7.1428571428571426E-3</v>
      </c>
      <c r="O16" s="17">
        <v>13</v>
      </c>
    </row>
    <row r="17" spans="4:15" x14ac:dyDescent="0.3">
      <c r="D17" s="3" t="s">
        <v>48</v>
      </c>
      <c r="E17" s="8">
        <v>27</v>
      </c>
      <c r="F17" s="8">
        <v>23</v>
      </c>
      <c r="G17" s="8">
        <v>23000</v>
      </c>
      <c r="H17" s="9">
        <v>1E-3</v>
      </c>
      <c r="I17" s="17">
        <v>14</v>
      </c>
      <c r="K17" s="3" t="s">
        <v>48</v>
      </c>
      <c r="L17" s="10">
        <v>2200</v>
      </c>
      <c r="M17" s="10">
        <v>980000</v>
      </c>
      <c r="N17" s="9">
        <v>2.2448979591836735E-3</v>
      </c>
      <c r="O17" s="17">
        <v>14</v>
      </c>
    </row>
    <row r="18" spans="4:15" x14ac:dyDescent="0.3">
      <c r="D18" s="3" t="s">
        <v>49</v>
      </c>
      <c r="E18" s="8">
        <v>2850</v>
      </c>
      <c r="F18" s="8">
        <v>3000</v>
      </c>
      <c r="G18" s="8">
        <v>23000</v>
      </c>
      <c r="H18" s="9">
        <v>0.13043478260869565</v>
      </c>
      <c r="I18" s="17">
        <v>18</v>
      </c>
      <c r="K18" s="3" t="s">
        <v>49</v>
      </c>
      <c r="L18" s="10">
        <v>210000</v>
      </c>
      <c r="M18" s="10">
        <v>980000</v>
      </c>
      <c r="N18" s="9">
        <v>0.21428571428571427</v>
      </c>
      <c r="O18" s="17">
        <v>18</v>
      </c>
    </row>
    <row r="19" spans="4:15" x14ac:dyDescent="0.3">
      <c r="D19" s="3" t="s">
        <v>222</v>
      </c>
      <c r="E19" s="8">
        <v>22981</v>
      </c>
      <c r="F19" s="8">
        <v>23013</v>
      </c>
      <c r="G19" s="8">
        <v>345000</v>
      </c>
      <c r="H19" s="9">
        <v>1.0005652173913044</v>
      </c>
      <c r="I19" s="17">
        <v>122</v>
      </c>
      <c r="K19" s="3" t="s">
        <v>222</v>
      </c>
      <c r="L19" s="10">
        <v>980200</v>
      </c>
      <c r="M19" s="10">
        <v>14700000</v>
      </c>
      <c r="N19" s="9">
        <v>1.0002040816326532</v>
      </c>
      <c r="O19" s="17">
        <v>121</v>
      </c>
    </row>
    <row r="30" spans="4:15" ht="15" customHeight="1" x14ac:dyDescent="0.3"/>
  </sheetData>
  <phoneticPr fontId="4" type="noConversion"/>
  <pageMargins left="0.7" right="0.7" top="0.75" bottom="0.75" header="0.3" footer="0.3"/>
  <customProperties>
    <customPr name="GUID" r:id="rId3"/>
  </customProperties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3158-2EAD-4A6E-92D7-87706916D043}">
  <dimension ref="A1:N48"/>
  <sheetViews>
    <sheetView workbookViewId="0"/>
  </sheetViews>
  <sheetFormatPr defaultRowHeight="16.5" x14ac:dyDescent="0.3"/>
  <cols>
    <col min="1" max="1" width="62.875" style="4" customWidth="1"/>
    <col min="2" max="2" width="9" style="4"/>
    <col min="3" max="3" width="17" customWidth="1"/>
    <col min="4" max="4" width="12" customWidth="1"/>
    <col min="5" max="5" width="16.125" bestFit="1" customWidth="1"/>
    <col min="6" max="6" width="18.875" bestFit="1" customWidth="1"/>
    <col min="7" max="7" width="23" bestFit="1" customWidth="1"/>
    <col min="8" max="8" width="23" customWidth="1"/>
    <col min="10" max="10" width="17" style="18" customWidth="1"/>
    <col min="11" max="11" width="13.625" style="18" customWidth="1"/>
    <col min="12" max="12" width="23" style="18" customWidth="1"/>
    <col min="13" max="13" width="23.75" style="18" customWidth="1"/>
    <col min="14" max="14" width="23.125" style="18" customWidth="1"/>
    <col min="15" max="15" width="19.375" customWidth="1"/>
  </cols>
  <sheetData>
    <row r="1" spans="3:14" s="4" customFormat="1" x14ac:dyDescent="0.3">
      <c r="J1" s="18"/>
      <c r="K1" s="18"/>
      <c r="L1" s="18"/>
      <c r="M1" s="18"/>
      <c r="N1" s="18"/>
    </row>
    <row r="2" spans="3:14" s="4" customFormat="1" x14ac:dyDescent="0.3">
      <c r="J2" s="18"/>
      <c r="K2" s="18"/>
      <c r="L2" s="18"/>
      <c r="M2" s="18"/>
      <c r="N2" s="18"/>
    </row>
    <row r="3" spans="3:14" ht="33" x14ac:dyDescent="0.3">
      <c r="D3" s="2" t="s">
        <v>223</v>
      </c>
      <c r="E3" s="2" t="s">
        <v>224</v>
      </c>
      <c r="F3" s="2" t="s">
        <v>225</v>
      </c>
      <c r="G3" s="2" t="s">
        <v>226</v>
      </c>
      <c r="H3" s="2" t="s">
        <v>275</v>
      </c>
      <c r="K3" s="2" t="s">
        <v>276</v>
      </c>
      <c r="L3" s="2" t="s">
        <v>277</v>
      </c>
      <c r="M3" s="2" t="s">
        <v>278</v>
      </c>
      <c r="N3" s="2" t="s">
        <v>279</v>
      </c>
    </row>
    <row r="4" spans="3:14" x14ac:dyDescent="0.3">
      <c r="C4" s="3" t="s">
        <v>286</v>
      </c>
      <c r="D4" s="8">
        <v>348000</v>
      </c>
      <c r="E4" s="8">
        <v>350000</v>
      </c>
      <c r="F4" s="8">
        <v>730000</v>
      </c>
      <c r="G4" s="11">
        <v>0.47945205479452052</v>
      </c>
      <c r="H4" s="17">
        <v>1</v>
      </c>
      <c r="J4" s="25" t="s">
        <v>134</v>
      </c>
      <c r="K4" s="27">
        <v>34000</v>
      </c>
      <c r="L4" s="27">
        <v>95000</v>
      </c>
      <c r="M4" s="28">
        <v>0.35789473684210527</v>
      </c>
      <c r="N4" s="26">
        <v>1</v>
      </c>
    </row>
    <row r="5" spans="3:14" x14ac:dyDescent="0.3">
      <c r="C5" s="3" t="s">
        <v>284</v>
      </c>
      <c r="D5" s="8">
        <v>200</v>
      </c>
      <c r="E5" s="8">
        <v>200</v>
      </c>
      <c r="F5" s="8">
        <v>450</v>
      </c>
      <c r="G5" s="11">
        <v>0.44444444444444442</v>
      </c>
      <c r="H5" s="17">
        <v>1</v>
      </c>
      <c r="J5" s="25" t="s">
        <v>212</v>
      </c>
      <c r="K5" s="27">
        <v>10000000</v>
      </c>
      <c r="L5" s="27">
        <v>21000000</v>
      </c>
      <c r="M5" s="28">
        <v>0.47619047619047616</v>
      </c>
      <c r="N5" s="26">
        <v>1</v>
      </c>
    </row>
    <row r="6" spans="3:14" x14ac:dyDescent="0.3">
      <c r="C6" s="3" t="s">
        <v>130</v>
      </c>
      <c r="D6" s="8">
        <v>607000</v>
      </c>
      <c r="E6" s="8">
        <v>600000</v>
      </c>
      <c r="F6" s="8">
        <v>1600000</v>
      </c>
      <c r="G6" s="11">
        <v>0.375</v>
      </c>
      <c r="H6" s="17">
        <v>1</v>
      </c>
      <c r="J6" s="25" t="s">
        <v>285</v>
      </c>
      <c r="K6" s="27">
        <v>170000</v>
      </c>
      <c r="L6" s="27">
        <v>490000</v>
      </c>
      <c r="M6" s="28">
        <v>0.34693877551020408</v>
      </c>
      <c r="N6" s="26">
        <v>1</v>
      </c>
    </row>
    <row r="7" spans="3:14" x14ac:dyDescent="0.3">
      <c r="C7" s="3" t="s">
        <v>139</v>
      </c>
      <c r="D7" s="8">
        <v>82700</v>
      </c>
      <c r="E7" s="8">
        <v>92000</v>
      </c>
      <c r="F7" s="8">
        <v>290000</v>
      </c>
      <c r="G7" s="11">
        <v>0.31724137931034485</v>
      </c>
      <c r="H7" s="17">
        <v>1</v>
      </c>
      <c r="J7" s="25" t="s">
        <v>130</v>
      </c>
      <c r="K7" s="27">
        <v>27000000</v>
      </c>
      <c r="L7" s="27">
        <v>87000000</v>
      </c>
      <c r="M7" s="28">
        <v>0.31034482758620691</v>
      </c>
      <c r="N7" s="26">
        <v>1</v>
      </c>
    </row>
    <row r="8" spans="3:14" x14ac:dyDescent="0.3">
      <c r="C8" s="3" t="s">
        <v>50</v>
      </c>
      <c r="D8" s="8">
        <v>100000</v>
      </c>
      <c r="E8" s="8">
        <v>97000</v>
      </c>
      <c r="F8" s="8">
        <v>440000</v>
      </c>
      <c r="G8" s="11">
        <v>0.22045454545454546</v>
      </c>
      <c r="H8" s="17">
        <v>2</v>
      </c>
      <c r="J8" s="25" t="s">
        <v>284</v>
      </c>
      <c r="K8" s="27">
        <v>35000</v>
      </c>
      <c r="L8" s="27">
        <v>49000</v>
      </c>
      <c r="M8" s="28">
        <v>0.7142857142857143</v>
      </c>
      <c r="N8" s="26">
        <v>1</v>
      </c>
    </row>
    <row r="9" spans="3:14" x14ac:dyDescent="0.3">
      <c r="C9" s="3" t="s">
        <v>134</v>
      </c>
      <c r="D9" s="8">
        <v>481</v>
      </c>
      <c r="E9" s="8">
        <v>480</v>
      </c>
      <c r="F9" s="8">
        <v>4500</v>
      </c>
      <c r="G9" s="11">
        <v>0.10666666666666667</v>
      </c>
      <c r="H9" s="17">
        <v>2</v>
      </c>
      <c r="J9" s="25" t="s">
        <v>112</v>
      </c>
      <c r="K9" s="27">
        <v>13000</v>
      </c>
      <c r="L9" s="27">
        <v>66000</v>
      </c>
      <c r="M9" s="28">
        <v>0.19696969696969696</v>
      </c>
      <c r="N9" s="26">
        <v>1</v>
      </c>
    </row>
    <row r="10" spans="3:14" x14ac:dyDescent="0.3">
      <c r="C10" s="3" t="s">
        <v>112</v>
      </c>
      <c r="D10" s="8">
        <v>284</v>
      </c>
      <c r="E10" s="8">
        <v>280</v>
      </c>
      <c r="F10" s="8">
        <v>3300</v>
      </c>
      <c r="G10" s="11">
        <v>8.4848484848484854E-2</v>
      </c>
      <c r="H10" s="17">
        <v>3</v>
      </c>
      <c r="J10" s="25" t="s">
        <v>144</v>
      </c>
      <c r="K10" s="27">
        <v>580000</v>
      </c>
      <c r="L10" s="27">
        <v>1800000</v>
      </c>
      <c r="M10" s="28">
        <v>0.32222222222222224</v>
      </c>
      <c r="N10" s="26">
        <v>1</v>
      </c>
    </row>
    <row r="11" spans="3:14" x14ac:dyDescent="0.3">
      <c r="C11" s="3" t="s">
        <v>176</v>
      </c>
      <c r="D11" s="8">
        <v>29000</v>
      </c>
      <c r="E11" s="8">
        <v>29000</v>
      </c>
      <c r="F11" s="8">
        <v>390000</v>
      </c>
      <c r="G11" s="11">
        <v>7.4358974358974358E-2</v>
      </c>
      <c r="H11" s="17">
        <v>3</v>
      </c>
      <c r="J11" s="25" t="s">
        <v>139</v>
      </c>
      <c r="K11" s="27">
        <v>8400000</v>
      </c>
      <c r="L11" s="27">
        <v>37000000</v>
      </c>
      <c r="M11" s="28">
        <v>0.22702702702702704</v>
      </c>
      <c r="N11" s="26">
        <v>2</v>
      </c>
    </row>
    <row r="12" spans="3:14" x14ac:dyDescent="0.3">
      <c r="C12" s="3" t="s">
        <v>144</v>
      </c>
      <c r="D12" s="8">
        <v>1600</v>
      </c>
      <c r="E12" s="8">
        <v>1600</v>
      </c>
      <c r="F12" s="8">
        <v>20000</v>
      </c>
      <c r="G12" s="11">
        <v>0.08</v>
      </c>
      <c r="H12" s="17">
        <v>4</v>
      </c>
      <c r="J12" s="25" t="s">
        <v>151</v>
      </c>
      <c r="K12" s="27">
        <v>25000000</v>
      </c>
      <c r="L12" s="27">
        <v>140000000</v>
      </c>
      <c r="M12" s="28">
        <v>0.17857142857142858</v>
      </c>
      <c r="N12" s="26">
        <v>2</v>
      </c>
    </row>
    <row r="13" spans="3:14" x14ac:dyDescent="0.3">
      <c r="C13" s="3" t="s">
        <v>285</v>
      </c>
      <c r="D13" s="8">
        <v>600</v>
      </c>
      <c r="E13" s="8">
        <v>780</v>
      </c>
      <c r="F13" s="8">
        <v>9400</v>
      </c>
      <c r="G13" s="11">
        <v>8.2978723404255314E-2</v>
      </c>
      <c r="H13" s="17">
        <v>4</v>
      </c>
      <c r="J13" s="25" t="s">
        <v>89</v>
      </c>
      <c r="K13" s="27">
        <v>1700000</v>
      </c>
      <c r="L13" s="27">
        <v>12000000</v>
      </c>
      <c r="M13" s="28">
        <v>0.14166666666666666</v>
      </c>
      <c r="N13" s="26">
        <v>2</v>
      </c>
    </row>
    <row r="14" spans="3:14" x14ac:dyDescent="0.3">
      <c r="C14" s="3" t="s">
        <v>89</v>
      </c>
      <c r="D14" s="8">
        <v>4780</v>
      </c>
      <c r="E14" s="8">
        <v>3700</v>
      </c>
      <c r="F14" s="8">
        <v>310000</v>
      </c>
      <c r="G14" s="11">
        <v>1.1935483870967743E-2</v>
      </c>
      <c r="H14" s="17">
        <v>5</v>
      </c>
      <c r="J14" s="25" t="s">
        <v>95</v>
      </c>
      <c r="K14" s="27">
        <v>100000</v>
      </c>
      <c r="L14" s="27">
        <v>980000</v>
      </c>
      <c r="M14" s="28">
        <v>0.10204081632653061</v>
      </c>
      <c r="N14" s="26">
        <v>2</v>
      </c>
    </row>
    <row r="15" spans="3:14" x14ac:dyDescent="0.3">
      <c r="C15" s="3" t="s">
        <v>200</v>
      </c>
      <c r="D15" s="8">
        <v>52</v>
      </c>
      <c r="E15" s="8">
        <v>50</v>
      </c>
      <c r="F15" s="8">
        <v>2500</v>
      </c>
      <c r="G15" s="11">
        <v>0.02</v>
      </c>
      <c r="H15" s="17">
        <v>6</v>
      </c>
      <c r="J15" s="25" t="s">
        <v>200</v>
      </c>
      <c r="K15" s="27">
        <v>120000</v>
      </c>
      <c r="L15" s="27">
        <v>0</v>
      </c>
      <c r="M15" s="28">
        <v>0</v>
      </c>
      <c r="N15" s="26">
        <v>2</v>
      </c>
    </row>
    <row r="16" spans="3:14" x14ac:dyDescent="0.3">
      <c r="C16" s="3" t="s">
        <v>289</v>
      </c>
      <c r="D16" s="8">
        <v>410</v>
      </c>
      <c r="E16" s="8">
        <v>400</v>
      </c>
      <c r="F16" s="8">
        <v>21000</v>
      </c>
      <c r="G16" s="11">
        <v>1.9047619047619049E-2</v>
      </c>
      <c r="H16" s="17">
        <v>7</v>
      </c>
      <c r="J16" s="25" t="s">
        <v>50</v>
      </c>
      <c r="K16" s="27">
        <v>3700000</v>
      </c>
      <c r="L16" s="27">
        <v>29000000</v>
      </c>
      <c r="M16" s="28">
        <v>0.12758620689655173</v>
      </c>
      <c r="N16" s="26">
        <v>2</v>
      </c>
    </row>
    <row r="17" spans="3:14" x14ac:dyDescent="0.3">
      <c r="C17" s="3" t="s">
        <v>18</v>
      </c>
      <c r="D17" s="8">
        <v>1270</v>
      </c>
      <c r="E17" s="8">
        <v>1300</v>
      </c>
      <c r="F17" s="8">
        <v>110000</v>
      </c>
      <c r="G17" s="11">
        <v>1.1818181818181818E-2</v>
      </c>
      <c r="H17" s="17">
        <v>7</v>
      </c>
      <c r="J17" s="25" t="s">
        <v>210</v>
      </c>
      <c r="K17" s="27">
        <v>570000</v>
      </c>
      <c r="L17" s="27">
        <v>4700000</v>
      </c>
      <c r="M17" s="28">
        <v>0.12127659574468085</v>
      </c>
      <c r="N17" s="26">
        <v>2</v>
      </c>
    </row>
    <row r="18" spans="3:14" x14ac:dyDescent="0.3">
      <c r="C18" s="3" t="s">
        <v>205</v>
      </c>
      <c r="D18" s="8">
        <v>11300</v>
      </c>
      <c r="E18" s="8">
        <v>12000</v>
      </c>
      <c r="F18" s="8">
        <v>290000</v>
      </c>
      <c r="G18" s="11">
        <v>4.1379310344827586E-2</v>
      </c>
      <c r="H18" s="17">
        <v>7</v>
      </c>
      <c r="J18" s="25" t="s">
        <v>176</v>
      </c>
      <c r="K18" s="27">
        <v>6300000</v>
      </c>
      <c r="L18" s="27">
        <v>85000000</v>
      </c>
      <c r="M18" s="28">
        <v>7.4117647058823524E-2</v>
      </c>
      <c r="N18" s="26">
        <v>3</v>
      </c>
    </row>
    <row r="19" spans="3:14" x14ac:dyDescent="0.3">
      <c r="C19" s="3" t="s">
        <v>78</v>
      </c>
      <c r="D19" s="8">
        <v>601</v>
      </c>
      <c r="E19" s="8">
        <v>600</v>
      </c>
      <c r="F19" s="8">
        <v>23000</v>
      </c>
      <c r="G19" s="11">
        <v>2.6086956521739129E-2</v>
      </c>
      <c r="H19" s="17">
        <v>8</v>
      </c>
      <c r="J19" s="25" t="s">
        <v>186</v>
      </c>
      <c r="K19" s="27">
        <v>91000</v>
      </c>
      <c r="L19" s="27">
        <v>610000</v>
      </c>
      <c r="M19" s="28">
        <v>0.14918032786885246</v>
      </c>
      <c r="N19" s="26">
        <v>3</v>
      </c>
    </row>
    <row r="20" spans="3:14" x14ac:dyDescent="0.3">
      <c r="C20" s="3" t="s">
        <v>95</v>
      </c>
      <c r="D20" s="8">
        <v>765</v>
      </c>
      <c r="E20" s="8">
        <v>730</v>
      </c>
      <c r="F20" s="8">
        <v>23000</v>
      </c>
      <c r="G20" s="11">
        <v>3.173913043478261E-2</v>
      </c>
      <c r="H20" s="17">
        <v>8</v>
      </c>
      <c r="J20" s="25" t="s">
        <v>289</v>
      </c>
      <c r="K20" s="27">
        <v>280000</v>
      </c>
      <c r="L20" s="27">
        <v>7800000</v>
      </c>
      <c r="M20" s="28">
        <v>3.5897435897435895E-2</v>
      </c>
      <c r="N20" s="26">
        <v>4</v>
      </c>
    </row>
    <row r="21" spans="3:14" x14ac:dyDescent="0.3">
      <c r="C21" s="3" t="s">
        <v>210</v>
      </c>
      <c r="D21" s="8">
        <v>920</v>
      </c>
      <c r="E21" s="8">
        <v>1000</v>
      </c>
      <c r="F21" s="8">
        <v>85000</v>
      </c>
      <c r="G21" s="11">
        <v>1.1764705882352941E-2</v>
      </c>
      <c r="H21" s="17">
        <v>8</v>
      </c>
      <c r="J21" s="25" t="s">
        <v>205</v>
      </c>
      <c r="K21" s="27">
        <v>570000</v>
      </c>
      <c r="L21" s="27">
        <v>6000000</v>
      </c>
      <c r="M21" s="28">
        <v>9.5000000000000001E-2</v>
      </c>
      <c r="N21" s="26">
        <v>5</v>
      </c>
    </row>
    <row r="22" spans="3:14" x14ac:dyDescent="0.3">
      <c r="C22" s="3" t="s">
        <v>151</v>
      </c>
      <c r="D22" s="8">
        <v>98000</v>
      </c>
      <c r="E22" s="8">
        <v>45000</v>
      </c>
      <c r="F22" s="8">
        <v>3900000</v>
      </c>
      <c r="G22" s="11">
        <v>1.1538461538461539E-2</v>
      </c>
      <c r="H22" s="17">
        <v>8</v>
      </c>
      <c r="J22" s="25" t="s">
        <v>148</v>
      </c>
      <c r="K22" s="27">
        <v>760000</v>
      </c>
      <c r="L22" s="27">
        <v>17000000</v>
      </c>
      <c r="M22" s="28">
        <v>4.4705882352941179E-2</v>
      </c>
      <c r="N22" s="26">
        <v>6</v>
      </c>
    </row>
    <row r="23" spans="3:14" x14ac:dyDescent="0.3">
      <c r="C23" s="3" t="s">
        <v>186</v>
      </c>
      <c r="D23" s="8">
        <v>1050</v>
      </c>
      <c r="E23" s="8">
        <v>1000</v>
      </c>
      <c r="F23" s="8">
        <v>26000</v>
      </c>
      <c r="G23" s="11">
        <v>3.8461538461538464E-2</v>
      </c>
      <c r="H23" s="17">
        <v>9</v>
      </c>
      <c r="J23" s="25" t="s">
        <v>18</v>
      </c>
      <c r="K23" s="27">
        <v>110000</v>
      </c>
      <c r="L23" s="27">
        <v>2000000</v>
      </c>
      <c r="M23" s="28">
        <v>5.5E-2</v>
      </c>
      <c r="N23" s="26">
        <v>6</v>
      </c>
    </row>
    <row r="24" spans="3:14" x14ac:dyDescent="0.3">
      <c r="C24" s="3" t="s">
        <v>184</v>
      </c>
      <c r="D24" s="8">
        <v>47</v>
      </c>
      <c r="E24" s="8">
        <v>47</v>
      </c>
      <c r="F24" s="8">
        <v>9600</v>
      </c>
      <c r="G24" s="11">
        <v>4.8958333333333336E-3</v>
      </c>
      <c r="H24" s="17">
        <v>12</v>
      </c>
      <c r="J24" s="25" t="s">
        <v>164</v>
      </c>
      <c r="K24" s="27">
        <v>800000</v>
      </c>
      <c r="L24" s="27">
        <v>73000000</v>
      </c>
      <c r="M24" s="28">
        <v>1.0958904109589041E-2</v>
      </c>
      <c r="N24" s="26">
        <v>13</v>
      </c>
    </row>
    <row r="25" spans="3:14" x14ac:dyDescent="0.3">
      <c r="C25" s="3" t="s">
        <v>164</v>
      </c>
      <c r="D25" s="8">
        <v>2500</v>
      </c>
      <c r="E25" s="8">
        <v>2500</v>
      </c>
      <c r="F25" s="8">
        <v>250000</v>
      </c>
      <c r="G25" s="11">
        <v>0.01</v>
      </c>
      <c r="H25" s="17">
        <v>13</v>
      </c>
      <c r="J25" s="25" t="s">
        <v>222</v>
      </c>
      <c r="K25" s="27">
        <v>86333000</v>
      </c>
      <c r="L25" s="27">
        <v>525590000</v>
      </c>
      <c r="M25" s="28">
        <v>4.0878753881271539</v>
      </c>
      <c r="N25" s="26">
        <v>61</v>
      </c>
    </row>
    <row r="26" spans="3:14" x14ac:dyDescent="0.3">
      <c r="C26" s="3" t="s">
        <v>283</v>
      </c>
      <c r="D26" s="8">
        <v>1890</v>
      </c>
      <c r="E26" s="8">
        <v>1900</v>
      </c>
      <c r="F26" s="8">
        <v>420000</v>
      </c>
      <c r="G26" s="11">
        <v>4.5238095238095237E-3</v>
      </c>
      <c r="H26" s="17">
        <v>13</v>
      </c>
      <c r="J26"/>
      <c r="K26"/>
      <c r="L26"/>
      <c r="M26"/>
      <c r="N26"/>
    </row>
    <row r="27" spans="3:14" x14ac:dyDescent="0.3">
      <c r="C27" s="3" t="s">
        <v>148</v>
      </c>
      <c r="D27" s="8">
        <v>600</v>
      </c>
      <c r="E27" s="8">
        <v>1000</v>
      </c>
      <c r="F27" s="8">
        <v>260000</v>
      </c>
      <c r="G27" s="11">
        <v>3.8461538461538464E-3</v>
      </c>
      <c r="H27" s="17">
        <v>13</v>
      </c>
      <c r="J27"/>
      <c r="K27"/>
      <c r="L27"/>
      <c r="M27"/>
      <c r="N27"/>
    </row>
    <row r="28" spans="3:14" x14ac:dyDescent="0.3">
      <c r="C28" s="3" t="s">
        <v>122</v>
      </c>
      <c r="D28" s="8">
        <v>4200</v>
      </c>
      <c r="E28" s="8">
        <v>4200</v>
      </c>
      <c r="F28" s="8">
        <v>160000</v>
      </c>
      <c r="G28" s="11">
        <v>2.6249999999999999E-2</v>
      </c>
      <c r="H28" s="17">
        <v>14</v>
      </c>
      <c r="J28"/>
      <c r="K28"/>
      <c r="L28"/>
      <c r="M28"/>
      <c r="N28"/>
    </row>
    <row r="29" spans="3:14" x14ac:dyDescent="0.3">
      <c r="C29" s="3" t="s">
        <v>196</v>
      </c>
      <c r="D29" s="8">
        <v>900</v>
      </c>
      <c r="E29" s="8">
        <v>900</v>
      </c>
      <c r="F29" s="8">
        <v>84000</v>
      </c>
      <c r="G29" s="11">
        <v>1.0714285714285714E-2</v>
      </c>
      <c r="H29" s="17">
        <v>16</v>
      </c>
      <c r="J29"/>
      <c r="K29"/>
      <c r="L29"/>
      <c r="M29"/>
      <c r="N29"/>
    </row>
    <row r="30" spans="3:14" x14ac:dyDescent="0.3">
      <c r="C30" s="3" t="s">
        <v>290</v>
      </c>
      <c r="D30" s="8">
        <v>1500</v>
      </c>
      <c r="E30" s="8">
        <v>1500</v>
      </c>
      <c r="F30" s="8">
        <v>160000</v>
      </c>
      <c r="G30" s="11">
        <v>9.3749999999999997E-3</v>
      </c>
      <c r="H30" s="17">
        <v>19</v>
      </c>
      <c r="J30"/>
      <c r="K30"/>
      <c r="L30"/>
      <c r="M30"/>
      <c r="N30"/>
    </row>
    <row r="31" spans="3:14" x14ac:dyDescent="0.3">
      <c r="C31" s="3" t="s">
        <v>222</v>
      </c>
      <c r="D31" s="8">
        <v>1300650</v>
      </c>
      <c r="E31" s="8">
        <v>1249167</v>
      </c>
      <c r="F31" s="8">
        <v>9621750</v>
      </c>
      <c r="G31" s="11">
        <v>9.4771175689640358E-2</v>
      </c>
      <c r="H31" s="17">
        <v>195</v>
      </c>
      <c r="J31"/>
      <c r="K31"/>
      <c r="L31"/>
      <c r="M31"/>
      <c r="N31"/>
    </row>
    <row r="32" spans="3:14" x14ac:dyDescent="0.3">
      <c r="J32"/>
      <c r="K32"/>
      <c r="L32"/>
      <c r="M32"/>
      <c r="N32"/>
    </row>
    <row r="33" spans="10:14" x14ac:dyDescent="0.3">
      <c r="J33"/>
      <c r="K33"/>
      <c r="L33"/>
      <c r="M33"/>
      <c r="N33"/>
    </row>
    <row r="34" spans="10:14" x14ac:dyDescent="0.3">
      <c r="J34"/>
      <c r="K34"/>
      <c r="L34"/>
      <c r="M34"/>
      <c r="N34"/>
    </row>
    <row r="35" spans="10:14" x14ac:dyDescent="0.3">
      <c r="J35"/>
      <c r="K35"/>
      <c r="L35"/>
      <c r="M35"/>
      <c r="N35"/>
    </row>
    <row r="36" spans="10:14" x14ac:dyDescent="0.3">
      <c r="J36"/>
      <c r="K36"/>
      <c r="L36"/>
      <c r="M36"/>
      <c r="N36"/>
    </row>
    <row r="37" spans="10:14" x14ac:dyDescent="0.3">
      <c r="J37"/>
      <c r="K37"/>
      <c r="L37"/>
      <c r="M37"/>
      <c r="N37"/>
    </row>
    <row r="38" spans="10:14" x14ac:dyDescent="0.3">
      <c r="J38"/>
      <c r="K38"/>
      <c r="L38"/>
      <c r="M38"/>
      <c r="N38"/>
    </row>
    <row r="39" spans="10:14" x14ac:dyDescent="0.3">
      <c r="J39"/>
      <c r="K39"/>
      <c r="L39"/>
      <c r="M39"/>
      <c r="N39"/>
    </row>
    <row r="40" spans="10:14" x14ac:dyDescent="0.3">
      <c r="J40"/>
      <c r="K40"/>
      <c r="L40"/>
      <c r="M40"/>
      <c r="N40"/>
    </row>
    <row r="41" spans="10:14" x14ac:dyDescent="0.3">
      <c r="J41"/>
      <c r="K41"/>
      <c r="L41"/>
      <c r="M41"/>
      <c r="N41"/>
    </row>
    <row r="42" spans="10:14" x14ac:dyDescent="0.3">
      <c r="J42"/>
      <c r="K42"/>
      <c r="L42"/>
      <c r="M42"/>
      <c r="N42"/>
    </row>
    <row r="43" spans="10:14" x14ac:dyDescent="0.3">
      <c r="J43"/>
      <c r="K43"/>
      <c r="L43"/>
      <c r="M43"/>
      <c r="N43"/>
    </row>
    <row r="44" spans="10:14" x14ac:dyDescent="0.3">
      <c r="J44"/>
      <c r="K44"/>
      <c r="L44"/>
      <c r="M44"/>
      <c r="N44"/>
    </row>
    <row r="45" spans="10:14" x14ac:dyDescent="0.3">
      <c r="J45"/>
      <c r="K45"/>
      <c r="L45"/>
      <c r="M45"/>
      <c r="N45"/>
    </row>
    <row r="46" spans="10:14" x14ac:dyDescent="0.3">
      <c r="J46"/>
      <c r="K46"/>
      <c r="L46"/>
      <c r="M46"/>
      <c r="N46"/>
    </row>
    <row r="47" spans="10:14" x14ac:dyDescent="0.3">
      <c r="J47"/>
      <c r="K47"/>
      <c r="L47"/>
      <c r="M47"/>
      <c r="N47"/>
    </row>
    <row r="48" spans="10:14" x14ac:dyDescent="0.3">
      <c r="J48"/>
      <c r="K48"/>
      <c r="L48"/>
      <c r="M48"/>
      <c r="N48"/>
    </row>
  </sheetData>
  <phoneticPr fontId="4" type="noConversion"/>
  <pageMargins left="0.7" right="0.7" top="0.75" bottom="0.75" header="0.3" footer="0.3"/>
  <customProperties>
    <customPr name="GUID" r:id="rId3"/>
  </customProperties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3"/>
  <sheetViews>
    <sheetView zoomScale="85" zoomScaleNormal="85" workbookViewId="0"/>
  </sheetViews>
  <sheetFormatPr defaultRowHeight="16.5" x14ac:dyDescent="0.3"/>
  <cols>
    <col min="1" max="1" width="9.625" style="4" bestFit="1" customWidth="1"/>
    <col min="2" max="2" width="14.125" style="4" bestFit="1" customWidth="1"/>
    <col min="3" max="3" width="18.875" style="4" bestFit="1" customWidth="1"/>
    <col min="4" max="4" width="44.625" style="4" customWidth="1"/>
    <col min="5" max="5" width="6.375" style="4" bestFit="1" customWidth="1"/>
    <col min="6" max="6" width="11.5" style="4" bestFit="1" customWidth="1"/>
    <col min="7" max="7" width="16.125" style="4" bestFit="1" customWidth="1"/>
    <col min="8" max="8" width="29" style="4" bestFit="1" customWidth="1"/>
    <col min="9" max="10" width="23" style="4" bestFit="1" customWidth="1"/>
    <col min="11" max="11" width="13.625" style="4" bestFit="1" customWidth="1"/>
    <col min="12" max="12" width="25.5" style="4" bestFit="1" customWidth="1"/>
    <col min="13" max="13" width="26.25" style="12" bestFit="1" customWidth="1"/>
    <col min="14" max="14" width="21.625" style="4" bestFit="1" customWidth="1"/>
  </cols>
  <sheetData>
    <row r="1" spans="1:14" ht="33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3" t="s">
        <v>12</v>
      </c>
      <c r="N1" s="1" t="s">
        <v>13</v>
      </c>
    </row>
    <row r="2" spans="1:14" x14ac:dyDescent="0.3">
      <c r="A2" t="str">
        <f>IF(ISNUMBER(SEARCH("World",'RawData'!C2)),"",'RawData'!A2)</f>
        <v>MCS2026</v>
      </c>
      <c r="B2" t="str">
        <f>IF(ISNUMBER(SEARCH("World",'RawData'!C2)),"",'RawData'!B2)</f>
        <v>Antimony</v>
      </c>
      <c r="C2" t="str">
        <f>IF(ISNUMBER(SEARCH("World",'RawData'!C2)),"",'RawData'!C2)</f>
        <v>Australia</v>
      </c>
      <c r="D2" t="str">
        <f>IF(ISNUMBER(SEARCH("World",'RawData'!C2)),"",'RawData'!D2)</f>
        <v>Mine production, antimony content</v>
      </c>
      <c r="E2" t="str">
        <f>IF(ISNUMBER(SEARCH("World",'RawData'!C2)),"",IF('RawData'!E2="WT001","kg",IF('RawData'!E2="WT002","ton",IF('RawData'!E2="WT003","k ton",""))))</f>
        <v>ton</v>
      </c>
      <c r="F2" s="14">
        <f>IF(ISNUMBER(SEARCH("World",'RawData'!C2)),"",'RawData'!F2)</f>
        <v>1270</v>
      </c>
      <c r="G2" s="14">
        <f>IF(ISNUMBER(SEARCH("World",'RawData'!C2)),"",'RawData'!G2)</f>
        <v>1300</v>
      </c>
      <c r="H2" s="14">
        <f>IF(ISNUMBER(SEARCH("World",'RawData'!C2)),"",SUMIFS('RawData'!G:G,'RawData'!B:B,'RawData'!B2,'RawData'!C:C,"*World*"))</f>
        <v>110000</v>
      </c>
      <c r="I2" s="15">
        <f>IF(ISNUMBER(SEARCH("World",'RawData'!C2)),"",IFERROR(G2/H2,"-"))</f>
        <v>1.1818181818181818E-2</v>
      </c>
      <c r="J2" s="7">
        <f>IF(ISNUMBER(SEARCH("World",'RawData'!C2)),"",IF(ISNUMBER(SEARCH("Other",C2)),COUNTIFS('RawData'!B:B,B2,'RawData'!C:C,"&lt;&gt;*World*"),IF(OR(G2="",G2=0),"-",SUMPRODUCT(('RawData'!B$2:B$822=B2)*('RawData'!G$2:G$822&gt;G2)*(ISERROR(SEARCH("World",'RawData'!C$2:C$822)))*(ISERROR(SEARCH("Other",'RawData'!C$2:C$822))))+1)))</f>
        <v>7</v>
      </c>
      <c r="K2" s="14">
        <f>IF(ISNUMBER(SEARCH("World",'RawData'!C2)),"",'RawData'!H2)</f>
        <v>110000</v>
      </c>
      <c r="L2" s="14">
        <f>IF(ISNUMBER(SEARCH("World",'RawData'!C2)),"",SUMIFS('RawData'!H:H,'RawData'!B:B,'RawData'!B2,'RawData'!C:C,"*World*"))</f>
        <v>2000000</v>
      </c>
      <c r="M2" s="15">
        <f>IF(ISNUMBER(SEARCH("World",'RawData'!C2)),"",IFERROR(K2/L2,"-"))</f>
        <v>5.5E-2</v>
      </c>
      <c r="N2" s="7">
        <f>IF(ISNUMBER(SEARCH("World",'RawData'!C2)),"",IF(ISNUMBER(SEARCH("Other",C2)),COUNTIFS('RawData'!B:B,B2,'RawData'!C:C,"&lt;&gt;*World*"),IF(OR(K2="",K2=0),"-",SUMPRODUCT(('RawData'!B$2:B$822=B2)*('RawData'!H$2:H$822&gt;K2)*(ISERROR(SEARCH("World",'RawData'!C$2:C$822)))*(ISERROR(SEARCH("Other",'RawData'!C$2:C$822))))+1)))</f>
        <v>6</v>
      </c>
    </row>
    <row r="3" spans="1:14" x14ac:dyDescent="0.3">
      <c r="A3" s="4" t="str">
        <f>IF(ISNUMBER(SEARCH("World",'RawData'!C3)),"",'RawData'!A3)</f>
        <v>MCS2026</v>
      </c>
      <c r="B3" s="4" t="str">
        <f>IF(ISNUMBER(SEARCH("World",'RawData'!C3)),"",'RawData'!B3)</f>
        <v>Antimony</v>
      </c>
      <c r="C3" s="4" t="str">
        <f>IF(ISNUMBER(SEARCH("World",'RawData'!C3)),"",'RawData'!C3)</f>
        <v>Bolivia</v>
      </c>
      <c r="D3" s="4" t="str">
        <f>IF(ISNUMBER(SEARCH("World",'RawData'!C3)),"",'RawData'!D3)</f>
        <v>Mine production, antimony content</v>
      </c>
      <c r="E3" s="4" t="str">
        <f>IF(ISNUMBER(SEARCH("World",'RawData'!C3)),"",IF('RawData'!E3="WT001","kg",IF('RawData'!E3="WT002","ton",IF('RawData'!E3="WT003","k ton",""))))</f>
        <v>ton</v>
      </c>
      <c r="F3" s="14">
        <f>IF(ISNUMBER(SEARCH("World",'RawData'!C3)),"",'RawData'!F3)</f>
        <v>5300</v>
      </c>
      <c r="G3" s="14">
        <f>IF(ISNUMBER(SEARCH("World",'RawData'!C3)),"",'RawData'!G3)</f>
        <v>5000</v>
      </c>
      <c r="H3" s="14">
        <f>IF(ISNUMBER(SEARCH("World",'RawData'!C3)),"",SUMIFS('RawData'!G:G,'RawData'!B:B,'RawData'!B3,'RawData'!C:C,"*World*"))</f>
        <v>110000</v>
      </c>
      <c r="I3" s="15">
        <f>IF(ISNUMBER(SEARCH("World",'RawData'!C3)),"",IFERROR(G3/H3,"-"))</f>
        <v>4.5454545454545456E-2</v>
      </c>
      <c r="J3" s="7">
        <f>IF(ISNUMBER(SEARCH("World",'RawData'!C3)),"",IF(ISNUMBER(SEARCH("Other",C3)),COUNTIFS('RawData'!B:B,B3,'RawData'!C:C,"&lt;&gt;*World*"),IF(OR(G3="",G3=0),"-",SUMPRODUCT(('RawData'!B$2:B$822=B3)*('RawData'!G$2:G$822&gt;G3)*(ISERROR(SEARCH("World",'RawData'!C$2:C$822)))*(ISERROR(SEARCH("Other",'RawData'!C$2:C$822))))+1)))</f>
        <v>4</v>
      </c>
      <c r="K3" s="14">
        <f>IF(ISNUMBER(SEARCH("World",'RawData'!C3)),"",'RawData'!H3)</f>
        <v>310000</v>
      </c>
      <c r="L3" s="14">
        <f>IF(ISNUMBER(SEARCH("World",'RawData'!C3)),"",SUMIFS('RawData'!H:H,'RawData'!B:B,'RawData'!B3,'RawData'!C:C,"*World*"))</f>
        <v>2000000</v>
      </c>
      <c r="M3" s="15">
        <f>IF(ISNUMBER(SEARCH("World",'RawData'!C3)),"",IFERROR(K3/L3,"-"))</f>
        <v>0.155</v>
      </c>
      <c r="N3" s="7">
        <f>IF(ISNUMBER(SEARCH("World",'RawData'!C3)),"",IF(ISNUMBER(SEARCH("Other",C3)),COUNTIFS('RawData'!B:B,B3,'RawData'!C:C,"&lt;&gt;*World*"),IF(OR(K3="",K3=0),"-",SUMPRODUCT(('RawData'!B$2:B$822=B3)*('RawData'!H$2:H$822&gt;K3)*(ISERROR(SEARCH("World",'RawData'!C$2:C$822)))*(ISERROR(SEARCH("Other",'RawData'!C$2:C$822))))+1)))</f>
        <v>3</v>
      </c>
    </row>
    <row r="4" spans="1:14" x14ac:dyDescent="0.3">
      <c r="A4" s="4" t="str">
        <f>IF(ISNUMBER(SEARCH("World",'RawData'!C4)),"",'RawData'!A4)</f>
        <v>MCS2026</v>
      </c>
      <c r="B4" s="4" t="str">
        <f>IF(ISNUMBER(SEARCH("World",'RawData'!C4)),"",'RawData'!B4)</f>
        <v>Antimony</v>
      </c>
      <c r="C4" s="4" t="str">
        <f>IF(ISNUMBER(SEARCH("World",'RawData'!C4)),"",'RawData'!C4)</f>
        <v xml:space="preserve">Canada </v>
      </c>
      <c r="D4" s="4" t="str">
        <f>IF(ISNUMBER(SEARCH("World",'RawData'!C4)),"",'RawData'!D4)</f>
        <v>Mine production, antimony content</v>
      </c>
      <c r="E4" s="4" t="str">
        <f>IF(ISNUMBER(SEARCH("World",'RawData'!C4)),"",IF('RawData'!E4="WT001","kg",IF('RawData'!E4="WT002","ton",IF('RawData'!E4="WT003","k ton",""))))</f>
        <v>ton</v>
      </c>
      <c r="F4" s="14">
        <f>IF(ISNUMBER(SEARCH("World",'RawData'!C4)),"",'RawData'!F4)</f>
        <v>0</v>
      </c>
      <c r="G4" s="14">
        <f>IF(ISNUMBER(SEARCH("World",'RawData'!C4)),"",'RawData'!G4)</f>
        <v>0</v>
      </c>
      <c r="H4" s="14">
        <f>IF(ISNUMBER(SEARCH("World",'RawData'!C4)),"",SUMIFS('RawData'!G:G,'RawData'!B:B,'RawData'!B4,'RawData'!C:C,"*World*"))</f>
        <v>110000</v>
      </c>
      <c r="I4" s="15">
        <f>IF(ISNUMBER(SEARCH("World",'RawData'!C4)),"",IFERROR(G4/H4,"-"))</f>
        <v>0</v>
      </c>
      <c r="J4" s="7" t="str">
        <f>IF(ISNUMBER(SEARCH("World",'RawData'!C4)),"",IF(ISNUMBER(SEARCH("Other",C4)),COUNTIFS('RawData'!B:B,B4,'RawData'!C:C,"&lt;&gt;*World*"),IF(OR(G4="",G4=0),"-",SUMPRODUCT(('RawData'!B$2:B$822=B4)*('RawData'!G$2:G$822&gt;G4)*(ISERROR(SEARCH("World",'RawData'!C$2:C$822)))*(ISERROR(SEARCH("Other",'RawData'!C$2:C$822))))+1)))</f>
        <v>-</v>
      </c>
      <c r="K4" s="14">
        <f>IF(ISNUMBER(SEARCH("World",'RawData'!C4)),"",'RawData'!H4)</f>
        <v>78000</v>
      </c>
      <c r="L4" s="14">
        <f>IF(ISNUMBER(SEARCH("World",'RawData'!C4)),"",SUMIFS('RawData'!H:H,'RawData'!B:B,'RawData'!B4,'RawData'!C:C,"*World*"))</f>
        <v>2000000</v>
      </c>
      <c r="M4" s="15">
        <f>IF(ISNUMBER(SEARCH("World",'RawData'!C4)),"",IFERROR(K4/L4,"-"))</f>
        <v>3.9E-2</v>
      </c>
      <c r="N4" s="7">
        <f>IF(ISNUMBER(SEARCH("World",'RawData'!C4)),"",IF(ISNUMBER(SEARCH("Other",C4)),COUNTIFS('RawData'!B:B,B4,'RawData'!C:C,"&lt;&gt;*World*"),IF(OR(K4="",K4=0),"-",SUMPRODUCT(('RawData'!B$2:B$822=B4)*('RawData'!H$2:H$822&gt;K4)*(ISERROR(SEARCH("World",'RawData'!C$2:C$822)))*(ISERROR(SEARCH("Other",'RawData'!C$2:C$822))))+1)))</f>
        <v>8</v>
      </c>
    </row>
    <row r="5" spans="1:14" x14ac:dyDescent="0.3">
      <c r="A5" s="4" t="str">
        <f>IF(ISNUMBER(SEARCH("World",'RawData'!C5)),"",'RawData'!A5)</f>
        <v>MCS2026</v>
      </c>
      <c r="B5" s="4" t="str">
        <f>IF(ISNUMBER(SEARCH("World",'RawData'!C5)),"",'RawData'!B5)</f>
        <v>Antimony</v>
      </c>
      <c r="C5" s="4" t="str">
        <f>IF(ISNUMBER(SEARCH("World",'RawData'!C5)),"",'RawData'!C5)</f>
        <v>China</v>
      </c>
      <c r="D5" s="4" t="str">
        <f>IF(ISNUMBER(SEARCH("World",'RawData'!C5)),"",'RawData'!D5)</f>
        <v>Mine production, antimony content</v>
      </c>
      <c r="E5" s="4" t="str">
        <f>IF(ISNUMBER(SEARCH("World",'RawData'!C5)),"",IF('RawData'!E5="WT001","kg",IF('RawData'!E5="WT002","ton",IF('RawData'!E5="WT003","k ton",""))))</f>
        <v>ton</v>
      </c>
      <c r="F5" s="14">
        <f>IF(ISNUMBER(SEARCH("World",'RawData'!C5)),"",'RawData'!F5)</f>
        <v>40000</v>
      </c>
      <c r="G5" s="14">
        <f>IF(ISNUMBER(SEARCH("World",'RawData'!C5)),"",'RawData'!G5)</f>
        <v>40000</v>
      </c>
      <c r="H5" s="14">
        <f>IF(ISNUMBER(SEARCH("World",'RawData'!C5)),"",SUMIFS('RawData'!G:G,'RawData'!B:B,'RawData'!B5,'RawData'!C:C,"*World*"))</f>
        <v>110000</v>
      </c>
      <c r="I5" s="15">
        <f>IF(ISNUMBER(SEARCH("World",'RawData'!C5)),"",IFERROR(G5/H5,"-"))</f>
        <v>0.36363636363636365</v>
      </c>
      <c r="J5" s="7">
        <f>IF(ISNUMBER(SEARCH("World",'RawData'!C5)),"",IF(ISNUMBER(SEARCH("Other",C5)),COUNTIFS('RawData'!B:B,B5,'RawData'!C:C,"&lt;&gt;*World*"),IF(OR(G5="",G5=0),"-",SUMPRODUCT(('RawData'!B$2:B$822=B5)*('RawData'!G$2:G$822&gt;G5)*(ISERROR(SEARCH("World",'RawData'!C$2:C$822)))*(ISERROR(SEARCH("Other",'RawData'!C$2:C$822))))+1)))</f>
        <v>1</v>
      </c>
      <c r="K5" s="14">
        <f>IF(ISNUMBER(SEARCH("World",'RawData'!C5)),"",'RawData'!H5)</f>
        <v>830000</v>
      </c>
      <c r="L5" s="14">
        <f>IF(ISNUMBER(SEARCH("World",'RawData'!C5)),"",SUMIFS('RawData'!H:H,'RawData'!B:B,'RawData'!B5,'RawData'!C:C,"*World*"))</f>
        <v>2000000</v>
      </c>
      <c r="M5" s="15">
        <f>IF(ISNUMBER(SEARCH("World",'RawData'!C5)),"",IFERROR(K5/L5,"-"))</f>
        <v>0.41499999999999998</v>
      </c>
      <c r="N5" s="7">
        <f>IF(ISNUMBER(SEARCH("World",'RawData'!C5)),"",IF(ISNUMBER(SEARCH("Other",C5)),COUNTIFS('RawData'!B:B,B5,'RawData'!C:C,"&lt;&gt;*World*"),IF(OR(K5="",K5=0),"-",SUMPRODUCT(('RawData'!B$2:B$822=B5)*('RawData'!H$2:H$822&gt;K5)*(ISERROR(SEARCH("World",'RawData'!C$2:C$822)))*(ISERROR(SEARCH("Other",'RawData'!C$2:C$822))))+1)))</f>
        <v>1</v>
      </c>
    </row>
    <row r="6" spans="1:14" x14ac:dyDescent="0.3">
      <c r="A6" s="4" t="str">
        <f>IF(ISNUMBER(SEARCH("World",'RawData'!C6)),"",'RawData'!A6)</f>
        <v>MCS2026</v>
      </c>
      <c r="B6" s="4" t="str">
        <f>IF(ISNUMBER(SEARCH("World",'RawData'!C6)),"",'RawData'!B6)</f>
        <v>Antimony</v>
      </c>
      <c r="C6" s="4" t="str">
        <f>IF(ISNUMBER(SEARCH("World",'RawData'!C6)),"",'RawData'!C6)</f>
        <v>Guatemala</v>
      </c>
      <c r="D6" s="4" t="str">
        <f>IF(ISNUMBER(SEARCH("World",'RawData'!C6)),"",'RawData'!D6)</f>
        <v>Mine production, antimony content</v>
      </c>
      <c r="E6" s="4" t="str">
        <f>IF(ISNUMBER(SEARCH("World",'RawData'!C6)),"",IF('RawData'!E6="WT001","kg",IF('RawData'!E6="WT002","ton",IF('RawData'!E6="WT003","k ton",""))))</f>
        <v>ton</v>
      </c>
      <c r="F6" s="14">
        <f>IF(ISNUMBER(SEARCH("World",'RawData'!C6)),"",'RawData'!F6)</f>
        <v>50</v>
      </c>
      <c r="G6" s="14">
        <f>IF(ISNUMBER(SEARCH("World",'RawData'!C6)),"",'RawData'!G6)</f>
        <v>50</v>
      </c>
      <c r="H6" s="14">
        <f>IF(ISNUMBER(SEARCH("World",'RawData'!C6)),"",SUMIFS('RawData'!G:G,'RawData'!B:B,'RawData'!B6,'RawData'!C:C,"*World*"))</f>
        <v>110000</v>
      </c>
      <c r="I6" s="15">
        <f>IF(ISNUMBER(SEARCH("World",'RawData'!C6)),"",IFERROR(G6/H6,"-"))</f>
        <v>4.5454545454545455E-4</v>
      </c>
      <c r="J6" s="7">
        <f>IF(ISNUMBER(SEARCH("World",'RawData'!C6)),"",IF(ISNUMBER(SEARCH("Other",C6)),COUNTIFS('RawData'!B:B,B6,'RawData'!C:C,"&lt;&gt;*World*"),IF(OR(G6="",G6=0),"-",SUMPRODUCT(('RawData'!B$2:B$822=B6)*('RawData'!G$2:G$822&gt;G6)*(ISERROR(SEARCH("World",'RawData'!C$2:C$822)))*(ISERROR(SEARCH("Other",'RawData'!C$2:C$822))))+1)))</f>
        <v>15</v>
      </c>
      <c r="K6" s="14">
        <f>IF(ISNUMBER(SEARCH("World",'RawData'!C6)),"",'RawData'!H6)</f>
        <v>0</v>
      </c>
      <c r="L6" s="14">
        <f>IF(ISNUMBER(SEARCH("World",'RawData'!C6)),"",SUMIFS('RawData'!H:H,'RawData'!B:B,'RawData'!B6,'RawData'!C:C,"*World*"))</f>
        <v>2000000</v>
      </c>
      <c r="M6" s="15">
        <f>IF(ISNUMBER(SEARCH("World",'RawData'!C6)),"",IFERROR(K6/L6,"-"))</f>
        <v>0</v>
      </c>
      <c r="N6" s="7" t="str">
        <f>IF(ISNUMBER(SEARCH("World",'RawData'!C6)),"",IF(ISNUMBER(SEARCH("Other",C6)),COUNTIFS('RawData'!B:B,B6,'RawData'!C:C,"&lt;&gt;*World*"),IF(OR(K6="",K6=0),"-",SUMPRODUCT(('RawData'!B$2:B$822=B6)*('RawData'!H$2:H$822&gt;K6)*(ISERROR(SEARCH("World",'RawData'!C$2:C$822)))*(ISERROR(SEARCH("Other",'RawData'!C$2:C$822))))+1)))</f>
        <v>-</v>
      </c>
    </row>
    <row r="7" spans="1:14" x14ac:dyDescent="0.3">
      <c r="A7" s="4" t="str">
        <f>IF(ISNUMBER(SEARCH("World",'RawData'!C7)),"",'RawData'!A7)</f>
        <v>MCS2026</v>
      </c>
      <c r="B7" s="4" t="str">
        <f>IF(ISNUMBER(SEARCH("World",'RawData'!C7)),"",'RawData'!B7)</f>
        <v>Antimony</v>
      </c>
      <c r="C7" s="4" t="str">
        <f>IF(ISNUMBER(SEARCH("World",'RawData'!C7)),"",'RawData'!C7)</f>
        <v>Iran</v>
      </c>
      <c r="D7" s="4" t="str">
        <f>IF(ISNUMBER(SEARCH("World",'RawData'!C7)),"",'RawData'!D7)</f>
        <v>Mine production, antimony content</v>
      </c>
      <c r="E7" s="4" t="str">
        <f>IF(ISNUMBER(SEARCH("World",'RawData'!C7)),"",IF('RawData'!E7="WT001","kg",IF('RawData'!E7="WT002","ton",IF('RawData'!E7="WT003","k ton",""))))</f>
        <v>ton</v>
      </c>
      <c r="F7" s="14">
        <f>IF(ISNUMBER(SEARCH("World",'RawData'!C7)),"",'RawData'!F7)</f>
        <v>90</v>
      </c>
      <c r="G7" s="14">
        <f>IF(ISNUMBER(SEARCH("World",'RawData'!C7)),"",'RawData'!G7)</f>
        <v>90</v>
      </c>
      <c r="H7" s="14">
        <f>IF(ISNUMBER(SEARCH("World",'RawData'!C7)),"",SUMIFS('RawData'!G:G,'RawData'!B:B,'RawData'!B7,'RawData'!C:C,"*World*"))</f>
        <v>110000</v>
      </c>
      <c r="I7" s="15">
        <f>IF(ISNUMBER(SEARCH("World",'RawData'!C7)),"",IFERROR(G7/H7,"-"))</f>
        <v>8.1818181818181816E-4</v>
      </c>
      <c r="J7" s="7">
        <f>IF(ISNUMBER(SEARCH("World",'RawData'!C7)),"",IF(ISNUMBER(SEARCH("Other",C7)),COUNTIFS('RawData'!B:B,B7,'RawData'!C:C,"&lt;&gt;*World*"),IF(OR(G7="",G7=0),"-",SUMPRODUCT(('RawData'!B$2:B$822=B7)*('RawData'!G$2:G$822&gt;G7)*(ISERROR(SEARCH("World",'RawData'!C$2:C$822)))*(ISERROR(SEARCH("Other",'RawData'!C$2:C$822))))+1)))</f>
        <v>14</v>
      </c>
      <c r="K7" s="14">
        <f>IF(ISNUMBER(SEARCH("World",'RawData'!C7)),"",'RawData'!H7)</f>
        <v>0</v>
      </c>
      <c r="L7" s="14">
        <f>IF(ISNUMBER(SEARCH("World",'RawData'!C7)),"",SUMIFS('RawData'!H:H,'RawData'!B:B,'RawData'!B7,'RawData'!C:C,"*World*"))</f>
        <v>2000000</v>
      </c>
      <c r="M7" s="15">
        <f>IF(ISNUMBER(SEARCH("World",'RawData'!C7)),"",IFERROR(K7/L7,"-"))</f>
        <v>0</v>
      </c>
      <c r="N7" s="7" t="str">
        <f>IF(ISNUMBER(SEARCH("World",'RawData'!C7)),"",IF(ISNUMBER(SEARCH("Other",C7)),COUNTIFS('RawData'!B:B,B7,'RawData'!C:C,"&lt;&gt;*World*"),IF(OR(K7="",K7=0),"-",SUMPRODUCT(('RawData'!B$2:B$822=B7)*('RawData'!H$2:H$822&gt;K7)*(ISERROR(SEARCH("World",'RawData'!C$2:C$822)))*(ISERROR(SEARCH("Other",'RawData'!C$2:C$822))))+1)))</f>
        <v>-</v>
      </c>
    </row>
    <row r="8" spans="1:14" x14ac:dyDescent="0.3">
      <c r="A8" s="4" t="str">
        <f>IF(ISNUMBER(SEARCH("World",'RawData'!C8)),"",'RawData'!A8)</f>
        <v>MCS2026</v>
      </c>
      <c r="B8" s="4" t="str">
        <f>IF(ISNUMBER(SEARCH("World",'RawData'!C8)),"",'RawData'!B8)</f>
        <v>Antimony</v>
      </c>
      <c r="C8" s="4" t="str">
        <f>IF(ISNUMBER(SEARCH("World",'RawData'!C8)),"",'RawData'!C8)</f>
        <v>Kazakhstan</v>
      </c>
      <c r="D8" s="4" t="str">
        <f>IF(ISNUMBER(SEARCH("World",'RawData'!C8)),"",'RawData'!D8)</f>
        <v>Mine production, antimony content</v>
      </c>
      <c r="E8" s="4" t="str">
        <f>IF(ISNUMBER(SEARCH("World",'RawData'!C8)),"",IF('RawData'!E8="WT001","kg",IF('RawData'!E8="WT002","ton",IF('RawData'!E8="WT003","k ton",""))))</f>
        <v>ton</v>
      </c>
      <c r="F8" s="14">
        <f>IF(ISNUMBER(SEARCH("World",'RawData'!C8)),"",'RawData'!F8)</f>
        <v>800</v>
      </c>
      <c r="G8" s="14">
        <f>IF(ISNUMBER(SEARCH("World",'RawData'!C8)),"",'RawData'!G8)</f>
        <v>800</v>
      </c>
      <c r="H8" s="14">
        <f>IF(ISNUMBER(SEARCH("World",'RawData'!C8)),"",SUMIFS('RawData'!G:G,'RawData'!B:B,'RawData'!B8,'RawData'!C:C,"*World*"))</f>
        <v>110000</v>
      </c>
      <c r="I8" s="15">
        <f>IF(ISNUMBER(SEARCH("World",'RawData'!C8)),"",IFERROR(G8/H8,"-"))</f>
        <v>7.2727272727272727E-3</v>
      </c>
      <c r="J8" s="7">
        <f>IF(ISNUMBER(SEARCH("World",'RawData'!C8)),"",IF(ISNUMBER(SEARCH("Other",C8)),COUNTIFS('RawData'!B:B,B8,'RawData'!C:C,"&lt;&gt;*World*"),IF(OR(G8="",G8=0),"-",SUMPRODUCT(('RawData'!B$2:B$822=B8)*('RawData'!G$2:G$822&gt;G8)*(ISERROR(SEARCH("World",'RawData'!C$2:C$822)))*(ISERROR(SEARCH("Other",'RawData'!C$2:C$822))))+1)))</f>
        <v>8</v>
      </c>
      <c r="K8" s="14">
        <f>IF(ISNUMBER(SEARCH("World",'RawData'!C8)),"",'RawData'!H8)</f>
        <v>0</v>
      </c>
      <c r="L8" s="14">
        <f>IF(ISNUMBER(SEARCH("World",'RawData'!C8)),"",SUMIFS('RawData'!H:H,'RawData'!B:B,'RawData'!B8,'RawData'!C:C,"*World*"))</f>
        <v>2000000</v>
      </c>
      <c r="M8" s="15">
        <f>IF(ISNUMBER(SEARCH("World",'RawData'!C8)),"",IFERROR(K8/L8,"-"))</f>
        <v>0</v>
      </c>
      <c r="N8" s="7" t="str">
        <f>IF(ISNUMBER(SEARCH("World",'RawData'!C8)),"",IF(ISNUMBER(SEARCH("Other",C8)),COUNTIFS('RawData'!B:B,B8,'RawData'!C:C,"&lt;&gt;*World*"),IF(OR(K8="",K8=0),"-",SUMPRODUCT(('RawData'!B$2:B$822=B8)*('RawData'!H$2:H$822&gt;K8)*(ISERROR(SEARCH("World",'RawData'!C$2:C$822)))*(ISERROR(SEARCH("Other",'RawData'!C$2:C$822))))+1)))</f>
        <v>-</v>
      </c>
    </row>
    <row r="9" spans="1:14" x14ac:dyDescent="0.3">
      <c r="A9" s="4" t="str">
        <f>IF(ISNUMBER(SEARCH("World",'RawData'!C9)),"",'RawData'!A9)</f>
        <v>MCS2026</v>
      </c>
      <c r="B9" s="4" t="str">
        <f>IF(ISNUMBER(SEARCH("World",'RawData'!C9)),"",'RawData'!B9)</f>
        <v>Antimony</v>
      </c>
      <c r="C9" s="4" t="str">
        <f>IF(ISNUMBER(SEARCH("World",'RawData'!C9)),"",'RawData'!C9)</f>
        <v>Kyrgyzstan</v>
      </c>
      <c r="D9" s="4" t="str">
        <f>IF(ISNUMBER(SEARCH("World",'RawData'!C9)),"",'RawData'!D9)</f>
        <v>Mine production, antimony content</v>
      </c>
      <c r="E9" s="4" t="str">
        <f>IF(ISNUMBER(SEARCH("World",'RawData'!C9)),"",IF('RawData'!E9="WT001","kg",IF('RawData'!E9="WT002","ton",IF('RawData'!E9="WT003","k ton",""))))</f>
        <v>ton</v>
      </c>
      <c r="F9" s="14">
        <f>IF(ISNUMBER(SEARCH("World",'RawData'!C9)),"",'RawData'!F9)</f>
        <v>700</v>
      </c>
      <c r="G9" s="14">
        <f>IF(ISNUMBER(SEARCH("World",'RawData'!C9)),"",'RawData'!G9)</f>
        <v>700</v>
      </c>
      <c r="H9" s="14">
        <f>IF(ISNUMBER(SEARCH("World",'RawData'!C9)),"",SUMIFS('RawData'!G:G,'RawData'!B:B,'RawData'!B9,'RawData'!C:C,"*World*"))</f>
        <v>110000</v>
      </c>
      <c r="I9" s="15">
        <f>IF(ISNUMBER(SEARCH("World",'RawData'!C9)),"",IFERROR(G9/H9,"-"))</f>
        <v>6.3636363636363638E-3</v>
      </c>
      <c r="J9" s="7">
        <f>IF(ISNUMBER(SEARCH("World",'RawData'!C9)),"",IF(ISNUMBER(SEARCH("Other",C9)),COUNTIFS('RawData'!B:B,B9,'RawData'!C:C,"&lt;&gt;*World*"),IF(OR(G9="",G9=0),"-",SUMPRODUCT(('RawData'!B$2:B$822=B9)*('RawData'!G$2:G$822&gt;G9)*(ISERROR(SEARCH("World",'RawData'!C$2:C$822)))*(ISERROR(SEARCH("Other",'RawData'!C$2:C$822))))+1)))</f>
        <v>9</v>
      </c>
      <c r="K9" s="14">
        <f>IF(ISNUMBER(SEARCH("World",'RawData'!C9)),"",'RawData'!H9)</f>
        <v>260000</v>
      </c>
      <c r="L9" s="14">
        <f>IF(ISNUMBER(SEARCH("World",'RawData'!C9)),"",SUMIFS('RawData'!H:H,'RawData'!B:B,'RawData'!B9,'RawData'!C:C,"*World*"))</f>
        <v>2000000</v>
      </c>
      <c r="M9" s="15">
        <f>IF(ISNUMBER(SEARCH("World",'RawData'!C9)),"",IFERROR(K9/L9,"-"))</f>
        <v>0.13</v>
      </c>
      <c r="N9" s="7">
        <f>IF(ISNUMBER(SEARCH("World",'RawData'!C9)),"",IF(ISNUMBER(SEARCH("Other",C9)),COUNTIFS('RawData'!B:B,B9,'RawData'!C:C,"&lt;&gt;*World*"),IF(OR(K9="",K9=0),"-",SUMPRODUCT(('RawData'!B$2:B$822=B9)*('RawData'!H$2:H$822&gt;K9)*(ISERROR(SEARCH("World",'RawData'!C$2:C$822)))*(ISERROR(SEARCH("Other",'RawData'!C$2:C$822))))+1)))</f>
        <v>4</v>
      </c>
    </row>
    <row r="10" spans="1:14" x14ac:dyDescent="0.3">
      <c r="A10" s="4" t="str">
        <f>IF(ISNUMBER(SEARCH("World",'RawData'!C10)),"",'RawData'!A10)</f>
        <v>MCS2026</v>
      </c>
      <c r="B10" s="4" t="str">
        <f>IF(ISNUMBER(SEARCH("World",'RawData'!C10)),"",'RawData'!B10)</f>
        <v>Antimony</v>
      </c>
      <c r="C10" s="4" t="str">
        <f>IF(ISNUMBER(SEARCH("World",'RawData'!C10)),"",'RawData'!C10)</f>
        <v>Laos</v>
      </c>
      <c r="D10" s="4" t="str">
        <f>IF(ISNUMBER(SEARCH("World",'RawData'!C10)),"",'RawData'!D10)</f>
        <v>Mine production, antimony content</v>
      </c>
      <c r="E10" s="4" t="str">
        <f>IF(ISNUMBER(SEARCH("World",'RawData'!C10)),"",IF('RawData'!E10="WT001","kg",IF('RawData'!E10="WT002","ton",IF('RawData'!E10="WT003","k ton",""))))</f>
        <v>ton</v>
      </c>
      <c r="F10" s="14">
        <f>IF(ISNUMBER(SEARCH("World",'RawData'!C10)),"",'RawData'!F10)</f>
        <v>200</v>
      </c>
      <c r="G10" s="14">
        <f>IF(ISNUMBER(SEARCH("World",'RawData'!C10)),"",'RawData'!G10)</f>
        <v>200</v>
      </c>
      <c r="H10" s="14">
        <f>IF(ISNUMBER(SEARCH("World",'RawData'!C10)),"",SUMIFS('RawData'!G:G,'RawData'!B:B,'RawData'!B10,'RawData'!C:C,"*World*"))</f>
        <v>110000</v>
      </c>
      <c r="I10" s="15">
        <f>IF(ISNUMBER(SEARCH("World",'RawData'!C10)),"",IFERROR(G10/H10,"-"))</f>
        <v>1.8181818181818182E-3</v>
      </c>
      <c r="J10" s="7">
        <f>IF(ISNUMBER(SEARCH("World",'RawData'!C10)),"",IF(ISNUMBER(SEARCH("Other",C10)),COUNTIFS('RawData'!B:B,B10,'RawData'!C:C,"&lt;&gt;*World*"),IF(OR(G10="",G10=0),"-",SUMPRODUCT(('RawData'!B$2:B$822=B10)*('RawData'!G$2:G$822&gt;G10)*(ISERROR(SEARCH("World",'RawData'!C$2:C$822)))*(ISERROR(SEARCH("Other",'RawData'!C$2:C$822))))+1)))</f>
        <v>13</v>
      </c>
      <c r="K10" s="14">
        <f>IF(ISNUMBER(SEARCH("World",'RawData'!C10)),"",'RawData'!H10)</f>
        <v>0</v>
      </c>
      <c r="L10" s="14">
        <f>IF(ISNUMBER(SEARCH("World",'RawData'!C10)),"",SUMIFS('RawData'!H:H,'RawData'!B:B,'RawData'!B10,'RawData'!C:C,"*World*"))</f>
        <v>2000000</v>
      </c>
      <c r="M10" s="15">
        <f>IF(ISNUMBER(SEARCH("World",'RawData'!C10)),"",IFERROR(K10/L10,"-"))</f>
        <v>0</v>
      </c>
      <c r="N10" s="7" t="str">
        <f>IF(ISNUMBER(SEARCH("World",'RawData'!C10)),"",IF(ISNUMBER(SEARCH("Other",C10)),COUNTIFS('RawData'!B:B,B10,'RawData'!C:C,"&lt;&gt;*World*"),IF(OR(K10="",K10=0),"-",SUMPRODUCT(('RawData'!B$2:B$822=B10)*('RawData'!H$2:H$822&gt;K10)*(ISERROR(SEARCH("World",'RawData'!C$2:C$822)))*(ISERROR(SEARCH("Other",'RawData'!C$2:C$822))))+1)))</f>
        <v>-</v>
      </c>
    </row>
    <row r="11" spans="1:14" x14ac:dyDescent="0.3">
      <c r="A11" s="4" t="str">
        <f>IF(ISNUMBER(SEARCH("World",'RawData'!C11)),"",'RawData'!A11)</f>
        <v>MCS2026</v>
      </c>
      <c r="B11" s="4" t="str">
        <f>IF(ISNUMBER(SEARCH("World",'RawData'!C11)),"",'RawData'!B11)</f>
        <v>Antimony</v>
      </c>
      <c r="C11" s="4" t="str">
        <f>IF(ISNUMBER(SEARCH("World",'RawData'!C11)),"",'RawData'!C11)</f>
        <v>Mexico</v>
      </c>
      <c r="D11" s="4" t="str">
        <f>IF(ISNUMBER(SEARCH("World",'RawData'!C11)),"",'RawData'!D11)</f>
        <v>Mine production, antimony content</v>
      </c>
      <c r="E11" s="4" t="str">
        <f>IF(ISNUMBER(SEARCH("World",'RawData'!C11)),"",IF('RawData'!E11="WT001","kg",IF('RawData'!E11="WT002","ton",IF('RawData'!E11="WT003","k ton",""))))</f>
        <v>ton</v>
      </c>
      <c r="F11" s="14">
        <f>IF(ISNUMBER(SEARCH("World",'RawData'!C11)),"",'RawData'!F11)</f>
        <v>600</v>
      </c>
      <c r="G11" s="14">
        <f>IF(ISNUMBER(SEARCH("World",'RawData'!C11)),"",'RawData'!G11)</f>
        <v>600</v>
      </c>
      <c r="H11" s="14">
        <f>IF(ISNUMBER(SEARCH("World",'RawData'!C11)),"",SUMIFS('RawData'!G:G,'RawData'!B:B,'RawData'!B11,'RawData'!C:C,"*World*"))</f>
        <v>110000</v>
      </c>
      <c r="I11" s="15">
        <f>IF(ISNUMBER(SEARCH("World",'RawData'!C11)),"",IFERROR(G11/H11,"-"))</f>
        <v>5.454545454545455E-3</v>
      </c>
      <c r="J11" s="7">
        <f>IF(ISNUMBER(SEARCH("World",'RawData'!C11)),"",IF(ISNUMBER(SEARCH("Other",C11)),COUNTIFS('RawData'!B:B,B11,'RawData'!C:C,"&lt;&gt;*World*"),IF(OR(G11="",G11=0),"-",SUMPRODUCT(('RawData'!B$2:B$822=B11)*('RawData'!G$2:G$822&gt;G11)*(ISERROR(SEARCH("World",'RawData'!C$2:C$822)))*(ISERROR(SEARCH("Other",'RawData'!C$2:C$822))))+1)))</f>
        <v>10</v>
      </c>
      <c r="K11" s="14">
        <f>IF(ISNUMBER(SEARCH("World",'RawData'!C11)),"",'RawData'!H11)</f>
        <v>18000</v>
      </c>
      <c r="L11" s="14">
        <f>IF(ISNUMBER(SEARCH("World",'RawData'!C11)),"",SUMIFS('RawData'!H:H,'RawData'!B:B,'RawData'!B11,'RawData'!C:C,"*World*"))</f>
        <v>2000000</v>
      </c>
      <c r="M11" s="15">
        <f>IF(ISNUMBER(SEARCH("World",'RawData'!C11)),"",IFERROR(K11/L11,"-"))</f>
        <v>8.9999999999999993E-3</v>
      </c>
      <c r="N11" s="7">
        <f>IF(ISNUMBER(SEARCH("World",'RawData'!C11)),"",IF(ISNUMBER(SEARCH("Other",C11)),COUNTIFS('RawData'!B:B,B11,'RawData'!C:C,"&lt;&gt;*World*"),IF(OR(K11="",K11=0),"-",SUMPRODUCT(('RawData'!B$2:B$822=B11)*('RawData'!H$2:H$822&gt;K11)*(ISERROR(SEARCH("World",'RawData'!C$2:C$822)))*(ISERROR(SEARCH("Other",'RawData'!C$2:C$822))))+1)))</f>
        <v>13</v>
      </c>
    </row>
    <row r="12" spans="1:14" x14ac:dyDescent="0.3">
      <c r="A12" s="4" t="str">
        <f>IF(ISNUMBER(SEARCH("World",'RawData'!C12)),"",'RawData'!A12)</f>
        <v>MCS2026</v>
      </c>
      <c r="B12" s="4" t="str">
        <f>IF(ISNUMBER(SEARCH("World",'RawData'!C12)),"",'RawData'!B12)</f>
        <v>Antimony</v>
      </c>
      <c r="C12" s="4" t="str">
        <f>IF(ISNUMBER(SEARCH("World",'RawData'!C12)),"",'RawData'!C12)</f>
        <v>Myanmar</v>
      </c>
      <c r="D12" s="4" t="str">
        <f>IF(ISNUMBER(SEARCH("World",'RawData'!C12)),"",'RawData'!D12)</f>
        <v>Mine production, antimony content</v>
      </c>
      <c r="E12" s="4" t="str">
        <f>IF(ISNUMBER(SEARCH("World",'RawData'!C12)),"",IF('RawData'!E12="WT001","kg",IF('RawData'!E12="WT002","ton",IF('RawData'!E12="WT003","k ton",""))))</f>
        <v>ton</v>
      </c>
      <c r="F12" s="14">
        <f>IF(ISNUMBER(SEARCH("World",'RawData'!C12)),"",'RawData'!F12)</f>
        <v>4500</v>
      </c>
      <c r="G12" s="14">
        <f>IF(ISNUMBER(SEARCH("World",'RawData'!C12)),"",'RawData'!G12)</f>
        <v>4500</v>
      </c>
      <c r="H12" s="14">
        <f>IF(ISNUMBER(SEARCH("World",'RawData'!C12)),"",SUMIFS('RawData'!G:G,'RawData'!B:B,'RawData'!B12,'RawData'!C:C,"*World*"))</f>
        <v>110000</v>
      </c>
      <c r="I12" s="15">
        <f>IF(ISNUMBER(SEARCH("World",'RawData'!C12)),"",IFERROR(G12/H12,"-"))</f>
        <v>4.0909090909090909E-2</v>
      </c>
      <c r="J12" s="7">
        <f>IF(ISNUMBER(SEARCH("World",'RawData'!C12)),"",IF(ISNUMBER(SEARCH("Other",C12)),COUNTIFS('RawData'!B:B,B12,'RawData'!C:C,"&lt;&gt;*World*"),IF(OR(G12="",G12=0),"-",SUMPRODUCT(('RawData'!B$2:B$822=B12)*('RawData'!G$2:G$822&gt;G12)*(ISERROR(SEARCH("World",'RawData'!C$2:C$822)))*(ISERROR(SEARCH("Other",'RawData'!C$2:C$822))))+1)))</f>
        <v>5</v>
      </c>
      <c r="K12" s="14">
        <f>IF(ISNUMBER(SEARCH("World",'RawData'!C12)),"",'RawData'!H12)</f>
        <v>140000</v>
      </c>
      <c r="L12" s="14">
        <f>IF(ISNUMBER(SEARCH("World",'RawData'!C12)),"",SUMIFS('RawData'!H:H,'RawData'!B:B,'RawData'!B12,'RawData'!C:C,"*World*"))</f>
        <v>2000000</v>
      </c>
      <c r="M12" s="15">
        <f>IF(ISNUMBER(SEARCH("World",'RawData'!C12)),"",IFERROR(K12/L12,"-"))</f>
        <v>7.0000000000000007E-2</v>
      </c>
      <c r="N12" s="7">
        <f>IF(ISNUMBER(SEARCH("World",'RawData'!C12)),"",IF(ISNUMBER(SEARCH("Other",C12)),COUNTIFS('RawData'!B:B,B12,'RawData'!C:C,"&lt;&gt;*World*"),IF(OR(K12="",K12=0),"-",SUMPRODUCT(('RawData'!B$2:B$822=B12)*('RawData'!H$2:H$822&gt;K12)*(ISERROR(SEARCH("World",'RawData'!C$2:C$822)))*(ISERROR(SEARCH("Other",'RawData'!C$2:C$822))))+1)))</f>
        <v>5</v>
      </c>
    </row>
    <row r="13" spans="1:14" x14ac:dyDescent="0.3">
      <c r="A13" s="4" t="str">
        <f>IF(ISNUMBER(SEARCH("World",'RawData'!C13)),"",'RawData'!A13)</f>
        <v>MCS2026</v>
      </c>
      <c r="B13" s="4" t="str">
        <f>IF(ISNUMBER(SEARCH("World",'RawData'!C13)),"",'RawData'!B13)</f>
        <v>Antimony</v>
      </c>
      <c r="C13" s="4" t="str">
        <f>IF(ISNUMBER(SEARCH("World",'RawData'!C13)),"",'RawData'!C13)</f>
        <v>Pakistan</v>
      </c>
      <c r="D13" s="4" t="str">
        <f>IF(ISNUMBER(SEARCH("World",'RawData'!C13)),"",'RawData'!D13)</f>
        <v>Mine production, antimony content</v>
      </c>
      <c r="E13" s="4" t="str">
        <f>IF(ISNUMBER(SEARCH("World",'RawData'!C13)),"",IF('RawData'!E13="WT001","kg",IF('RawData'!E13="WT002","ton",IF('RawData'!E13="WT003","k ton",""))))</f>
        <v>ton</v>
      </c>
      <c r="F13" s="14">
        <f>IF(ISNUMBER(SEARCH("World",'RawData'!C13)),"",'RawData'!F13)</f>
        <v>260</v>
      </c>
      <c r="G13" s="14">
        <f>IF(ISNUMBER(SEARCH("World",'RawData'!C13)),"",'RawData'!G13)</f>
        <v>260</v>
      </c>
      <c r="H13" s="14">
        <f>IF(ISNUMBER(SEARCH("World",'RawData'!C13)),"",SUMIFS('RawData'!G:G,'RawData'!B:B,'RawData'!B13,'RawData'!C:C,"*World*"))</f>
        <v>110000</v>
      </c>
      <c r="I13" s="15">
        <f>IF(ISNUMBER(SEARCH("World",'RawData'!C13)),"",IFERROR(G13/H13,"-"))</f>
        <v>2.3636363636363638E-3</v>
      </c>
      <c r="J13" s="7">
        <f>IF(ISNUMBER(SEARCH("World",'RawData'!C13)),"",IF(ISNUMBER(SEARCH("Other",C13)),COUNTIFS('RawData'!B:B,B13,'RawData'!C:C,"&lt;&gt;*World*"),IF(OR(G13="",G13=0),"-",SUMPRODUCT(('RawData'!B$2:B$822=B13)*('RawData'!G$2:G$822&gt;G13)*(ISERROR(SEARCH("World",'RawData'!C$2:C$822)))*(ISERROR(SEARCH("Other",'RawData'!C$2:C$822))))+1)))</f>
        <v>11</v>
      </c>
      <c r="K13" s="14">
        <f>IF(ISNUMBER(SEARCH("World",'RawData'!C13)),"",'RawData'!H13)</f>
        <v>26000</v>
      </c>
      <c r="L13" s="14">
        <f>IF(ISNUMBER(SEARCH("World",'RawData'!C13)),"",SUMIFS('RawData'!H:H,'RawData'!B:B,'RawData'!B13,'RawData'!C:C,"*World*"))</f>
        <v>2000000</v>
      </c>
      <c r="M13" s="15">
        <f>IF(ISNUMBER(SEARCH("World",'RawData'!C13)),"",IFERROR(K13/L13,"-"))</f>
        <v>1.2999999999999999E-2</v>
      </c>
      <c r="N13" s="7">
        <f>IF(ISNUMBER(SEARCH("World",'RawData'!C13)),"",IF(ISNUMBER(SEARCH("Other",C13)),COUNTIFS('RawData'!B:B,B13,'RawData'!C:C,"&lt;&gt;*World*"),IF(OR(K13="",K13=0),"-",SUMPRODUCT(('RawData'!B$2:B$822=B13)*('RawData'!H$2:H$822&gt;K13)*(ISERROR(SEARCH("World",'RawData'!C$2:C$822)))*(ISERROR(SEARCH("Other",'RawData'!C$2:C$822))))+1)))</f>
        <v>12</v>
      </c>
    </row>
    <row r="14" spans="1:14" x14ac:dyDescent="0.3">
      <c r="A14" s="4" t="str">
        <f>IF(ISNUMBER(SEARCH("World",'RawData'!C14)),"",'RawData'!A14)</f>
        <v>MCS2026</v>
      </c>
      <c r="B14" s="4" t="str">
        <f>IF(ISNUMBER(SEARCH("World",'RawData'!C14)),"",'RawData'!B14)</f>
        <v>Antimony</v>
      </c>
      <c r="C14" s="4" t="str">
        <f>IF(ISNUMBER(SEARCH("World",'RawData'!C14)),"",'RawData'!C14)</f>
        <v>Turkiye</v>
      </c>
      <c r="D14" s="4" t="str">
        <f>IF(ISNUMBER(SEARCH("World",'RawData'!C14)),"",'RawData'!D14)</f>
        <v>Mine production, antimony content</v>
      </c>
      <c r="E14" s="4" t="str">
        <f>IF(ISNUMBER(SEARCH("World",'RawData'!C14)),"",IF('RawData'!E14="WT001","kg",IF('RawData'!E14="WT002","ton",IF('RawData'!E14="WT003","k ton",""))))</f>
        <v>ton</v>
      </c>
      <c r="F14" s="14">
        <f>IF(ISNUMBER(SEARCH("World",'RawData'!C14)),"",'RawData'!F14)</f>
        <v>3000</v>
      </c>
      <c r="G14" s="14">
        <f>IF(ISNUMBER(SEARCH("World",'RawData'!C14)),"",'RawData'!G14)</f>
        <v>3000</v>
      </c>
      <c r="H14" s="14">
        <f>IF(ISNUMBER(SEARCH("World",'RawData'!C14)),"",SUMIFS('RawData'!G:G,'RawData'!B:B,'RawData'!B14,'RawData'!C:C,"*World*"))</f>
        <v>110000</v>
      </c>
      <c r="I14" s="15">
        <f>IF(ISNUMBER(SEARCH("World",'RawData'!C14)),"",IFERROR(G14/H14,"-"))</f>
        <v>2.7272727272727271E-2</v>
      </c>
      <c r="J14" s="7">
        <f>IF(ISNUMBER(SEARCH("World",'RawData'!C14)),"",IF(ISNUMBER(SEARCH("Other",C14)),COUNTIFS('RawData'!B:B,B14,'RawData'!C:C,"&lt;&gt;*World*"),IF(OR(G14="",G14=0),"-",SUMPRODUCT(('RawData'!B$2:B$822=B14)*('RawData'!G$2:G$822&gt;G14)*(ISERROR(SEARCH("World",'RawData'!C$2:C$822)))*(ISERROR(SEARCH("Other",'RawData'!C$2:C$822))))+1)))</f>
        <v>6</v>
      </c>
      <c r="K14" s="14">
        <f>IF(ISNUMBER(SEARCH("World",'RawData'!C14)),"",'RawData'!H14)</f>
        <v>99000</v>
      </c>
      <c r="L14" s="14">
        <f>IF(ISNUMBER(SEARCH("World",'RawData'!C14)),"",SUMIFS('RawData'!H:H,'RawData'!B:B,'RawData'!B14,'RawData'!C:C,"*World*"))</f>
        <v>2000000</v>
      </c>
      <c r="M14" s="15">
        <f>IF(ISNUMBER(SEARCH("World",'RawData'!C14)),"",IFERROR(K14/L14,"-"))</f>
        <v>4.9500000000000002E-2</v>
      </c>
      <c r="N14" s="7">
        <f>IF(ISNUMBER(SEARCH("World",'RawData'!C14)),"",IF(ISNUMBER(SEARCH("Other",C14)),COUNTIFS('RawData'!B:B,B14,'RawData'!C:C,"&lt;&gt;*World*"),IF(OR(K14="",K14=0),"-",SUMPRODUCT(('RawData'!B$2:B$822=B14)*('RawData'!H$2:H$822&gt;K14)*(ISERROR(SEARCH("World",'RawData'!C$2:C$822)))*(ISERROR(SEARCH("Other",'RawData'!C$2:C$822))))+1)))</f>
        <v>7</v>
      </c>
    </row>
    <row r="15" spans="1:14" x14ac:dyDescent="0.3">
      <c r="A15" s="4" t="str">
        <f>IF(ISNUMBER(SEARCH("World",'RawData'!C15)),"",'RawData'!A15)</f>
        <v>MCS2026</v>
      </c>
      <c r="B15" s="4" t="str">
        <f>IF(ISNUMBER(SEARCH("World",'RawData'!C15)),"",'RawData'!B15)</f>
        <v>Antimony</v>
      </c>
      <c r="C15" s="4" t="str">
        <f>IF(ISNUMBER(SEARCH("World",'RawData'!C15)),"",'RawData'!C15)</f>
        <v xml:space="preserve">Russia </v>
      </c>
      <c r="D15" s="4" t="str">
        <f>IF(ISNUMBER(SEARCH("World",'RawData'!C15)),"",'RawData'!D15)</f>
        <v>Mine production, antimony content</v>
      </c>
      <c r="E15" s="4" t="str">
        <f>IF(ISNUMBER(SEARCH("World",'RawData'!C15)),"",IF('RawData'!E15="WT001","kg",IF('RawData'!E15="WT002","ton",IF('RawData'!E15="WT003","k ton",""))))</f>
        <v>ton</v>
      </c>
      <c r="F15" s="14">
        <f>IF(ISNUMBER(SEARCH("World",'RawData'!C15)),"",'RawData'!F15)</f>
        <v>40000</v>
      </c>
      <c r="G15" s="14">
        <f>IF(ISNUMBER(SEARCH("World",'RawData'!C15)),"",'RawData'!G15)</f>
        <v>32000</v>
      </c>
      <c r="H15" s="14">
        <f>IF(ISNUMBER(SEARCH("World",'RawData'!C15)),"",SUMIFS('RawData'!G:G,'RawData'!B:B,'RawData'!B15,'RawData'!C:C,"*World*"))</f>
        <v>110000</v>
      </c>
      <c r="I15" s="15">
        <f>IF(ISNUMBER(SEARCH("World",'RawData'!C15)),"",IFERROR(G15/H15,"-"))</f>
        <v>0.29090909090909089</v>
      </c>
      <c r="J15" s="7">
        <f>IF(ISNUMBER(SEARCH("World",'RawData'!C15)),"",IF(ISNUMBER(SEARCH("Other",C15)),COUNTIFS('RawData'!B:B,B15,'RawData'!C:C,"&lt;&gt;*World*"),IF(OR(G15="",G15=0),"-",SUMPRODUCT(('RawData'!B$2:B$822=B15)*('RawData'!G$2:G$822&gt;G15)*(ISERROR(SEARCH("World",'RawData'!C$2:C$822)))*(ISERROR(SEARCH("Other",'RawData'!C$2:C$822))))+1)))</f>
        <v>2</v>
      </c>
      <c r="K15" s="14">
        <f>IF(ISNUMBER(SEARCH("World",'RawData'!C15)),"",'RawData'!H15)</f>
        <v>350000</v>
      </c>
      <c r="L15" s="14">
        <f>IF(ISNUMBER(SEARCH("World",'RawData'!C15)),"",SUMIFS('RawData'!H:H,'RawData'!B:B,'RawData'!B15,'RawData'!C:C,"*World*"))</f>
        <v>2000000</v>
      </c>
      <c r="M15" s="15">
        <f>IF(ISNUMBER(SEARCH("World",'RawData'!C15)),"",IFERROR(K15/L15,"-"))</f>
        <v>0.17499999999999999</v>
      </c>
      <c r="N15" s="7">
        <f>IF(ISNUMBER(SEARCH("World",'RawData'!C15)),"",IF(ISNUMBER(SEARCH("Other",C15)),COUNTIFS('RawData'!B:B,B15,'RawData'!C:C,"&lt;&gt;*World*"),IF(OR(K15="",K15=0),"-",SUMPRODUCT(('RawData'!B$2:B$822=B15)*('RawData'!H$2:H$822&gt;K15)*(ISERROR(SEARCH("World",'RawData'!C$2:C$822)))*(ISERROR(SEARCH("Other",'RawData'!C$2:C$822))))+1)))</f>
        <v>2</v>
      </c>
    </row>
    <row r="16" spans="1:14" x14ac:dyDescent="0.3">
      <c r="A16" s="4" t="str">
        <f>IF(ISNUMBER(SEARCH("World",'RawData'!C16)),"",'RawData'!A16)</f>
        <v>MCS2026</v>
      </c>
      <c r="B16" s="4" t="str">
        <f>IF(ISNUMBER(SEARCH("World",'RawData'!C16)),"",'RawData'!B16)</f>
        <v>Antimony</v>
      </c>
      <c r="C16" s="4" t="str">
        <f>IF(ISNUMBER(SEARCH("World",'RawData'!C16)),"",'RawData'!C16)</f>
        <v>Tajikistan</v>
      </c>
      <c r="D16" s="4" t="str">
        <f>IF(ISNUMBER(SEARCH("World",'RawData'!C16)),"",'RawData'!D16)</f>
        <v>Mine production, antimony content</v>
      </c>
      <c r="E16" s="4" t="str">
        <f>IF(ISNUMBER(SEARCH("World",'RawData'!C16)),"",IF('RawData'!E16="WT001","kg",IF('RawData'!E16="WT002","ton",IF('RawData'!E16="WT003","k ton",""))))</f>
        <v>ton</v>
      </c>
      <c r="F16" s="14">
        <f>IF(ISNUMBER(SEARCH("World",'RawData'!C16)),"",'RawData'!F16)</f>
        <v>22000</v>
      </c>
      <c r="G16" s="14">
        <f>IF(ISNUMBER(SEARCH("World",'RawData'!C16)),"",'RawData'!G16)</f>
        <v>22000</v>
      </c>
      <c r="H16" s="14">
        <f>IF(ISNUMBER(SEARCH("World",'RawData'!C16)),"",SUMIFS('RawData'!G:G,'RawData'!B:B,'RawData'!B16,'RawData'!C:C,"*World*"))</f>
        <v>110000</v>
      </c>
      <c r="I16" s="15">
        <f>IF(ISNUMBER(SEARCH("World",'RawData'!C16)),"",IFERROR(G16/H16,"-"))</f>
        <v>0.2</v>
      </c>
      <c r="J16" s="7">
        <f>IF(ISNUMBER(SEARCH("World",'RawData'!C16)),"",IF(ISNUMBER(SEARCH("Other",C16)),COUNTIFS('RawData'!B:B,B16,'RawData'!C:C,"&lt;&gt;*World*"),IF(OR(G16="",G16=0),"-",SUMPRODUCT(('RawData'!B$2:B$822=B16)*('RawData'!G$2:G$822&gt;G16)*(ISERROR(SEARCH("World",'RawData'!C$2:C$822)))*(ISERROR(SEARCH("Other",'RawData'!C$2:C$822))))+1)))</f>
        <v>3</v>
      </c>
      <c r="K16" s="14">
        <f>IF(ISNUMBER(SEARCH("World",'RawData'!C16)),"",'RawData'!H16)</f>
        <v>60000</v>
      </c>
      <c r="L16" s="14">
        <f>IF(ISNUMBER(SEARCH("World",'RawData'!C16)),"",SUMIFS('RawData'!H:H,'RawData'!B:B,'RawData'!B16,'RawData'!C:C,"*World*"))</f>
        <v>2000000</v>
      </c>
      <c r="M16" s="15">
        <f>IF(ISNUMBER(SEARCH("World",'RawData'!C16)),"",IFERROR(K16/L16,"-"))</f>
        <v>0.03</v>
      </c>
      <c r="N16" s="7">
        <f>IF(ISNUMBER(SEARCH("World",'RawData'!C16)),"",IF(ISNUMBER(SEARCH("Other",C16)),COUNTIFS('RawData'!B:B,B16,'RawData'!C:C,"&lt;&gt;*World*"),IF(OR(K16="",K16=0),"-",SUMPRODUCT(('RawData'!B$2:B$822=B16)*('RawData'!H$2:H$822&gt;K16)*(ISERROR(SEARCH("World",'RawData'!C$2:C$822)))*(ISERROR(SEARCH("Other",'RawData'!C$2:C$822))))+1)))</f>
        <v>9</v>
      </c>
    </row>
    <row r="17" spans="1:14" x14ac:dyDescent="0.3">
      <c r="A17" s="4" t="str">
        <f>IF(ISNUMBER(SEARCH("World",'RawData'!C17)),"",'RawData'!A17)</f>
        <v>MCS2026</v>
      </c>
      <c r="B17" s="4" t="str">
        <f>IF(ISNUMBER(SEARCH("World",'RawData'!C17)),"",'RawData'!B17)</f>
        <v>Antimony</v>
      </c>
      <c r="C17" s="4" t="str">
        <f>IF(ISNUMBER(SEARCH("World",'RawData'!C17)),"",'RawData'!C17)</f>
        <v>United States</v>
      </c>
      <c r="D17" s="4" t="str">
        <f>IF(ISNUMBER(SEARCH("World",'RawData'!C17)),"",'RawData'!D17)</f>
        <v>Mine production, antimony content</v>
      </c>
      <c r="E17" s="4" t="str">
        <f>IF(ISNUMBER(SEARCH("World",'RawData'!C17)),"",IF('RawData'!E17="WT001","kg",IF('RawData'!E17="WT002","ton",IF('RawData'!E17="WT003","k ton",""))))</f>
        <v>ton</v>
      </c>
      <c r="F17" s="14">
        <f>IF(ISNUMBER(SEARCH("World",'RawData'!C17)),"",'RawData'!F17)</f>
        <v>0</v>
      </c>
      <c r="G17" s="14">
        <f>IF(ISNUMBER(SEARCH("World",'RawData'!C17)),"",'RawData'!G17)</f>
        <v>0</v>
      </c>
      <c r="H17" s="14">
        <f>IF(ISNUMBER(SEARCH("World",'RawData'!C17)),"",SUMIFS('RawData'!G:G,'RawData'!B:B,'RawData'!B17,'RawData'!C:C,"*World*"))</f>
        <v>110000</v>
      </c>
      <c r="I17" s="15">
        <f>IF(ISNUMBER(SEARCH("World",'RawData'!C17)),"",IFERROR(G17/H17,"-"))</f>
        <v>0</v>
      </c>
      <c r="J17" s="7" t="str">
        <f>IF(ISNUMBER(SEARCH("World",'RawData'!C17)),"",IF(ISNUMBER(SEARCH("Other",C17)),COUNTIFS('RawData'!B:B,B17,'RawData'!C:C,"&lt;&gt;*World*"),IF(OR(G17="",G17=0),"-",SUMPRODUCT(('RawData'!B$2:B$822=B17)*('RawData'!G$2:G$822&gt;G17)*(ISERROR(SEARCH("World",'RawData'!C$2:C$822)))*(ISERROR(SEARCH("Other",'RawData'!C$2:C$822))))+1)))</f>
        <v>-</v>
      </c>
      <c r="K17" s="14">
        <f>IF(ISNUMBER(SEARCH("World",'RawData'!C17)),"",'RawData'!H17)</f>
        <v>60000</v>
      </c>
      <c r="L17" s="14">
        <f>IF(ISNUMBER(SEARCH("World",'RawData'!C17)),"",SUMIFS('RawData'!H:H,'RawData'!B:B,'RawData'!B17,'RawData'!C:C,"*World*"))</f>
        <v>2000000</v>
      </c>
      <c r="M17" s="15">
        <f>IF(ISNUMBER(SEARCH("World",'RawData'!C17)),"",IFERROR(K17/L17,"-"))</f>
        <v>0.03</v>
      </c>
      <c r="N17" s="7">
        <f>IF(ISNUMBER(SEARCH("World",'RawData'!C17)),"",IF(ISNUMBER(SEARCH("Other",C17)),COUNTIFS('RawData'!B:B,B17,'RawData'!C:C,"&lt;&gt;*World*"),IF(OR(K17="",K17=0),"-",SUMPRODUCT(('RawData'!B$2:B$822=B17)*('RawData'!H$2:H$822&gt;K17)*(ISERROR(SEARCH("World",'RawData'!C$2:C$822)))*(ISERROR(SEARCH("Other",'RawData'!C$2:C$822))))+1)))</f>
        <v>9</v>
      </c>
    </row>
    <row r="18" spans="1:14" x14ac:dyDescent="0.3">
      <c r="A18" s="4" t="str">
        <f>IF(ISNUMBER(SEARCH("World",'RawData'!C18)),"",'RawData'!A18)</f>
        <v>MCS2026</v>
      </c>
      <c r="B18" s="4" t="str">
        <f>IF(ISNUMBER(SEARCH("World",'RawData'!C18)),"",'RawData'!B18)</f>
        <v>Antimony</v>
      </c>
      <c r="C18" s="4" t="str">
        <f>IF(ISNUMBER(SEARCH("World",'RawData'!C18)),"",'RawData'!C18)</f>
        <v>Vietnam</v>
      </c>
      <c r="D18" s="4" t="str">
        <f>IF(ISNUMBER(SEARCH("World",'RawData'!C18)),"",'RawData'!D18)</f>
        <v>Mine production, antimony content</v>
      </c>
      <c r="E18" s="4" t="str">
        <f>IF(ISNUMBER(SEARCH("World",'RawData'!C18)),"",IF('RawData'!E18="WT001","kg",IF('RawData'!E18="WT002","ton",IF('RawData'!E18="WT003","k ton",""))))</f>
        <v>ton</v>
      </c>
      <c r="F18" s="14">
        <f>IF(ISNUMBER(SEARCH("World",'RawData'!C18)),"",'RawData'!F18)</f>
        <v>220</v>
      </c>
      <c r="G18" s="14">
        <f>IF(ISNUMBER(SEARCH("World",'RawData'!C18)),"",'RawData'!G18)</f>
        <v>220</v>
      </c>
      <c r="H18" s="14">
        <f>IF(ISNUMBER(SEARCH("World",'RawData'!C18)),"",SUMIFS('RawData'!G:G,'RawData'!B:B,'RawData'!B18,'RawData'!C:C,"*World*"))</f>
        <v>110000</v>
      </c>
      <c r="I18" s="15">
        <f>IF(ISNUMBER(SEARCH("World",'RawData'!C18)),"",IFERROR(G18/H18,"-"))</f>
        <v>2E-3</v>
      </c>
      <c r="J18" s="7">
        <f>IF(ISNUMBER(SEARCH("World",'RawData'!C18)),"",IF(ISNUMBER(SEARCH("Other",C18)),COUNTIFS('RawData'!B:B,B18,'RawData'!C:C,"&lt;&gt;*World*"),IF(OR(G18="",G18=0),"-",SUMPRODUCT(('RawData'!B$2:B$822=B18)*('RawData'!G$2:G$822&gt;G18)*(ISERROR(SEARCH("World",'RawData'!C$2:C$822)))*(ISERROR(SEARCH("Other",'RawData'!C$2:C$822))))+1)))</f>
        <v>12</v>
      </c>
      <c r="K18" s="14">
        <f>IF(ISNUMBER(SEARCH("World",'RawData'!C18)),"",'RawData'!H18)</f>
        <v>54000</v>
      </c>
      <c r="L18" s="14">
        <f>IF(ISNUMBER(SEARCH("World",'RawData'!C18)),"",SUMIFS('RawData'!H:H,'RawData'!B:B,'RawData'!B18,'RawData'!C:C,"*World*"))</f>
        <v>2000000</v>
      </c>
      <c r="M18" s="15">
        <f>IF(ISNUMBER(SEARCH("World",'RawData'!C18)),"",IFERROR(K18/L18,"-"))</f>
        <v>2.7E-2</v>
      </c>
      <c r="N18" s="7">
        <f>IF(ISNUMBER(SEARCH("World",'RawData'!C18)),"",IF(ISNUMBER(SEARCH("Other",C18)),COUNTIFS('RawData'!B:B,B18,'RawData'!C:C,"&lt;&gt;*World*"),IF(OR(K18="",K18=0),"-",SUMPRODUCT(('RawData'!B$2:B$822=B18)*('RawData'!H$2:H$822&gt;K18)*(ISERROR(SEARCH("World",'RawData'!C$2:C$822)))*(ISERROR(SEARCH("Other",'RawData'!C$2:C$822))))+1)))</f>
        <v>11</v>
      </c>
    </row>
    <row r="19" spans="1:14" x14ac:dyDescent="0.3">
      <c r="A19" s="4" t="str">
        <f>IF(ISNUMBER(SEARCH("World",'RawData'!C20)),"",'RawData'!A20)</f>
        <v>MCS2026</v>
      </c>
      <c r="B19" s="4" t="str">
        <f>IF(ISNUMBER(SEARCH("World",'RawData'!C20)),"",'RawData'!B20)</f>
        <v>Arsenic</v>
      </c>
      <c r="C19" s="4" t="str">
        <f>IF(ISNUMBER(SEARCH("World",'RawData'!C20)),"",'RawData'!C20)</f>
        <v>Belgium</v>
      </c>
      <c r="D19" s="4" t="str">
        <f>IF(ISNUMBER(SEARCH("World",'RawData'!C20)),"",'RawData'!D20)</f>
        <v>Plant production, arsenic trioxide or calculated equivalent.</v>
      </c>
      <c r="E19" s="4" t="str">
        <f>IF(ISNUMBER(SEARCH("World",'RawData'!C20)),"",IF('RawData'!E20="WT001","kg",IF('RawData'!E20="WT002","ton",IF('RawData'!E20="WT003","k ton",""))))</f>
        <v>ton</v>
      </c>
      <c r="F19" s="14">
        <f>IF(ISNUMBER(SEARCH("World",'RawData'!C20)),"",'RawData'!F20)</f>
        <v>1000</v>
      </c>
      <c r="G19" s="14">
        <f>IF(ISNUMBER(SEARCH("World",'RawData'!C20)),"",'RawData'!G20)</f>
        <v>1000</v>
      </c>
      <c r="H19" s="14">
        <f>IF(ISNUMBER(SEARCH("World",'RawData'!C20)),"",SUMIFS('RawData'!G:G,'RawData'!B:B,'RawData'!B20,'RawData'!C:C,"*World*"))</f>
        <v>61000</v>
      </c>
      <c r="I19" s="15">
        <f>IF(ISNUMBER(SEARCH("World",'RawData'!C20)),"",IFERROR(G19/H19,"-"))</f>
        <v>1.6393442622950821E-2</v>
      </c>
      <c r="J19" s="7">
        <f>IF(ISNUMBER(SEARCH("World",'RawData'!C20)),"",IF(ISNUMBER(SEARCH("Other",C19)),COUNTIFS('RawData'!B:B,B19,'RawData'!C:C,"&lt;&gt;*World*"),IF(OR(G19="",G19=0),"-",SUMPRODUCT(('RawData'!B$2:B$822=B19)*('RawData'!G$2:G$822&gt;G19)*(ISERROR(SEARCH("World",'RawData'!C$2:C$822)))*(ISERROR(SEARCH("Other",'RawData'!C$2:C$822))))+1)))</f>
        <v>4</v>
      </c>
      <c r="K19" s="14">
        <f>IF(ISNUMBER(SEARCH("World",'RawData'!C20)),"",'RawData'!H20)</f>
        <v>0</v>
      </c>
      <c r="L19" s="14">
        <f>IF(ISNUMBER(SEARCH("World",'RawData'!C20)),"",SUMIFS('RawData'!H:H,'RawData'!B:B,'RawData'!B20,'RawData'!C:C,"*World*"))</f>
        <v>0</v>
      </c>
      <c r="M19" s="15" t="str">
        <f>IF(ISNUMBER(SEARCH("World",'RawData'!C20)),"",IFERROR(K19/L19,"-"))</f>
        <v>-</v>
      </c>
      <c r="N19" s="7" t="str">
        <f>IF(ISNUMBER(SEARCH("World",'RawData'!C20)),"",IF(ISNUMBER(SEARCH("Other",C19)),COUNTIFS('RawData'!B:B,B19,'RawData'!C:C,"&lt;&gt;*World*"),IF(OR(K19="",K19=0),"-",SUMPRODUCT(('RawData'!B$2:B$822=B19)*('RawData'!H$2:H$822&gt;K19)*(ISERROR(SEARCH("World",'RawData'!C$2:C$822)))*(ISERROR(SEARCH("Other",'RawData'!C$2:C$822))))+1)))</f>
        <v>-</v>
      </c>
    </row>
    <row r="20" spans="1:14" x14ac:dyDescent="0.3">
      <c r="A20" s="4" t="str">
        <f>IF(ISNUMBER(SEARCH("World",'RawData'!C21)),"",'RawData'!A21)</f>
        <v>MCS2026</v>
      </c>
      <c r="B20" s="4" t="str">
        <f>IF(ISNUMBER(SEARCH("World",'RawData'!C21)),"",'RawData'!B21)</f>
        <v>Arsenic</v>
      </c>
      <c r="C20" s="4" t="str">
        <f>IF(ISNUMBER(SEARCH("World",'RawData'!C21)),"",'RawData'!C21)</f>
        <v>China</v>
      </c>
      <c r="D20" s="4" t="str">
        <f>IF(ISNUMBER(SEARCH("World",'RawData'!C21)),"",'RawData'!D21)</f>
        <v>Plant production, arsenic trioxide or calculated equivalent.</v>
      </c>
      <c r="E20" s="4" t="str">
        <f>IF(ISNUMBER(SEARCH("World",'RawData'!C21)),"",IF('RawData'!E21="WT001","kg",IF('RawData'!E21="WT002","ton",IF('RawData'!E21="WT003","k ton",""))))</f>
        <v>ton</v>
      </c>
      <c r="F20" s="14">
        <f>IF(ISNUMBER(SEARCH("World",'RawData'!C21)),"",'RawData'!F21)</f>
        <v>24000</v>
      </c>
      <c r="G20" s="14">
        <f>IF(ISNUMBER(SEARCH("World",'RawData'!C21)),"",'RawData'!G21)</f>
        <v>24000</v>
      </c>
      <c r="H20" s="14">
        <f>IF(ISNUMBER(SEARCH("World",'RawData'!C21)),"",SUMIFS('RawData'!G:G,'RawData'!B:B,'RawData'!B21,'RawData'!C:C,"*World*"))</f>
        <v>61000</v>
      </c>
      <c r="I20" s="15">
        <f>IF(ISNUMBER(SEARCH("World",'RawData'!C21)),"",IFERROR(G20/H20,"-"))</f>
        <v>0.39344262295081966</v>
      </c>
      <c r="J20" s="7">
        <f>IF(ISNUMBER(SEARCH("World",'RawData'!C21)),"",IF(ISNUMBER(SEARCH("Other",C20)),COUNTIFS('RawData'!B:B,B20,'RawData'!C:C,"&lt;&gt;*World*"),IF(OR(G20="",G20=0),"-",SUMPRODUCT(('RawData'!B$2:B$822=B20)*('RawData'!G$2:G$822&gt;G20)*(ISERROR(SEARCH("World",'RawData'!C$2:C$822)))*(ISERROR(SEARCH("Other",'RawData'!C$2:C$822))))+1)))</f>
        <v>2</v>
      </c>
      <c r="K20" s="14">
        <f>IF(ISNUMBER(SEARCH("World",'RawData'!C21)),"",'RawData'!H21)</f>
        <v>0</v>
      </c>
      <c r="L20" s="14">
        <f>IF(ISNUMBER(SEARCH("World",'RawData'!C21)),"",SUMIFS('RawData'!H:H,'RawData'!B:B,'RawData'!B21,'RawData'!C:C,"*World*"))</f>
        <v>0</v>
      </c>
      <c r="M20" s="15" t="str">
        <f>IF(ISNUMBER(SEARCH("World",'RawData'!C21)),"",IFERROR(K20/L20,"-"))</f>
        <v>-</v>
      </c>
      <c r="N20" s="7" t="str">
        <f>IF(ISNUMBER(SEARCH("World",'RawData'!C21)),"",IF(ISNUMBER(SEARCH("Other",C20)),COUNTIFS('RawData'!B:B,B20,'RawData'!C:C,"&lt;&gt;*World*"),IF(OR(K20="",K20=0),"-",SUMPRODUCT(('RawData'!B$2:B$822=B20)*('RawData'!H$2:H$822&gt;K20)*(ISERROR(SEARCH("World",'RawData'!C$2:C$822)))*(ISERROR(SEARCH("Other",'RawData'!C$2:C$822))))+1)))</f>
        <v>-</v>
      </c>
    </row>
    <row r="21" spans="1:14" x14ac:dyDescent="0.3">
      <c r="A21" s="4" t="str">
        <f>IF(ISNUMBER(SEARCH("World",'RawData'!C22)),"",'RawData'!A22)</f>
        <v>MCS2026</v>
      </c>
      <c r="B21" s="4" t="str">
        <f>IF(ISNUMBER(SEARCH("World",'RawData'!C22)),"",'RawData'!B22)</f>
        <v>Arsenic</v>
      </c>
      <c r="C21" s="4" t="str">
        <f>IF(ISNUMBER(SEARCH("World",'RawData'!C22)),"",'RawData'!C22)</f>
        <v>Japan</v>
      </c>
      <c r="D21" s="4" t="str">
        <f>IF(ISNUMBER(SEARCH("World",'RawData'!C22)),"",'RawData'!D22)</f>
        <v>Plant production, arsenic trioxide or calculated equivalent.</v>
      </c>
      <c r="E21" s="4" t="str">
        <f>IF(ISNUMBER(SEARCH("World",'RawData'!C22)),"",IF('RawData'!E22="WT001","kg",IF('RawData'!E22="WT002","ton",IF('RawData'!E22="WT003","k ton",""))))</f>
        <v>ton</v>
      </c>
      <c r="F21" s="14">
        <f>IF(ISNUMBER(SEARCH("World",'RawData'!C22)),"",'RawData'!F22)</f>
        <v>40</v>
      </c>
      <c r="G21" s="14">
        <f>IF(ISNUMBER(SEARCH("World",'RawData'!C22)),"",'RawData'!G22)</f>
        <v>0</v>
      </c>
      <c r="H21" s="14">
        <f>IF(ISNUMBER(SEARCH("World",'RawData'!C22)),"",SUMIFS('RawData'!G:G,'RawData'!B:B,'RawData'!B22,'RawData'!C:C,"*World*"))</f>
        <v>61000</v>
      </c>
      <c r="I21" s="15">
        <f>IF(ISNUMBER(SEARCH("World",'RawData'!C22)),"",IFERROR(G21/H21,"-"))</f>
        <v>0</v>
      </c>
      <c r="J21" s="7" t="str">
        <f>IF(ISNUMBER(SEARCH("World",'RawData'!C22)),"",IF(ISNUMBER(SEARCH("Other",C21)),COUNTIFS('RawData'!B:B,B21,'RawData'!C:C,"&lt;&gt;*World*"),IF(OR(G21="",G21=0),"-",SUMPRODUCT(('RawData'!B$2:B$822=B21)*('RawData'!G$2:G$822&gt;G21)*(ISERROR(SEARCH("World",'RawData'!C$2:C$822)))*(ISERROR(SEARCH("Other",'RawData'!C$2:C$822))))+1)))</f>
        <v>-</v>
      </c>
      <c r="K21" s="14">
        <f>IF(ISNUMBER(SEARCH("World",'RawData'!C22)),"",'RawData'!H22)</f>
        <v>0</v>
      </c>
      <c r="L21" s="14">
        <f>IF(ISNUMBER(SEARCH("World",'RawData'!C22)),"",SUMIFS('RawData'!H:H,'RawData'!B:B,'RawData'!B22,'RawData'!C:C,"*World*"))</f>
        <v>0</v>
      </c>
      <c r="M21" s="15" t="str">
        <f>IF(ISNUMBER(SEARCH("World",'RawData'!C22)),"",IFERROR(K21/L21,"-"))</f>
        <v>-</v>
      </c>
      <c r="N21" s="7" t="str">
        <f>IF(ISNUMBER(SEARCH("World",'RawData'!C22)),"",IF(ISNUMBER(SEARCH("Other",C21)),COUNTIFS('RawData'!B:B,B21,'RawData'!C:C,"&lt;&gt;*World*"),IF(OR(K21="",K21=0),"-",SUMPRODUCT(('RawData'!B$2:B$822=B21)*('RawData'!H$2:H$822&gt;K21)*(ISERROR(SEARCH("World",'RawData'!C$2:C$822)))*(ISERROR(SEARCH("Other",'RawData'!C$2:C$822))))+1)))</f>
        <v>-</v>
      </c>
    </row>
    <row r="22" spans="1:14" x14ac:dyDescent="0.3">
      <c r="A22" s="4" t="str">
        <f>IF(ISNUMBER(SEARCH("World",'RawData'!C23)),"",'RawData'!A23)</f>
        <v>MCS2026</v>
      </c>
      <c r="B22" s="4" t="str">
        <f>IF(ISNUMBER(SEARCH("World",'RawData'!C23)),"",'RawData'!B23)</f>
        <v>Arsenic</v>
      </c>
      <c r="C22" s="4" t="str">
        <f>IF(ISNUMBER(SEARCH("World",'RawData'!C23)),"",'RawData'!C23)</f>
        <v>Morocco</v>
      </c>
      <c r="D22" s="4" t="str">
        <f>IF(ISNUMBER(SEARCH("World",'RawData'!C23)),"",'RawData'!D23)</f>
        <v>Plant production, arsenic trioxide or calculated equivalent.</v>
      </c>
      <c r="E22" s="4" t="str">
        <f>IF(ISNUMBER(SEARCH("World",'RawData'!C23)),"",IF('RawData'!E23="WT001","kg",IF('RawData'!E23="WT002","ton",IF('RawData'!E23="WT003","k ton",""))))</f>
        <v>ton</v>
      </c>
      <c r="F22" s="14">
        <f>IF(ISNUMBER(SEARCH("World",'RawData'!C23)),"",'RawData'!F23)</f>
        <v>6000</v>
      </c>
      <c r="G22" s="14">
        <f>IF(ISNUMBER(SEARCH("World",'RawData'!C23)),"",'RawData'!G23)</f>
        <v>5000</v>
      </c>
      <c r="H22" s="14">
        <f>IF(ISNUMBER(SEARCH("World",'RawData'!C23)),"",SUMIFS('RawData'!G:G,'RawData'!B:B,'RawData'!B23,'RawData'!C:C,"*World*"))</f>
        <v>61000</v>
      </c>
      <c r="I22" s="15">
        <f>IF(ISNUMBER(SEARCH("World",'RawData'!C23)),"",IFERROR(G22/H22,"-"))</f>
        <v>8.1967213114754092E-2</v>
      </c>
      <c r="J22" s="7">
        <f>IF(ISNUMBER(SEARCH("World",'RawData'!C23)),"",IF(ISNUMBER(SEARCH("Other",C22)),COUNTIFS('RawData'!B:B,B22,'RawData'!C:C,"&lt;&gt;*World*"),IF(OR(G22="",G22=0),"-",SUMPRODUCT(('RawData'!B$2:B$822=B22)*('RawData'!G$2:G$822&gt;G22)*(ISERROR(SEARCH("World",'RawData'!C$2:C$822)))*(ISERROR(SEARCH("Other",'RawData'!C$2:C$822))))+1)))</f>
        <v>3</v>
      </c>
      <c r="K22" s="14">
        <f>IF(ISNUMBER(SEARCH("World",'RawData'!C23)),"",'RawData'!H23)</f>
        <v>0</v>
      </c>
      <c r="L22" s="14">
        <f>IF(ISNUMBER(SEARCH("World",'RawData'!C23)),"",SUMIFS('RawData'!H:H,'RawData'!B:B,'RawData'!B23,'RawData'!C:C,"*World*"))</f>
        <v>0</v>
      </c>
      <c r="M22" s="15" t="str">
        <f>IF(ISNUMBER(SEARCH("World",'RawData'!C23)),"",IFERROR(K22/L22,"-"))</f>
        <v>-</v>
      </c>
      <c r="N22" s="7" t="str">
        <f>IF(ISNUMBER(SEARCH("World",'RawData'!C23)),"",IF(ISNUMBER(SEARCH("Other",C22)),COUNTIFS('RawData'!B:B,B22,'RawData'!C:C,"&lt;&gt;*World*"),IF(OR(K22="",K22=0),"-",SUMPRODUCT(('RawData'!B$2:B$822=B22)*('RawData'!H$2:H$822&gt;K22)*(ISERROR(SEARCH("World",'RawData'!C$2:C$822)))*(ISERROR(SEARCH("Other",'RawData'!C$2:C$822))))+1)))</f>
        <v>-</v>
      </c>
    </row>
    <row r="23" spans="1:14" x14ac:dyDescent="0.3">
      <c r="A23" s="4" t="str">
        <f>IF(ISNUMBER(SEARCH("World",'RawData'!C24)),"",'RawData'!A24)</f>
        <v>MCS2026</v>
      </c>
      <c r="B23" s="4" t="str">
        <f>IF(ISNUMBER(SEARCH("World",'RawData'!C24)),"",'RawData'!B24)</f>
        <v>Arsenic</v>
      </c>
      <c r="C23" s="4" t="str">
        <f>IF(ISNUMBER(SEARCH("World",'RawData'!C24)),"",'RawData'!C24)</f>
        <v>Peru</v>
      </c>
      <c r="D23" s="4" t="str">
        <f>IF(ISNUMBER(SEARCH("World",'RawData'!C24)),"",'RawData'!D24)</f>
        <v>Plant production, arsenic trioxide or calculated equivalent.</v>
      </c>
      <c r="E23" s="4" t="str">
        <f>IF(ISNUMBER(SEARCH("World",'RawData'!C24)),"",IF('RawData'!E24="WT001","kg",IF('RawData'!E24="WT002","ton",IF('RawData'!E24="WT003","k ton",""))))</f>
        <v>ton</v>
      </c>
      <c r="F23" s="14">
        <f>IF(ISNUMBER(SEARCH("World",'RawData'!C24)),"",'RawData'!F24)</f>
        <v>31000</v>
      </c>
      <c r="G23" s="14">
        <f>IF(ISNUMBER(SEARCH("World",'RawData'!C24)),"",'RawData'!G24)</f>
        <v>30000</v>
      </c>
      <c r="H23" s="14">
        <f>IF(ISNUMBER(SEARCH("World",'RawData'!C24)),"",SUMIFS('RawData'!G:G,'RawData'!B:B,'RawData'!B24,'RawData'!C:C,"*World*"))</f>
        <v>61000</v>
      </c>
      <c r="I23" s="15">
        <f>IF(ISNUMBER(SEARCH("World",'RawData'!C24)),"",IFERROR(G23/H23,"-"))</f>
        <v>0.49180327868852458</v>
      </c>
      <c r="J23" s="7">
        <f>IF(ISNUMBER(SEARCH("World",'RawData'!C24)),"",IF(ISNUMBER(SEARCH("Other",C23)),COUNTIFS('RawData'!B:B,B23,'RawData'!C:C,"&lt;&gt;*World*"),IF(OR(G23="",G23=0),"-",SUMPRODUCT(('RawData'!B$2:B$822=B23)*('RawData'!G$2:G$822&gt;G23)*(ISERROR(SEARCH("World",'RawData'!C$2:C$822)))*(ISERROR(SEARCH("Other",'RawData'!C$2:C$822))))+1)))</f>
        <v>1</v>
      </c>
      <c r="K23" s="14">
        <f>IF(ISNUMBER(SEARCH("World",'RawData'!C24)),"",'RawData'!H24)</f>
        <v>0</v>
      </c>
      <c r="L23" s="14">
        <f>IF(ISNUMBER(SEARCH("World",'RawData'!C24)),"",SUMIFS('RawData'!H:H,'RawData'!B:B,'RawData'!B24,'RawData'!C:C,"*World*"))</f>
        <v>0</v>
      </c>
      <c r="M23" s="15" t="str">
        <f>IF(ISNUMBER(SEARCH("World",'RawData'!C24)),"",IFERROR(K23/L23,"-"))</f>
        <v>-</v>
      </c>
      <c r="N23" s="7" t="str">
        <f>IF(ISNUMBER(SEARCH("World",'RawData'!C24)),"",IF(ISNUMBER(SEARCH("Other",C23)),COUNTIFS('RawData'!B:B,B23,'RawData'!C:C,"&lt;&gt;*World*"),IF(OR(K23="",K23=0),"-",SUMPRODUCT(('RawData'!B$2:B$822=B23)*('RawData'!H$2:H$822&gt;K23)*(ISERROR(SEARCH("World",'RawData'!C$2:C$822)))*(ISERROR(SEARCH("Other",'RawData'!C$2:C$822))))+1)))</f>
        <v>-</v>
      </c>
    </row>
    <row r="24" spans="1:14" x14ac:dyDescent="0.3">
      <c r="A24" s="4" t="str">
        <f>IF(ISNUMBER(SEARCH("World",'RawData'!C25)),"",'RawData'!A25)</f>
        <v>MCS2026</v>
      </c>
      <c r="B24" s="4" t="str">
        <f>IF(ISNUMBER(SEARCH("World",'RawData'!C25)),"",'RawData'!B25)</f>
        <v>Arsenic</v>
      </c>
      <c r="C24" s="4" t="str">
        <f>IF(ISNUMBER(SEARCH("World",'RawData'!C25)),"",'RawData'!C25)</f>
        <v xml:space="preserve">Russia </v>
      </c>
      <c r="D24" s="4" t="str">
        <f>IF(ISNUMBER(SEARCH("World",'RawData'!C25)),"",'RawData'!D25)</f>
        <v>Plant production, arsenic trioxide or calculated equivalent.</v>
      </c>
      <c r="E24" s="4" t="str">
        <f>IF(ISNUMBER(SEARCH("World",'RawData'!C25)),"",IF('RawData'!E25="WT001","kg",IF('RawData'!E25="WT002","ton",IF('RawData'!E25="WT003","k ton",""))))</f>
        <v>ton</v>
      </c>
      <c r="F24" s="14">
        <f>IF(ISNUMBER(SEARCH("World",'RawData'!C25)),"",'RawData'!F25)</f>
        <v>500</v>
      </c>
      <c r="G24" s="14">
        <f>IF(ISNUMBER(SEARCH("World",'RawData'!C25)),"",'RawData'!G25)</f>
        <v>500</v>
      </c>
      <c r="H24" s="14">
        <f>IF(ISNUMBER(SEARCH("World",'RawData'!C25)),"",SUMIFS('RawData'!G:G,'RawData'!B:B,'RawData'!B25,'RawData'!C:C,"*World*"))</f>
        <v>61000</v>
      </c>
      <c r="I24" s="15">
        <f>IF(ISNUMBER(SEARCH("World",'RawData'!C25)),"",IFERROR(G24/H24,"-"))</f>
        <v>8.1967213114754103E-3</v>
      </c>
      <c r="J24" s="7">
        <f>IF(ISNUMBER(SEARCH("World",'RawData'!C25)),"",IF(ISNUMBER(SEARCH("Other",C24)),COUNTIFS('RawData'!B:B,B24,'RawData'!C:C,"&lt;&gt;*World*"),IF(OR(G24="",G24=0),"-",SUMPRODUCT(('RawData'!B$2:B$822=B24)*('RawData'!G$2:G$822&gt;G24)*(ISERROR(SEARCH("World",'RawData'!C$2:C$822)))*(ISERROR(SEARCH("Other",'RawData'!C$2:C$822))))+1)))</f>
        <v>5</v>
      </c>
      <c r="K24" s="14">
        <f>IF(ISNUMBER(SEARCH("World",'RawData'!C25)),"",'RawData'!H25)</f>
        <v>0</v>
      </c>
      <c r="L24" s="14">
        <f>IF(ISNUMBER(SEARCH("World",'RawData'!C25)),"",SUMIFS('RawData'!H:H,'RawData'!B:B,'RawData'!B25,'RawData'!C:C,"*World*"))</f>
        <v>0</v>
      </c>
      <c r="M24" s="15" t="str">
        <f>IF(ISNUMBER(SEARCH("World",'RawData'!C25)),"",IFERROR(K24/L24,"-"))</f>
        <v>-</v>
      </c>
      <c r="N24" s="7" t="str">
        <f>IF(ISNUMBER(SEARCH("World",'RawData'!C25)),"",IF(ISNUMBER(SEARCH("Other",C24)),COUNTIFS('RawData'!B:B,B24,'RawData'!C:C,"&lt;&gt;*World*"),IF(OR(K24="",K24=0),"-",SUMPRODUCT(('RawData'!B$2:B$822=B24)*('RawData'!H$2:H$822&gt;K24)*(ISERROR(SEARCH("World",'RawData'!C$2:C$822)))*(ISERROR(SEARCH("Other",'RawData'!C$2:C$822))))+1)))</f>
        <v>-</v>
      </c>
    </row>
    <row r="25" spans="1:14" x14ac:dyDescent="0.3">
      <c r="A25" s="4" t="str">
        <f>IF(ISNUMBER(SEARCH("World",'RawData'!C26)),"",'RawData'!A26)</f>
        <v>MCS2026</v>
      </c>
      <c r="B25" s="4" t="str">
        <f>IF(ISNUMBER(SEARCH("World",'RawData'!C26)),"",'RawData'!B26)</f>
        <v>Arsenic</v>
      </c>
      <c r="C25" s="4" t="str">
        <f>IF(ISNUMBER(SEARCH("World",'RawData'!C26)),"",'RawData'!C26)</f>
        <v>United States</v>
      </c>
      <c r="D25" s="4" t="str">
        <f>IF(ISNUMBER(SEARCH("World",'RawData'!C26)),"",'RawData'!D26)</f>
        <v>Plant production, arsenic trioxide or calculated equivalent.</v>
      </c>
      <c r="E25" s="4" t="str">
        <f>IF(ISNUMBER(SEARCH("World",'RawData'!C26)),"",IF('RawData'!E26="WT001","kg",IF('RawData'!E26="WT002","ton",IF('RawData'!E26="WT003","k ton",""))))</f>
        <v>ton</v>
      </c>
      <c r="F25" s="14">
        <f>IF(ISNUMBER(SEARCH("World",'RawData'!C26)),"",'RawData'!F26)</f>
        <v>0</v>
      </c>
      <c r="G25" s="14">
        <f>IF(ISNUMBER(SEARCH("World",'RawData'!C26)),"",'RawData'!G26)</f>
        <v>0</v>
      </c>
      <c r="H25" s="14">
        <f>IF(ISNUMBER(SEARCH("World",'RawData'!C26)),"",SUMIFS('RawData'!G:G,'RawData'!B:B,'RawData'!B26,'RawData'!C:C,"*World*"))</f>
        <v>61000</v>
      </c>
      <c r="I25" s="15">
        <f>IF(ISNUMBER(SEARCH("World",'RawData'!C26)),"",IFERROR(G25/H25,"-"))</f>
        <v>0</v>
      </c>
      <c r="J25" s="7" t="str">
        <f>IF(ISNUMBER(SEARCH("World",'RawData'!C26)),"",IF(ISNUMBER(SEARCH("Other",C25)),COUNTIFS('RawData'!B:B,B25,'RawData'!C:C,"&lt;&gt;*World*"),IF(OR(G25="",G25=0),"-",SUMPRODUCT(('RawData'!B$2:B$822=B25)*('RawData'!G$2:G$822&gt;G25)*(ISERROR(SEARCH("World",'RawData'!C$2:C$822)))*(ISERROR(SEARCH("Other",'RawData'!C$2:C$822))))+1)))</f>
        <v>-</v>
      </c>
      <c r="K25" s="14">
        <f>IF(ISNUMBER(SEARCH("World",'RawData'!C26)),"",'RawData'!H26)</f>
        <v>0</v>
      </c>
      <c r="L25" s="14">
        <f>IF(ISNUMBER(SEARCH("World",'RawData'!C26)),"",SUMIFS('RawData'!H:H,'RawData'!B:B,'RawData'!B26,'RawData'!C:C,"*World*"))</f>
        <v>0</v>
      </c>
      <c r="M25" s="15" t="str">
        <f>IF(ISNUMBER(SEARCH("World",'RawData'!C26)),"",IFERROR(K25/L25,"-"))</f>
        <v>-</v>
      </c>
      <c r="N25" s="7" t="str">
        <f>IF(ISNUMBER(SEARCH("World",'RawData'!C26)),"",IF(ISNUMBER(SEARCH("Other",C25)),COUNTIFS('RawData'!B:B,B25,'RawData'!C:C,"&lt;&gt;*World*"),IF(OR(K25="",K25=0),"-",SUMPRODUCT(('RawData'!B$2:B$822=B25)*('RawData'!H$2:H$822&gt;K25)*(ISERROR(SEARCH("World",'RawData'!C$2:C$822)))*(ISERROR(SEARCH("Other",'RawData'!C$2:C$822))))+1)))</f>
        <v>-</v>
      </c>
    </row>
    <row r="26" spans="1:14" x14ac:dyDescent="0.3">
      <c r="A26" s="4" t="str">
        <f>IF(ISNUMBER(SEARCH("World",'RawData'!C28)),"",'RawData'!A28)</f>
        <v>MCS2026</v>
      </c>
      <c r="B26" s="4" t="str">
        <f>IF(ISNUMBER(SEARCH("World",'RawData'!C28)),"",'RawData'!B28)</f>
        <v>Asbestos</v>
      </c>
      <c r="C26" s="4" t="str">
        <f>IF(ISNUMBER(SEARCH("World",'RawData'!C28)),"",'RawData'!C28)</f>
        <v>Brazil</v>
      </c>
      <c r="D26" s="4" t="str">
        <f>IF(ISNUMBER(SEARCH("World",'RawData'!C28)),"",'RawData'!D28)</f>
        <v>Mine production, asbestos</v>
      </c>
      <c r="E26" s="4" t="str">
        <f>IF(ISNUMBER(SEARCH("World",'RawData'!C28)),"",IF('RawData'!E28="WT001","kg",IF('RawData'!E28="WT002","ton",IF('RawData'!E28="WT003","k ton",""))))</f>
        <v>ton</v>
      </c>
      <c r="F26" s="14">
        <f>IF(ISNUMBER(SEARCH("World",'RawData'!C28)),"",'RawData'!F28)</f>
        <v>116890</v>
      </c>
      <c r="G26" s="14">
        <f>IF(ISNUMBER(SEARCH("World",'RawData'!C28)),"",'RawData'!G28)</f>
        <v>150000</v>
      </c>
      <c r="H26" s="14">
        <f>IF(ISNUMBER(SEARCH("World",'RawData'!C28)),"",SUMIFS('RawData'!G:G,'RawData'!B:B,'RawData'!B28,'RawData'!C:C,"*World*"))</f>
        <v>960000</v>
      </c>
      <c r="I26" s="15">
        <f>IF(ISNUMBER(SEARCH("World",'RawData'!C28)),"",IFERROR(G26/H26,"-"))</f>
        <v>0.15625</v>
      </c>
      <c r="J26" s="7">
        <f>IF(ISNUMBER(SEARCH("World",'RawData'!C28)),"",IF(ISNUMBER(SEARCH("Other",C26)),COUNTIFS('RawData'!B:B,B26,'RawData'!C:C,"&lt;&gt;*World*"),IF(OR(G26="",G26=0),"-",SUMPRODUCT(('RawData'!B$2:B$822=B26)*('RawData'!G$2:G$822&gt;G26)*(ISERROR(SEARCH("World",'RawData'!C$2:C$822)))*(ISERROR(SEARCH("Other",'RawData'!C$2:C$822))))+1)))</f>
        <v>4</v>
      </c>
      <c r="K26" s="14">
        <f>IF(ISNUMBER(SEARCH("World",'RawData'!C28)),"",'RawData'!H28)</f>
        <v>11000000</v>
      </c>
      <c r="L26" s="14">
        <f>IF(ISNUMBER(SEARCH("World",'RawData'!C28)),"",SUMIFS('RawData'!H:H,'RawData'!B:B,'RawData'!B28,'RawData'!C:C,"*World*"))</f>
        <v>150000000</v>
      </c>
      <c r="M26" s="15">
        <f>IF(ISNUMBER(SEARCH("World",'RawData'!C28)),"",IFERROR(K26/L26,"-"))</f>
        <v>7.3333333333333334E-2</v>
      </c>
      <c r="N26" s="7">
        <f>IF(ISNUMBER(SEARCH("World",'RawData'!C28)),"",IF(ISNUMBER(SEARCH("Other",C26)),COUNTIFS('RawData'!B:B,B26,'RawData'!C:C,"&lt;&gt;*World*"),IF(OR(K26="",K26=0),"-",SUMPRODUCT(('RawData'!B$2:B$822=B26)*('RawData'!H$2:H$822&gt;K26)*(ISERROR(SEARCH("World",'RawData'!C$2:C$822)))*(ISERROR(SEARCH("Other",'RawData'!C$2:C$822))))+1)))</f>
        <v>3</v>
      </c>
    </row>
    <row r="27" spans="1:14" x14ac:dyDescent="0.3">
      <c r="A27" s="4" t="str">
        <f>IF(ISNUMBER(SEARCH("World",'RawData'!C29)),"",'RawData'!A29)</f>
        <v>MCS2026</v>
      </c>
      <c r="B27" s="4" t="str">
        <f>IF(ISNUMBER(SEARCH("World",'RawData'!C29)),"",'RawData'!B29)</f>
        <v>Asbestos</v>
      </c>
      <c r="C27" s="4" t="str">
        <f>IF(ISNUMBER(SEARCH("World",'RawData'!C29)),"",'RawData'!C29)</f>
        <v>China</v>
      </c>
      <c r="D27" s="4" t="str">
        <f>IF(ISNUMBER(SEARCH("World",'RawData'!C29)),"",'RawData'!D29)</f>
        <v>Mine production, asbestos</v>
      </c>
      <c r="E27" s="4" t="str">
        <f>IF(ISNUMBER(SEARCH("World",'RawData'!C29)),"",IF('RawData'!E29="WT001","kg",IF('RawData'!E29="WT002","ton",IF('RawData'!E29="WT003","k ton",""))))</f>
        <v>ton</v>
      </c>
      <c r="F27" s="14">
        <f>IF(ISNUMBER(SEARCH("World",'RawData'!C29)),"",'RawData'!F29)</f>
        <v>250000</v>
      </c>
      <c r="G27" s="14">
        <f>IF(ISNUMBER(SEARCH("World",'RawData'!C29)),"",'RawData'!G29)</f>
        <v>250000</v>
      </c>
      <c r="H27" s="14">
        <f>IF(ISNUMBER(SEARCH("World",'RawData'!C29)),"",SUMIFS('RawData'!G:G,'RawData'!B:B,'RawData'!B29,'RawData'!C:C,"*World*"))</f>
        <v>960000</v>
      </c>
      <c r="I27" s="15">
        <f>IF(ISNUMBER(SEARCH("World",'RawData'!C29)),"",IFERROR(G27/H27,"-"))</f>
        <v>0.26041666666666669</v>
      </c>
      <c r="J27" s="7">
        <f>IF(ISNUMBER(SEARCH("World",'RawData'!C29)),"",IF(ISNUMBER(SEARCH("Other",C27)),COUNTIFS('RawData'!B:B,B27,'RawData'!C:C,"&lt;&gt;*World*"),IF(OR(G27="",G27=0),"-",SUMPRODUCT(('RawData'!B$2:B$822=B27)*('RawData'!G$2:G$822&gt;G27)*(ISERROR(SEARCH("World",'RawData'!C$2:C$822)))*(ISERROR(SEARCH("Other",'RawData'!C$2:C$822))))+1)))</f>
        <v>2</v>
      </c>
      <c r="K27" s="14">
        <f>IF(ISNUMBER(SEARCH("World",'RawData'!C29)),"",'RawData'!H29)</f>
        <v>7100000</v>
      </c>
      <c r="L27" s="14">
        <f>IF(ISNUMBER(SEARCH("World",'RawData'!C29)),"",SUMIFS('RawData'!H:H,'RawData'!B:B,'RawData'!B29,'RawData'!C:C,"*World*"))</f>
        <v>150000000</v>
      </c>
      <c r="M27" s="15">
        <f>IF(ISNUMBER(SEARCH("World",'RawData'!C29)),"",IFERROR(K27/L27,"-"))</f>
        <v>4.7333333333333331E-2</v>
      </c>
      <c r="N27" s="7">
        <f>IF(ISNUMBER(SEARCH("World",'RawData'!C29)),"",IF(ISNUMBER(SEARCH("Other",C27)),COUNTIFS('RawData'!B:B,B27,'RawData'!C:C,"&lt;&gt;*World*"),IF(OR(K27="",K27=0),"-",SUMPRODUCT(('RawData'!B$2:B$822=B27)*('RawData'!H$2:H$822&gt;K27)*(ISERROR(SEARCH("World",'RawData'!C$2:C$822)))*(ISERROR(SEARCH("Other",'RawData'!C$2:C$822))))+1)))</f>
        <v>4</v>
      </c>
    </row>
    <row r="28" spans="1:14" x14ac:dyDescent="0.3">
      <c r="A28" s="4" t="str">
        <f>IF(ISNUMBER(SEARCH("World",'RawData'!C30)),"",'RawData'!A30)</f>
        <v>MCS2026</v>
      </c>
      <c r="B28" s="4" t="str">
        <f>IF(ISNUMBER(SEARCH("World",'RawData'!C30)),"",'RawData'!B30)</f>
        <v>Asbestos</v>
      </c>
      <c r="C28" s="4" t="str">
        <f>IF(ISNUMBER(SEARCH("World",'RawData'!C30)),"",'RawData'!C30)</f>
        <v>Kazakhstan</v>
      </c>
      <c r="D28" s="4" t="str">
        <f>IF(ISNUMBER(SEARCH("World",'RawData'!C30)),"",'RawData'!D30)</f>
        <v>Mine production, asbestos</v>
      </c>
      <c r="E28" s="4" t="str">
        <f>IF(ISNUMBER(SEARCH("World",'RawData'!C30)),"",IF('RawData'!E30="WT001","kg",IF('RawData'!E30="WT002","ton",IF('RawData'!E30="WT003","k ton",""))))</f>
        <v>ton</v>
      </c>
      <c r="F28" s="14">
        <f>IF(ISNUMBER(SEARCH("World",'RawData'!C30)),"",'RawData'!F30)</f>
        <v>225700</v>
      </c>
      <c r="G28" s="14">
        <f>IF(ISNUMBER(SEARCH("World",'RawData'!C30)),"",'RawData'!G30)</f>
        <v>250000</v>
      </c>
      <c r="H28" s="14">
        <f>IF(ISNUMBER(SEARCH("World",'RawData'!C30)),"",SUMIFS('RawData'!G:G,'RawData'!B:B,'RawData'!B30,'RawData'!C:C,"*World*"))</f>
        <v>960000</v>
      </c>
      <c r="I28" s="15">
        <f>IF(ISNUMBER(SEARCH("World",'RawData'!C30)),"",IFERROR(G28/H28,"-"))</f>
        <v>0.26041666666666669</v>
      </c>
      <c r="J28" s="7">
        <f>IF(ISNUMBER(SEARCH("World",'RawData'!C30)),"",IF(ISNUMBER(SEARCH("Other",C28)),COUNTIFS('RawData'!B:B,B28,'RawData'!C:C,"&lt;&gt;*World*"),IF(OR(G28="",G28=0),"-",SUMPRODUCT(('RawData'!B$2:B$822=B28)*('RawData'!G$2:G$822&gt;G28)*(ISERROR(SEARCH("World",'RawData'!C$2:C$822)))*(ISERROR(SEARCH("Other",'RawData'!C$2:C$822))))+1)))</f>
        <v>2</v>
      </c>
      <c r="K28" s="14">
        <f>IF(ISNUMBER(SEARCH("World",'RawData'!C30)),"",'RawData'!H30)</f>
        <v>20000000</v>
      </c>
      <c r="L28" s="14">
        <f>IF(ISNUMBER(SEARCH("World",'RawData'!C30)),"",SUMIFS('RawData'!H:H,'RawData'!B:B,'RawData'!B30,'RawData'!C:C,"*World*"))</f>
        <v>150000000</v>
      </c>
      <c r="M28" s="15">
        <f>IF(ISNUMBER(SEARCH("World",'RawData'!C30)),"",IFERROR(K28/L28,"-"))</f>
        <v>0.13333333333333333</v>
      </c>
      <c r="N28" s="7">
        <f>IF(ISNUMBER(SEARCH("World",'RawData'!C30)),"",IF(ISNUMBER(SEARCH("Other",C28)),COUNTIFS('RawData'!B:B,B28,'RawData'!C:C,"&lt;&gt;*World*"),IF(OR(K28="",K28=0),"-",SUMPRODUCT(('RawData'!B$2:B$822=B28)*('RawData'!H$2:H$822&gt;K28)*(ISERROR(SEARCH("World",'RawData'!C$2:C$822)))*(ISERROR(SEARCH("Other",'RawData'!C$2:C$822))))+1)))</f>
        <v>2</v>
      </c>
    </row>
    <row r="29" spans="1:14" x14ac:dyDescent="0.3">
      <c r="A29" s="4" t="str">
        <f>IF(ISNUMBER(SEARCH("World",'RawData'!C31)),"",'RawData'!A31)</f>
        <v>MCS2026</v>
      </c>
      <c r="B29" s="4" t="str">
        <f>IF(ISNUMBER(SEARCH("World",'RawData'!C31)),"",'RawData'!B31)</f>
        <v>Asbestos</v>
      </c>
      <c r="C29" s="4" t="str">
        <f>IF(ISNUMBER(SEARCH("World",'RawData'!C31)),"",'RawData'!C31)</f>
        <v xml:space="preserve">Russia </v>
      </c>
      <c r="D29" s="4" t="str">
        <f>IF(ISNUMBER(SEARCH("World",'RawData'!C31)),"",'RawData'!D31)</f>
        <v>Mine production, asbestos</v>
      </c>
      <c r="E29" s="4" t="str">
        <f>IF(ISNUMBER(SEARCH("World",'RawData'!C31)),"",IF('RawData'!E31="WT001","kg",IF('RawData'!E31="WT002","ton",IF('RawData'!E31="WT003","k ton",""))))</f>
        <v>ton</v>
      </c>
      <c r="F29" s="14">
        <f>IF(ISNUMBER(SEARCH("World",'RawData'!C31)),"",'RawData'!F31)</f>
        <v>306900</v>
      </c>
      <c r="G29" s="14">
        <f>IF(ISNUMBER(SEARCH("World",'RawData'!C31)),"",'RawData'!G31)</f>
        <v>310000</v>
      </c>
      <c r="H29" s="14">
        <f>IF(ISNUMBER(SEARCH("World",'RawData'!C31)),"",SUMIFS('RawData'!G:G,'RawData'!B:B,'RawData'!B31,'RawData'!C:C,"*World*"))</f>
        <v>960000</v>
      </c>
      <c r="I29" s="15">
        <f>IF(ISNUMBER(SEARCH("World",'RawData'!C31)),"",IFERROR(G29/H29,"-"))</f>
        <v>0.32291666666666669</v>
      </c>
      <c r="J29" s="7">
        <f>IF(ISNUMBER(SEARCH("World",'RawData'!C31)),"",IF(ISNUMBER(SEARCH("Other",C29)),COUNTIFS('RawData'!B:B,B29,'RawData'!C:C,"&lt;&gt;*World*"),IF(OR(G29="",G29=0),"-",SUMPRODUCT(('RawData'!B$2:B$822=B29)*('RawData'!G$2:G$822&gt;G29)*(ISERROR(SEARCH("World",'RawData'!C$2:C$822)))*(ISERROR(SEARCH("Other",'RawData'!C$2:C$822))))+1)))</f>
        <v>1</v>
      </c>
      <c r="K29" s="14">
        <f>IF(ISNUMBER(SEARCH("World",'RawData'!C31)),"",'RawData'!H31)</f>
        <v>110000000</v>
      </c>
      <c r="L29" s="14">
        <f>IF(ISNUMBER(SEARCH("World",'RawData'!C31)),"",SUMIFS('RawData'!H:H,'RawData'!B:B,'RawData'!B31,'RawData'!C:C,"*World*"))</f>
        <v>150000000</v>
      </c>
      <c r="M29" s="15">
        <f>IF(ISNUMBER(SEARCH("World",'RawData'!C31)),"",IFERROR(K29/L29,"-"))</f>
        <v>0.73333333333333328</v>
      </c>
      <c r="N29" s="7">
        <f>IF(ISNUMBER(SEARCH("World",'RawData'!C31)),"",IF(ISNUMBER(SEARCH("Other",C29)),COUNTIFS('RawData'!B:B,B29,'RawData'!C:C,"&lt;&gt;*World*"),IF(OR(K29="",K29=0),"-",SUMPRODUCT(('RawData'!B$2:B$822=B29)*('RawData'!H$2:H$822&gt;K29)*(ISERROR(SEARCH("World",'RawData'!C$2:C$822)))*(ISERROR(SEARCH("Other",'RawData'!C$2:C$822))))+1)))</f>
        <v>1</v>
      </c>
    </row>
    <row r="30" spans="1:14" x14ac:dyDescent="0.3">
      <c r="A30" s="4" t="str">
        <f>IF(ISNUMBER(SEARCH("World",'RawData'!C32)),"",'RawData'!A32)</f>
        <v>MCS2026</v>
      </c>
      <c r="B30" s="4" t="str">
        <f>IF(ISNUMBER(SEARCH("World",'RawData'!C32)),"",'RawData'!B32)</f>
        <v>Asbestos</v>
      </c>
      <c r="C30" s="4" t="str">
        <f>IF(ISNUMBER(SEARCH("World",'RawData'!C32)),"",'RawData'!C32)</f>
        <v>United States</v>
      </c>
      <c r="D30" s="4" t="str">
        <f>IF(ISNUMBER(SEARCH("World",'RawData'!C32)),"",'RawData'!D32)</f>
        <v>Mine production, asbestos</v>
      </c>
      <c r="E30" s="4" t="str">
        <f>IF(ISNUMBER(SEARCH("World",'RawData'!C32)),"",IF('RawData'!E32="WT001","kg",IF('RawData'!E32="WT002","ton",IF('RawData'!E32="WT003","k ton",""))))</f>
        <v>ton</v>
      </c>
      <c r="F30" s="14">
        <f>IF(ISNUMBER(SEARCH("World",'RawData'!C32)),"",'RawData'!F32)</f>
        <v>0</v>
      </c>
      <c r="G30" s="14">
        <f>IF(ISNUMBER(SEARCH("World",'RawData'!C32)),"",'RawData'!G32)</f>
        <v>0</v>
      </c>
      <c r="H30" s="14">
        <f>IF(ISNUMBER(SEARCH("World",'RawData'!C32)),"",SUMIFS('RawData'!G:G,'RawData'!B:B,'RawData'!B32,'RawData'!C:C,"*World*"))</f>
        <v>960000</v>
      </c>
      <c r="I30" s="15">
        <f>IF(ISNUMBER(SEARCH("World",'RawData'!C32)),"",IFERROR(G30/H30,"-"))</f>
        <v>0</v>
      </c>
      <c r="J30" s="7" t="str">
        <f>IF(ISNUMBER(SEARCH("World",'RawData'!C32)),"",IF(ISNUMBER(SEARCH("Other",C30)),COUNTIFS('RawData'!B:B,B30,'RawData'!C:C,"&lt;&gt;*World*"),IF(OR(G30="",G30=0),"-",SUMPRODUCT(('RawData'!B$2:B$822=B30)*('RawData'!G$2:G$822&gt;G30)*(ISERROR(SEARCH("World",'RawData'!C$2:C$822)))*(ISERROR(SEARCH("Other",'RawData'!C$2:C$822))))+1)))</f>
        <v>-</v>
      </c>
      <c r="K30" s="14">
        <f>IF(ISNUMBER(SEARCH("World",'RawData'!C32)),"",'RawData'!H32)</f>
        <v>0</v>
      </c>
      <c r="L30" s="14">
        <f>IF(ISNUMBER(SEARCH("World",'RawData'!C32)),"",SUMIFS('RawData'!H:H,'RawData'!B:B,'RawData'!B32,'RawData'!C:C,"*World*"))</f>
        <v>150000000</v>
      </c>
      <c r="M30" s="15">
        <f>IF(ISNUMBER(SEARCH("World",'RawData'!C32)),"",IFERROR(K30/L30,"-"))</f>
        <v>0</v>
      </c>
      <c r="N30" s="7" t="str">
        <f>IF(ISNUMBER(SEARCH("World",'RawData'!C32)),"",IF(ISNUMBER(SEARCH("Other",C30)),COUNTIFS('RawData'!B:B,B30,'RawData'!C:C,"&lt;&gt;*World*"),IF(OR(K30="",K30=0),"-",SUMPRODUCT(('RawData'!B$2:B$822=B30)*('RawData'!H$2:H$822&gt;K30)*(ISERROR(SEARCH("World",'RawData'!C$2:C$822)))*(ISERROR(SEARCH("Other",'RawData'!C$2:C$822))))+1)))</f>
        <v>-</v>
      </c>
    </row>
    <row r="31" spans="1:14" x14ac:dyDescent="0.3">
      <c r="A31" s="4" t="str">
        <f>IF(ISNUMBER(SEARCH("World",'RawData'!C34)),"",'RawData'!A34)</f>
        <v>MCS2026</v>
      </c>
      <c r="B31" s="4" t="str">
        <f>IF(ISNUMBER(SEARCH("World",'RawData'!C34)),"",'RawData'!B34)</f>
        <v xml:space="preserve">Barite  </v>
      </c>
      <c r="C31" s="4" t="str">
        <f>IF(ISNUMBER(SEARCH("World",'RawData'!C34)),"",'RawData'!C34)</f>
        <v>China</v>
      </c>
      <c r="D31" s="4" t="str">
        <f>IF(ISNUMBER(SEARCH("World",'RawData'!C34)),"",'RawData'!D34)</f>
        <v>Mine production, barite, estimated</v>
      </c>
      <c r="E31" s="4" t="str">
        <f>IF(ISNUMBER(SEARCH("World",'RawData'!C34)),"",IF('RawData'!E34="WT001","kg",IF('RawData'!E34="WT002","ton",IF('RawData'!E34="WT003","k ton",""))))</f>
        <v>k ton</v>
      </c>
      <c r="F31" s="14">
        <f>IF(ISNUMBER(SEARCH("World",'RawData'!C34)),"",'RawData'!F34)</f>
        <v>2100</v>
      </c>
      <c r="G31" s="14">
        <f>IF(ISNUMBER(SEARCH("World",'RawData'!C34)),"",'RawData'!G34)</f>
        <v>2200</v>
      </c>
      <c r="H31" s="14">
        <f>IF(ISNUMBER(SEARCH("World",'RawData'!C34)),"",SUMIFS('RawData'!G:G,'RawData'!B:B,'RawData'!B34,'RawData'!C:C,"*World*"))</f>
        <v>8700</v>
      </c>
      <c r="I31" s="15">
        <f>IF(ISNUMBER(SEARCH("World",'RawData'!C34)),"",IFERROR(G31/H31,"-"))</f>
        <v>0.25287356321839083</v>
      </c>
      <c r="J31" s="7">
        <f>IF(ISNUMBER(SEARCH("World",'RawData'!C34)),"",IF(ISNUMBER(SEARCH("Other",C31)),COUNTIFS('RawData'!B:B,B31,'RawData'!C:C,"&lt;&gt;*World*"),IF(OR(G31="",G31=0),"-",SUMPRODUCT(('RawData'!B$2:B$822=B31)*('RawData'!G$2:G$822&gt;G31)*(ISERROR(SEARCH("World",'RawData'!C$2:C$822)))*(ISERROR(SEARCH("Other",'RawData'!C$2:C$822))))+1)))</f>
        <v>2</v>
      </c>
      <c r="K31" s="14">
        <f>IF(ISNUMBER(SEARCH("World",'RawData'!C34)),"",'RawData'!H34)</f>
        <v>120000</v>
      </c>
      <c r="L31" s="14">
        <f>IF(ISNUMBER(SEARCH("World",'RawData'!C34)),"",SUMIFS('RawData'!H:H,'RawData'!B:B,'RawData'!B34,'RawData'!C:C,"*World*"))</f>
        <v>0</v>
      </c>
      <c r="M31" s="15" t="str">
        <f>IF(ISNUMBER(SEARCH("World",'RawData'!C34)),"",IFERROR(K31/L31,"-"))</f>
        <v>-</v>
      </c>
      <c r="N31" s="7">
        <f>IF(ISNUMBER(SEARCH("World",'RawData'!C34)),"",IF(ISNUMBER(SEARCH("Other",C31)),COUNTIFS('RawData'!B:B,B31,'RawData'!C:C,"&lt;&gt;*World*"),IF(OR(K31="",K31=0),"-",SUMPRODUCT(('RawData'!B$2:B$822=B31)*('RawData'!H$2:H$822&gt;K31)*(ISERROR(SEARCH("World",'RawData'!C$2:C$822)))*(ISERROR(SEARCH("Other",'RawData'!C$2:C$822))))+1)))</f>
        <v>1</v>
      </c>
    </row>
    <row r="32" spans="1:14" x14ac:dyDescent="0.3">
      <c r="A32" s="4" t="str">
        <f>IF(ISNUMBER(SEARCH("World",'RawData'!C35)),"",'RawData'!A35)</f>
        <v>MCS2026</v>
      </c>
      <c r="B32" s="4" t="str">
        <f>IF(ISNUMBER(SEARCH("World",'RawData'!C35)),"",'RawData'!B35)</f>
        <v xml:space="preserve">Barite  </v>
      </c>
      <c r="C32" s="4" t="str">
        <f>IF(ISNUMBER(SEARCH("World",'RawData'!C35)),"",'RawData'!C35)</f>
        <v>India</v>
      </c>
      <c r="D32" s="4" t="str">
        <f>IF(ISNUMBER(SEARCH("World",'RawData'!C35)),"",'RawData'!D35)</f>
        <v>Mine production, barite, estimated</v>
      </c>
      <c r="E32" s="4" t="str">
        <f>IF(ISNUMBER(SEARCH("World",'RawData'!C35)),"",IF('RawData'!E35="WT001","kg",IF('RawData'!E35="WT002","ton",IF('RawData'!E35="WT003","k ton",""))))</f>
        <v>k ton</v>
      </c>
      <c r="F32" s="14">
        <f>IF(ISNUMBER(SEARCH("World",'RawData'!C35)),"",'RawData'!F35)</f>
        <v>2600</v>
      </c>
      <c r="G32" s="14">
        <f>IF(ISNUMBER(SEARCH("World",'RawData'!C35)),"",'RawData'!G35)</f>
        <v>3000</v>
      </c>
      <c r="H32" s="14">
        <f>IF(ISNUMBER(SEARCH("World",'RawData'!C35)),"",SUMIFS('RawData'!G:G,'RawData'!B:B,'RawData'!B35,'RawData'!C:C,"*World*"))</f>
        <v>8700</v>
      </c>
      <c r="I32" s="15">
        <f>IF(ISNUMBER(SEARCH("World",'RawData'!C35)),"",IFERROR(G32/H32,"-"))</f>
        <v>0.34482758620689657</v>
      </c>
      <c r="J32" s="7">
        <f>IF(ISNUMBER(SEARCH("World",'RawData'!C35)),"",IF(ISNUMBER(SEARCH("Other",C32)),COUNTIFS('RawData'!B:B,B32,'RawData'!C:C,"&lt;&gt;*World*"),IF(OR(G32="",G32=0),"-",SUMPRODUCT(('RawData'!B$2:B$822=B32)*('RawData'!G$2:G$822&gt;G32)*(ISERROR(SEARCH("World",'RawData'!C$2:C$822)))*(ISERROR(SEARCH("Other",'RawData'!C$2:C$822))))+1)))</f>
        <v>1</v>
      </c>
      <c r="K32" s="14">
        <f>IF(ISNUMBER(SEARCH("World",'RawData'!C35)),"",'RawData'!H35)</f>
        <v>51000</v>
      </c>
      <c r="L32" s="14">
        <f>IF(ISNUMBER(SEARCH("World",'RawData'!C35)),"",SUMIFS('RawData'!H:H,'RawData'!B:B,'RawData'!B35,'RawData'!C:C,"*World*"))</f>
        <v>0</v>
      </c>
      <c r="M32" s="15" t="str">
        <f>IF(ISNUMBER(SEARCH("World",'RawData'!C35)),"",IFERROR(K32/L32,"-"))</f>
        <v>-</v>
      </c>
      <c r="N32" s="7">
        <f>IF(ISNUMBER(SEARCH("World",'RawData'!C35)),"",IF(ISNUMBER(SEARCH("Other",C32)),COUNTIFS('RawData'!B:B,B32,'RawData'!C:C,"&lt;&gt;*World*"),IF(OR(K32="",K32=0),"-",SUMPRODUCT(('RawData'!B$2:B$822=B32)*('RawData'!H$2:H$822&gt;K32)*(ISERROR(SEARCH("World",'RawData'!C$2:C$822)))*(ISERROR(SEARCH("Other",'RawData'!C$2:C$822))))+1)))</f>
        <v>4</v>
      </c>
    </row>
    <row r="33" spans="1:14" x14ac:dyDescent="0.3">
      <c r="A33" s="4" t="str">
        <f>IF(ISNUMBER(SEARCH("World",'RawData'!C36)),"",'RawData'!A36)</f>
        <v>MCS2026</v>
      </c>
      <c r="B33" s="4" t="str">
        <f>IF(ISNUMBER(SEARCH("World",'RawData'!C36)),"",'RawData'!B36)</f>
        <v xml:space="preserve">Barite  </v>
      </c>
      <c r="C33" s="4" t="str">
        <f>IF(ISNUMBER(SEARCH("World",'RawData'!C36)),"",'RawData'!C36)</f>
        <v>Iran</v>
      </c>
      <c r="D33" s="4" t="str">
        <f>IF(ISNUMBER(SEARCH("World",'RawData'!C36)),"",'RawData'!D36)</f>
        <v>Mine production, barite, estimated</v>
      </c>
      <c r="E33" s="4" t="str">
        <f>IF(ISNUMBER(SEARCH("World",'RawData'!C36)),"",IF('RawData'!E36="WT001","kg",IF('RawData'!E36="WT002","ton",IF('RawData'!E36="WT003","k ton",""))))</f>
        <v>k ton</v>
      </c>
      <c r="F33" s="14">
        <f>IF(ISNUMBER(SEARCH("World",'RawData'!C36)),"",'RawData'!F36)</f>
        <v>300</v>
      </c>
      <c r="G33" s="14">
        <f>IF(ISNUMBER(SEARCH("World",'RawData'!C36)),"",'RawData'!G36)</f>
        <v>300</v>
      </c>
      <c r="H33" s="14">
        <f>IF(ISNUMBER(SEARCH("World",'RawData'!C36)),"",SUMIFS('RawData'!G:G,'RawData'!B:B,'RawData'!B36,'RawData'!C:C,"*World*"))</f>
        <v>8700</v>
      </c>
      <c r="I33" s="15">
        <f>IF(ISNUMBER(SEARCH("World",'RawData'!C36)),"",IFERROR(G33/H33,"-"))</f>
        <v>3.4482758620689655E-2</v>
      </c>
      <c r="J33" s="7">
        <f>IF(ISNUMBER(SEARCH("World",'RawData'!C36)),"",IF(ISNUMBER(SEARCH("Other",C33)),COUNTIFS('RawData'!B:B,B33,'RawData'!C:C,"&lt;&gt;*World*"),IF(OR(G33="",G33=0),"-",SUMPRODUCT(('RawData'!B$2:B$822=B33)*('RawData'!G$2:G$822&gt;G33)*(ISERROR(SEARCH("World",'RawData'!C$2:C$822)))*(ISERROR(SEARCH("Other",'RawData'!C$2:C$822))))+1)))</f>
        <v>5</v>
      </c>
      <c r="K33" s="14">
        <f>IF(ISNUMBER(SEARCH("World",'RawData'!C36)),"",'RawData'!H36)</f>
        <v>100000</v>
      </c>
      <c r="L33" s="14">
        <f>IF(ISNUMBER(SEARCH("World",'RawData'!C36)),"",SUMIFS('RawData'!H:H,'RawData'!B:B,'RawData'!B36,'RawData'!C:C,"*World*"))</f>
        <v>0</v>
      </c>
      <c r="M33" s="15" t="str">
        <f>IF(ISNUMBER(SEARCH("World",'RawData'!C36)),"",IFERROR(K33/L33,"-"))</f>
        <v>-</v>
      </c>
      <c r="N33" s="7">
        <f>IF(ISNUMBER(SEARCH("World",'RawData'!C36)),"",IF(ISNUMBER(SEARCH("Other",C33)),COUNTIFS('RawData'!B:B,B33,'RawData'!C:C,"&lt;&gt;*World*"),IF(OR(K33="",K33=0),"-",SUMPRODUCT(('RawData'!B$2:B$822=B33)*('RawData'!H$2:H$822&gt;K33)*(ISERROR(SEARCH("World",'RawData'!C$2:C$822)))*(ISERROR(SEARCH("Other",'RawData'!C$2:C$822))))+1)))</f>
        <v>2</v>
      </c>
    </row>
    <row r="34" spans="1:14" x14ac:dyDescent="0.3">
      <c r="A34" s="4" t="str">
        <f>IF(ISNUMBER(SEARCH("World",'RawData'!C37)),"",'RawData'!A37)</f>
        <v>MCS2026</v>
      </c>
      <c r="B34" s="4" t="str">
        <f>IF(ISNUMBER(SEARCH("World",'RawData'!C37)),"",'RawData'!B37)</f>
        <v xml:space="preserve">Barite  </v>
      </c>
      <c r="C34" s="4" t="str">
        <f>IF(ISNUMBER(SEARCH("World",'RawData'!C37)),"",'RawData'!C37)</f>
        <v>Kazakhstan</v>
      </c>
      <c r="D34" s="4" t="str">
        <f>IF(ISNUMBER(SEARCH("World",'RawData'!C37)),"",'RawData'!D37)</f>
        <v>Mine production, barite, estimated</v>
      </c>
      <c r="E34" s="4" t="str">
        <f>IF(ISNUMBER(SEARCH("World",'RawData'!C37)),"",IF('RawData'!E37="WT001","kg",IF('RawData'!E37="WT002","ton",IF('RawData'!E37="WT003","k ton",""))))</f>
        <v>k ton</v>
      </c>
      <c r="F34" s="14">
        <f>IF(ISNUMBER(SEARCH("World",'RawData'!C37)),"",'RawData'!F37)</f>
        <v>650</v>
      </c>
      <c r="G34" s="14">
        <f>IF(ISNUMBER(SEARCH("World",'RawData'!C37)),"",'RawData'!G37)</f>
        <v>700</v>
      </c>
      <c r="H34" s="14">
        <f>IF(ISNUMBER(SEARCH("World",'RawData'!C37)),"",SUMIFS('RawData'!G:G,'RawData'!B:B,'RawData'!B37,'RawData'!C:C,"*World*"))</f>
        <v>8700</v>
      </c>
      <c r="I34" s="15">
        <f>IF(ISNUMBER(SEARCH("World",'RawData'!C37)),"",IFERROR(G34/H34,"-"))</f>
        <v>8.0459770114942528E-2</v>
      </c>
      <c r="J34" s="7">
        <f>IF(ISNUMBER(SEARCH("World",'RawData'!C37)),"",IF(ISNUMBER(SEARCH("Other",C34)),COUNTIFS('RawData'!B:B,B34,'RawData'!C:C,"&lt;&gt;*World*"),IF(OR(G34="",G34=0),"-",SUMPRODUCT(('RawData'!B$2:B$822=B34)*('RawData'!G$2:G$822&gt;G34)*(ISERROR(SEARCH("World",'RawData'!C$2:C$822)))*(ISERROR(SEARCH("Other",'RawData'!C$2:C$822))))+1)))</f>
        <v>4</v>
      </c>
      <c r="K34" s="14">
        <f>IF(ISNUMBER(SEARCH("World",'RawData'!C37)),"",'RawData'!H37)</f>
        <v>85000</v>
      </c>
      <c r="L34" s="14">
        <f>IF(ISNUMBER(SEARCH("World",'RawData'!C37)),"",SUMIFS('RawData'!H:H,'RawData'!B:B,'RawData'!B37,'RawData'!C:C,"*World*"))</f>
        <v>0</v>
      </c>
      <c r="M34" s="15" t="str">
        <f>IF(ISNUMBER(SEARCH("World",'RawData'!C37)),"",IFERROR(K34/L34,"-"))</f>
        <v>-</v>
      </c>
      <c r="N34" s="7">
        <f>IF(ISNUMBER(SEARCH("World",'RawData'!C37)),"",IF(ISNUMBER(SEARCH("Other",C34)),COUNTIFS('RawData'!B:B,B34,'RawData'!C:C,"&lt;&gt;*World*"),IF(OR(K34="",K34=0),"-",SUMPRODUCT(('RawData'!B$2:B$822=B34)*('RawData'!H$2:H$822&gt;K34)*(ISERROR(SEARCH("World",'RawData'!C$2:C$822)))*(ISERROR(SEARCH("Other",'RawData'!C$2:C$822))))+1)))</f>
        <v>3</v>
      </c>
    </row>
    <row r="35" spans="1:14" x14ac:dyDescent="0.3">
      <c r="A35" s="4" t="str">
        <f>IF(ISNUMBER(SEARCH("World",'RawData'!C38)),"",'RawData'!A38)</f>
        <v>MCS2026</v>
      </c>
      <c r="B35" s="4" t="str">
        <f>IF(ISNUMBER(SEARCH("World",'RawData'!C38)),"",'RawData'!B38)</f>
        <v xml:space="preserve">Barite  </v>
      </c>
      <c r="C35" s="4" t="str">
        <f>IF(ISNUMBER(SEARCH("World",'RawData'!C38)),"",'RawData'!C38)</f>
        <v>Laos</v>
      </c>
      <c r="D35" s="4" t="str">
        <f>IF(ISNUMBER(SEARCH("World",'RawData'!C38)),"",'RawData'!D38)</f>
        <v>Mine production, barite, estimated</v>
      </c>
      <c r="E35" s="4" t="str">
        <f>IF(ISNUMBER(SEARCH("World",'RawData'!C38)),"",IF('RawData'!E38="WT001","kg",IF('RawData'!E38="WT002","ton",IF('RawData'!E38="WT003","k ton",""))))</f>
        <v>k ton</v>
      </c>
      <c r="F35" s="14">
        <f>IF(ISNUMBER(SEARCH("World",'RawData'!C38)),"",'RawData'!F38)</f>
        <v>250</v>
      </c>
      <c r="G35" s="14">
        <f>IF(ISNUMBER(SEARCH("World",'RawData'!C38)),"",'RawData'!G38)</f>
        <v>260</v>
      </c>
      <c r="H35" s="14">
        <f>IF(ISNUMBER(SEARCH("World",'RawData'!C38)),"",SUMIFS('RawData'!G:G,'RawData'!B:B,'RawData'!B38,'RawData'!C:C,"*World*"))</f>
        <v>8700</v>
      </c>
      <c r="I35" s="15">
        <f>IF(ISNUMBER(SEARCH("World",'RawData'!C38)),"",IFERROR(G35/H35,"-"))</f>
        <v>2.9885057471264367E-2</v>
      </c>
      <c r="J35" s="7">
        <f>IF(ISNUMBER(SEARCH("World",'RawData'!C38)),"",IF(ISNUMBER(SEARCH("Other",C35)),COUNTIFS('RawData'!B:B,B35,'RawData'!C:C,"&lt;&gt;*World*"),IF(OR(G35="",G35=0),"-",SUMPRODUCT(('RawData'!B$2:B$822=B35)*('RawData'!G$2:G$822&gt;G35)*(ISERROR(SEARCH("World",'RawData'!C$2:C$822)))*(ISERROR(SEARCH("Other",'RawData'!C$2:C$822))))+1)))</f>
        <v>7</v>
      </c>
      <c r="K35" s="14">
        <f>IF(ISNUMBER(SEARCH("World",'RawData'!C38)),"",'RawData'!H38)</f>
        <v>0</v>
      </c>
      <c r="L35" s="14">
        <f>IF(ISNUMBER(SEARCH("World",'RawData'!C38)),"",SUMIFS('RawData'!H:H,'RawData'!B:B,'RawData'!B38,'RawData'!C:C,"*World*"))</f>
        <v>0</v>
      </c>
      <c r="M35" s="15" t="str">
        <f>IF(ISNUMBER(SEARCH("World",'RawData'!C38)),"",IFERROR(K35/L35,"-"))</f>
        <v>-</v>
      </c>
      <c r="N35" s="7" t="str">
        <f>IF(ISNUMBER(SEARCH("World",'RawData'!C38)),"",IF(ISNUMBER(SEARCH("Other",C35)),COUNTIFS('RawData'!B:B,B35,'RawData'!C:C,"&lt;&gt;*World*"),IF(OR(K35="",K35=0),"-",SUMPRODUCT(('RawData'!B$2:B$822=B35)*('RawData'!H$2:H$822&gt;K35)*(ISERROR(SEARCH("World",'RawData'!C$2:C$822)))*(ISERROR(SEARCH("Other",'RawData'!C$2:C$822))))+1)))</f>
        <v>-</v>
      </c>
    </row>
    <row r="36" spans="1:14" x14ac:dyDescent="0.3">
      <c r="A36" s="4" t="str">
        <f>IF(ISNUMBER(SEARCH("World",'RawData'!C39)),"",'RawData'!A39)</f>
        <v>MCS2026</v>
      </c>
      <c r="B36" s="4" t="str">
        <f>IF(ISNUMBER(SEARCH("World",'RawData'!C39)),"",'RawData'!B39)</f>
        <v xml:space="preserve">Barite  </v>
      </c>
      <c r="C36" s="4" t="str">
        <f>IF(ISNUMBER(SEARCH("World",'RawData'!C39)),"",'RawData'!C39)</f>
        <v>Mexico</v>
      </c>
      <c r="D36" s="4" t="str">
        <f>IF(ISNUMBER(SEARCH("World",'RawData'!C39)),"",'RawData'!D39)</f>
        <v>Mine production, barite, estimated</v>
      </c>
      <c r="E36" s="4" t="str">
        <f>IF(ISNUMBER(SEARCH("World",'RawData'!C39)),"",IF('RawData'!E39="WT001","kg",IF('RawData'!E39="WT002","ton",IF('RawData'!E39="WT003","k ton",""))))</f>
        <v>k ton</v>
      </c>
      <c r="F36" s="14">
        <f>IF(ISNUMBER(SEARCH("World",'RawData'!C39)),"",'RawData'!F39)</f>
        <v>244</v>
      </c>
      <c r="G36" s="14">
        <f>IF(ISNUMBER(SEARCH("World",'RawData'!C39)),"",'RawData'!G39)</f>
        <v>300</v>
      </c>
      <c r="H36" s="14">
        <f>IF(ISNUMBER(SEARCH("World",'RawData'!C39)),"",SUMIFS('RawData'!G:G,'RawData'!B:B,'RawData'!B39,'RawData'!C:C,"*World*"))</f>
        <v>8700</v>
      </c>
      <c r="I36" s="15">
        <f>IF(ISNUMBER(SEARCH("World",'RawData'!C39)),"",IFERROR(G36/H36,"-"))</f>
        <v>3.4482758620689655E-2</v>
      </c>
      <c r="J36" s="7">
        <f>IF(ISNUMBER(SEARCH("World",'RawData'!C39)),"",IF(ISNUMBER(SEARCH("Other",C36)),COUNTIFS('RawData'!B:B,B36,'RawData'!C:C,"&lt;&gt;*World*"),IF(OR(G36="",G36=0),"-",SUMPRODUCT(('RawData'!B$2:B$822=B36)*('RawData'!G$2:G$822&gt;G36)*(ISERROR(SEARCH("World",'RawData'!C$2:C$822)))*(ISERROR(SEARCH("Other",'RawData'!C$2:C$822))))+1)))</f>
        <v>5</v>
      </c>
      <c r="K36" s="14">
        <f>IF(ISNUMBER(SEARCH("World",'RawData'!C39)),"",'RawData'!H39)</f>
        <v>0</v>
      </c>
      <c r="L36" s="14">
        <f>IF(ISNUMBER(SEARCH("World",'RawData'!C39)),"",SUMIFS('RawData'!H:H,'RawData'!B:B,'RawData'!B39,'RawData'!C:C,"*World*"))</f>
        <v>0</v>
      </c>
      <c r="M36" s="15" t="str">
        <f>IF(ISNUMBER(SEARCH("World",'RawData'!C39)),"",IFERROR(K36/L36,"-"))</f>
        <v>-</v>
      </c>
      <c r="N36" s="7" t="str">
        <f>IF(ISNUMBER(SEARCH("World",'RawData'!C39)),"",IF(ISNUMBER(SEARCH("Other",C36)),COUNTIFS('RawData'!B:B,B36,'RawData'!C:C,"&lt;&gt;*World*"),IF(OR(K36="",K36=0),"-",SUMPRODUCT(('RawData'!B$2:B$822=B36)*('RawData'!H$2:H$822&gt;K36)*(ISERROR(SEARCH("World",'RawData'!C$2:C$822)))*(ISERROR(SEARCH("Other",'RawData'!C$2:C$822))))+1)))</f>
        <v>-</v>
      </c>
    </row>
    <row r="37" spans="1:14" x14ac:dyDescent="0.3">
      <c r="A37" s="4" t="str">
        <f>IF(ISNUMBER(SEARCH("World",'RawData'!C40)),"",'RawData'!A40)</f>
        <v>MCS2026</v>
      </c>
      <c r="B37" s="4" t="str">
        <f>IF(ISNUMBER(SEARCH("World",'RawData'!C40)),"",'RawData'!B40)</f>
        <v xml:space="preserve">Barite  </v>
      </c>
      <c r="C37" s="4" t="str">
        <f>IF(ISNUMBER(SEARCH("World",'RawData'!C40)),"",'RawData'!C40)</f>
        <v>Morocco</v>
      </c>
      <c r="D37" s="4" t="str">
        <f>IF(ISNUMBER(SEARCH("World",'RawData'!C40)),"",'RawData'!D40)</f>
        <v>Mine production, barite, estimated</v>
      </c>
      <c r="E37" s="4" t="str">
        <f>IF(ISNUMBER(SEARCH("World",'RawData'!C40)),"",IF('RawData'!E40="WT001","kg",IF('RawData'!E40="WT002","ton",IF('RawData'!E40="WT003","k ton",""))))</f>
        <v>k ton</v>
      </c>
      <c r="F37" s="14">
        <f>IF(ISNUMBER(SEARCH("World",'RawData'!C40)),"",'RawData'!F40)</f>
        <v>930</v>
      </c>
      <c r="G37" s="14">
        <f>IF(ISNUMBER(SEARCH("World",'RawData'!C40)),"",'RawData'!G40)</f>
        <v>1000</v>
      </c>
      <c r="H37" s="14">
        <f>IF(ISNUMBER(SEARCH("World",'RawData'!C40)),"",SUMIFS('RawData'!G:G,'RawData'!B:B,'RawData'!B40,'RawData'!C:C,"*World*"))</f>
        <v>8700</v>
      </c>
      <c r="I37" s="15">
        <f>IF(ISNUMBER(SEARCH("World",'RawData'!C40)),"",IFERROR(G37/H37,"-"))</f>
        <v>0.11494252873563218</v>
      </c>
      <c r="J37" s="7">
        <f>IF(ISNUMBER(SEARCH("World",'RawData'!C40)),"",IF(ISNUMBER(SEARCH("Other",C37)),COUNTIFS('RawData'!B:B,B37,'RawData'!C:C,"&lt;&gt;*World*"),IF(OR(G37="",G37=0),"-",SUMPRODUCT(('RawData'!B$2:B$822=B37)*('RawData'!G$2:G$822&gt;G37)*(ISERROR(SEARCH("World",'RawData'!C$2:C$822)))*(ISERROR(SEARCH("Other",'RawData'!C$2:C$822))))+1)))</f>
        <v>3</v>
      </c>
      <c r="K37" s="14">
        <f>IF(ISNUMBER(SEARCH("World",'RawData'!C40)),"",'RawData'!H40)</f>
        <v>0</v>
      </c>
      <c r="L37" s="14">
        <f>IF(ISNUMBER(SEARCH("World",'RawData'!C40)),"",SUMIFS('RawData'!H:H,'RawData'!B:B,'RawData'!B40,'RawData'!C:C,"*World*"))</f>
        <v>0</v>
      </c>
      <c r="M37" s="15" t="str">
        <f>IF(ISNUMBER(SEARCH("World",'RawData'!C40)),"",IFERROR(K37/L37,"-"))</f>
        <v>-</v>
      </c>
      <c r="N37" s="7" t="str">
        <f>IF(ISNUMBER(SEARCH("World",'RawData'!C40)),"",IF(ISNUMBER(SEARCH("Other",C37)),COUNTIFS('RawData'!B:B,B37,'RawData'!C:C,"&lt;&gt;*World*"),IF(OR(K37="",K37=0),"-",SUMPRODUCT(('RawData'!B$2:B$822=B37)*('RawData'!H$2:H$822&gt;K37)*(ISERROR(SEARCH("World",'RawData'!C$2:C$822)))*(ISERROR(SEARCH("Other",'RawData'!C$2:C$822))))+1)))</f>
        <v>-</v>
      </c>
    </row>
    <row r="38" spans="1:14" x14ac:dyDescent="0.3">
      <c r="A38" s="4" t="str">
        <f>IF(ISNUMBER(SEARCH("World",'RawData'!C41)),"",'RawData'!A41)</f>
        <v>MCS2026</v>
      </c>
      <c r="B38" s="4" t="str">
        <f>IF(ISNUMBER(SEARCH("World",'RawData'!C41)),"",'RawData'!B41)</f>
        <v xml:space="preserve">Barite  </v>
      </c>
      <c r="C38" s="4" t="str">
        <f>IF(ISNUMBER(SEARCH("World",'RawData'!C41)),"",'RawData'!C41)</f>
        <v>Other Countries</v>
      </c>
      <c r="D38" s="4" t="str">
        <f>IF(ISNUMBER(SEARCH("World",'RawData'!C41)),"",'RawData'!D41)</f>
        <v>Mine production, barite, estimated</v>
      </c>
      <c r="E38" s="4" t="str">
        <f>IF(ISNUMBER(SEARCH("World",'RawData'!C41)),"",IF('RawData'!E41="WT001","kg",IF('RawData'!E41="WT002","ton",IF('RawData'!E41="WT003","k ton",""))))</f>
        <v>k ton</v>
      </c>
      <c r="F38" s="14">
        <f>IF(ISNUMBER(SEARCH("World",'RawData'!C41)),"",'RawData'!F41)</f>
        <v>340</v>
      </c>
      <c r="G38" s="14">
        <f>IF(ISNUMBER(SEARCH("World",'RawData'!C41)),"",'RawData'!G41)</f>
        <v>350</v>
      </c>
      <c r="H38" s="14">
        <f>IF(ISNUMBER(SEARCH("World",'RawData'!C41)),"",SUMIFS('RawData'!G:G,'RawData'!B:B,'RawData'!B41,'RawData'!C:C,"*World*"))</f>
        <v>8700</v>
      </c>
      <c r="I38" s="15">
        <f>IF(ISNUMBER(SEARCH("World",'RawData'!C41)),"",IFERROR(G38/H38,"-"))</f>
        <v>4.0229885057471264E-2</v>
      </c>
      <c r="J38" s="7">
        <f>IF(ISNUMBER(SEARCH("World",'RawData'!C41)),"",IF(ISNUMBER(SEARCH("Other",C38)),COUNTIFS('RawData'!B:B,B38,'RawData'!C:C,"&lt;&gt;*World*"),IF(OR(G38="",G38=0),"-",SUMPRODUCT(('RawData'!B$2:B$822=B38)*('RawData'!G$2:G$822&gt;G38)*(ISERROR(SEARCH("World",'RawData'!C$2:C$822)))*(ISERROR(SEARCH("Other",'RawData'!C$2:C$822))))+1)))</f>
        <v>12</v>
      </c>
      <c r="K38" s="14">
        <f>IF(ISNUMBER(SEARCH("World",'RawData'!C41)),"",'RawData'!H41)</f>
        <v>0</v>
      </c>
      <c r="L38" s="14">
        <f>IF(ISNUMBER(SEARCH("World",'RawData'!C41)),"",SUMIFS('RawData'!H:H,'RawData'!B:B,'RawData'!B41,'RawData'!C:C,"*World*"))</f>
        <v>0</v>
      </c>
      <c r="M38" s="15" t="str">
        <f>IF(ISNUMBER(SEARCH("World",'RawData'!C41)),"",IFERROR(K38/L38,"-"))</f>
        <v>-</v>
      </c>
      <c r="N38" s="7">
        <f>IF(ISNUMBER(SEARCH("World",'RawData'!C41)),"",IF(ISNUMBER(SEARCH("Other",C38)),COUNTIFS('RawData'!B:B,B38,'RawData'!C:C,"&lt;&gt;*World*"),IF(OR(K38="",K38=0),"-",SUMPRODUCT(('RawData'!B$2:B$822=B38)*('RawData'!H$2:H$822&gt;K38)*(ISERROR(SEARCH("World",'RawData'!C$2:C$822)))*(ISERROR(SEARCH("Other",'RawData'!C$2:C$822))))+1)))</f>
        <v>12</v>
      </c>
    </row>
    <row r="39" spans="1:14" x14ac:dyDescent="0.3">
      <c r="A39" s="4" t="str">
        <f>IF(ISNUMBER(SEARCH("World",'RawData'!C42)),"",'RawData'!A42)</f>
        <v>MCS2026</v>
      </c>
      <c r="B39" s="4" t="str">
        <f>IF(ISNUMBER(SEARCH("World",'RawData'!C42)),"",'RawData'!B42)</f>
        <v xml:space="preserve">Barite  </v>
      </c>
      <c r="C39" s="4" t="str">
        <f>IF(ISNUMBER(SEARCH("World",'RawData'!C42)),"",'RawData'!C42)</f>
        <v>Pakistan</v>
      </c>
      <c r="D39" s="4" t="str">
        <f>IF(ISNUMBER(SEARCH("World",'RawData'!C42)),"",'RawData'!D42)</f>
        <v>Mine production, barite, estimated</v>
      </c>
      <c r="E39" s="4" t="str">
        <f>IF(ISNUMBER(SEARCH("World",'RawData'!C42)),"",IF('RawData'!E42="WT001","kg",IF('RawData'!E42="WT002","ton",IF('RawData'!E42="WT003","k ton",""))))</f>
        <v>k ton</v>
      </c>
      <c r="F39" s="14">
        <f>IF(ISNUMBER(SEARCH("World",'RawData'!C42)),"",'RawData'!F42)</f>
        <v>94</v>
      </c>
      <c r="G39" s="14">
        <f>IF(ISNUMBER(SEARCH("World",'RawData'!C42)),"",'RawData'!G42)</f>
        <v>100</v>
      </c>
      <c r="H39" s="14">
        <f>IF(ISNUMBER(SEARCH("World",'RawData'!C42)),"",SUMIFS('RawData'!G:G,'RawData'!B:B,'RawData'!B42,'RawData'!C:C,"*World*"))</f>
        <v>8700</v>
      </c>
      <c r="I39" s="15">
        <f>IF(ISNUMBER(SEARCH("World",'RawData'!C42)),"",IFERROR(G39/H39,"-"))</f>
        <v>1.1494252873563218E-2</v>
      </c>
      <c r="J39" s="7">
        <f>IF(ISNUMBER(SEARCH("World",'RawData'!C42)),"",IF(ISNUMBER(SEARCH("Other",C39)),COUNTIFS('RawData'!B:B,B39,'RawData'!C:C,"&lt;&gt;*World*"),IF(OR(G39="",G39=0),"-",SUMPRODUCT(('RawData'!B$2:B$822=B39)*('RawData'!G$2:G$822&gt;G39)*(ISERROR(SEARCH("World",'RawData'!C$2:C$822)))*(ISERROR(SEARCH("Other",'RawData'!C$2:C$822))))+1)))</f>
        <v>10</v>
      </c>
      <c r="K39" s="14">
        <f>IF(ISNUMBER(SEARCH("World",'RawData'!C42)),"",'RawData'!H42)</f>
        <v>0</v>
      </c>
      <c r="L39" s="14">
        <f>IF(ISNUMBER(SEARCH("World",'RawData'!C42)),"",SUMIFS('RawData'!H:H,'RawData'!B:B,'RawData'!B42,'RawData'!C:C,"*World*"))</f>
        <v>0</v>
      </c>
      <c r="M39" s="15" t="str">
        <f>IF(ISNUMBER(SEARCH("World",'RawData'!C42)),"",IFERROR(K39/L39,"-"))</f>
        <v>-</v>
      </c>
      <c r="N39" s="7" t="str">
        <f>IF(ISNUMBER(SEARCH("World",'RawData'!C42)),"",IF(ISNUMBER(SEARCH("Other",C39)),COUNTIFS('RawData'!B:B,B39,'RawData'!C:C,"&lt;&gt;*World*"),IF(OR(K39="",K39=0),"-",SUMPRODUCT(('RawData'!B$2:B$822=B39)*('RawData'!H$2:H$822&gt;K39)*(ISERROR(SEARCH("World",'RawData'!C$2:C$822)))*(ISERROR(SEARCH("Other",'RawData'!C$2:C$822))))+1)))</f>
        <v>-</v>
      </c>
    </row>
    <row r="40" spans="1:14" x14ac:dyDescent="0.3">
      <c r="A40" s="4" t="str">
        <f>IF(ISNUMBER(SEARCH("World",'RawData'!C43)),"",'RawData'!A43)</f>
        <v>MCS2026</v>
      </c>
      <c r="B40" s="4" t="str">
        <f>IF(ISNUMBER(SEARCH("World",'RawData'!C43)),"",'RawData'!B43)</f>
        <v xml:space="preserve">Barite  </v>
      </c>
      <c r="C40" s="4" t="str">
        <f>IF(ISNUMBER(SEARCH("World",'RawData'!C43)),"",'RawData'!C43)</f>
        <v>Turkiye</v>
      </c>
      <c r="D40" s="4" t="str">
        <f>IF(ISNUMBER(SEARCH("World",'RawData'!C43)),"",'RawData'!D43)</f>
        <v>Mine production, barite, estimated</v>
      </c>
      <c r="E40" s="4" t="str">
        <f>IF(ISNUMBER(SEARCH("World",'RawData'!C43)),"",IF('RawData'!E43="WT001","kg",IF('RawData'!E43="WT002","ton",IF('RawData'!E43="WT003","k ton",""))))</f>
        <v>k ton</v>
      </c>
      <c r="F40" s="14">
        <f>IF(ISNUMBER(SEARCH("World",'RawData'!C43)),"",'RawData'!F43)</f>
        <v>261</v>
      </c>
      <c r="G40" s="14">
        <f>IF(ISNUMBER(SEARCH("World",'RawData'!C43)),"",'RawData'!G43)</f>
        <v>260</v>
      </c>
      <c r="H40" s="14">
        <f>IF(ISNUMBER(SEARCH("World",'RawData'!C43)),"",SUMIFS('RawData'!G:G,'RawData'!B:B,'RawData'!B43,'RawData'!C:C,"*World*"))</f>
        <v>8700</v>
      </c>
      <c r="I40" s="15">
        <f>IF(ISNUMBER(SEARCH("World",'RawData'!C43)),"",IFERROR(G40/H40,"-"))</f>
        <v>2.9885057471264367E-2</v>
      </c>
      <c r="J40" s="7">
        <f>IF(ISNUMBER(SEARCH("World",'RawData'!C43)),"",IF(ISNUMBER(SEARCH("Other",C40)),COUNTIFS('RawData'!B:B,B40,'RawData'!C:C,"&lt;&gt;*World*"),IF(OR(G40="",G40=0),"-",SUMPRODUCT(('RawData'!B$2:B$822=B40)*('RawData'!G$2:G$822&gt;G40)*(ISERROR(SEARCH("World",'RawData'!C$2:C$822)))*(ISERROR(SEARCH("Other",'RawData'!C$2:C$822))))+1)))</f>
        <v>7</v>
      </c>
      <c r="K40" s="14">
        <f>IF(ISNUMBER(SEARCH("World",'RawData'!C43)),"",'RawData'!H43)</f>
        <v>34000</v>
      </c>
      <c r="L40" s="14">
        <f>IF(ISNUMBER(SEARCH("World",'RawData'!C43)),"",SUMIFS('RawData'!H:H,'RawData'!B:B,'RawData'!B43,'RawData'!C:C,"*World*"))</f>
        <v>0</v>
      </c>
      <c r="M40" s="15" t="str">
        <f>IF(ISNUMBER(SEARCH("World",'RawData'!C43)),"",IFERROR(K40/L40,"-"))</f>
        <v>-</v>
      </c>
      <c r="N40" s="7">
        <f>IF(ISNUMBER(SEARCH("World",'RawData'!C43)),"",IF(ISNUMBER(SEARCH("Other",C40)),COUNTIFS('RawData'!B:B,B40,'RawData'!C:C,"&lt;&gt;*World*"),IF(OR(K40="",K40=0),"-",SUMPRODUCT(('RawData'!B$2:B$822=B40)*('RawData'!H$2:H$822&gt;K40)*(ISERROR(SEARCH("World",'RawData'!C$2:C$822)))*(ISERROR(SEARCH("Other",'RawData'!C$2:C$822))))+1)))</f>
        <v>5</v>
      </c>
    </row>
    <row r="41" spans="1:14" x14ac:dyDescent="0.3">
      <c r="A41" s="4" t="str">
        <f>IF(ISNUMBER(SEARCH("World",'RawData'!C44)),"",'RawData'!A44)</f>
        <v>MCS2026</v>
      </c>
      <c r="B41" s="4" t="str">
        <f>IF(ISNUMBER(SEARCH("World",'RawData'!C44)),"",'RawData'!B44)</f>
        <v xml:space="preserve">Barite  </v>
      </c>
      <c r="C41" s="4" t="str">
        <f>IF(ISNUMBER(SEARCH("World",'RawData'!C44)),"",'RawData'!C44)</f>
        <v xml:space="preserve">Russia </v>
      </c>
      <c r="D41" s="4" t="str">
        <f>IF(ISNUMBER(SEARCH("World",'RawData'!C44)),"",'RawData'!D44)</f>
        <v>Mine production, barite, estimated</v>
      </c>
      <c r="E41" s="4" t="str">
        <f>IF(ISNUMBER(SEARCH("World",'RawData'!C44)),"",IF('RawData'!E44="WT001","kg",IF('RawData'!E44="WT002","ton",IF('RawData'!E44="WT003","k ton",""))))</f>
        <v>k ton</v>
      </c>
      <c r="F41" s="14">
        <f>IF(ISNUMBER(SEARCH("World",'RawData'!C44)),"",'RawData'!F44)</f>
        <v>200</v>
      </c>
      <c r="G41" s="14">
        <f>IF(ISNUMBER(SEARCH("World",'RawData'!C44)),"",'RawData'!G44)</f>
        <v>230</v>
      </c>
      <c r="H41" s="14">
        <f>IF(ISNUMBER(SEARCH("World",'RawData'!C44)),"",SUMIFS('RawData'!G:G,'RawData'!B:B,'RawData'!B44,'RawData'!C:C,"*World*"))</f>
        <v>8700</v>
      </c>
      <c r="I41" s="15">
        <f>IF(ISNUMBER(SEARCH("World",'RawData'!C44)),"",IFERROR(G41/H41,"-"))</f>
        <v>2.6436781609195402E-2</v>
      </c>
      <c r="J41" s="7">
        <f>IF(ISNUMBER(SEARCH("World",'RawData'!C44)),"",IF(ISNUMBER(SEARCH("Other",C41)),COUNTIFS('RawData'!B:B,B41,'RawData'!C:C,"&lt;&gt;*World*"),IF(OR(G41="",G41=0),"-",SUMPRODUCT(('RawData'!B$2:B$822=B41)*('RawData'!G$2:G$822&gt;G41)*(ISERROR(SEARCH("World",'RawData'!C$2:C$822)))*(ISERROR(SEARCH("Other",'RawData'!C$2:C$822))))+1)))</f>
        <v>9</v>
      </c>
      <c r="K41" s="14">
        <f>IF(ISNUMBER(SEARCH("World",'RawData'!C44)),"",'RawData'!H44)</f>
        <v>12000</v>
      </c>
      <c r="L41" s="14">
        <f>IF(ISNUMBER(SEARCH("World",'RawData'!C44)),"",SUMIFS('RawData'!H:H,'RawData'!B:B,'RawData'!B44,'RawData'!C:C,"*World*"))</f>
        <v>0</v>
      </c>
      <c r="M41" s="15" t="str">
        <f>IF(ISNUMBER(SEARCH("World",'RawData'!C44)),"",IFERROR(K41/L41,"-"))</f>
        <v>-</v>
      </c>
      <c r="N41" s="7">
        <f>IF(ISNUMBER(SEARCH("World",'RawData'!C44)),"",IF(ISNUMBER(SEARCH("Other",C41)),COUNTIFS('RawData'!B:B,B41,'RawData'!C:C,"&lt;&gt;*World*"),IF(OR(K41="",K41=0),"-",SUMPRODUCT(('RawData'!B$2:B$822=B41)*('RawData'!H$2:H$822&gt;K41)*(ISERROR(SEARCH("World",'RawData'!C$2:C$822)))*(ISERROR(SEARCH("Other",'RawData'!C$2:C$822))))+1)))</f>
        <v>6</v>
      </c>
    </row>
    <row r="42" spans="1:14" x14ac:dyDescent="0.3">
      <c r="A42" s="4" t="str">
        <f>IF(ISNUMBER(SEARCH("World",'RawData'!C45)),"",'RawData'!A45)</f>
        <v>MCS2026</v>
      </c>
      <c r="B42" s="4" t="str">
        <f>IF(ISNUMBER(SEARCH("World",'RawData'!C45)),"",'RawData'!B45)</f>
        <v xml:space="preserve">Barite  </v>
      </c>
      <c r="C42" s="4" t="str">
        <f>IF(ISNUMBER(SEARCH("World",'RawData'!C45)),"",'RawData'!C45)</f>
        <v>United States</v>
      </c>
      <c r="D42" s="4" t="str">
        <f>IF(ISNUMBER(SEARCH("World",'RawData'!C45)),"",'RawData'!D45)</f>
        <v>Mine production, barite, estimated</v>
      </c>
      <c r="E42" s="4" t="str">
        <f>IF(ISNUMBER(SEARCH("World",'RawData'!C45)),"",IF('RawData'!E45="WT001","kg",IF('RawData'!E45="WT002","ton",IF('RawData'!E45="WT003","k ton",""))))</f>
        <v>k ton</v>
      </c>
      <c r="F42" s="14">
        <f>IF(ISNUMBER(SEARCH("World",'RawData'!C45)),"",'RawData'!F45)</f>
        <v>0</v>
      </c>
      <c r="G42" s="14">
        <f>IF(ISNUMBER(SEARCH("World",'RawData'!C45)),"",'RawData'!G45)</f>
        <v>0</v>
      </c>
      <c r="H42" s="14">
        <f>IF(ISNUMBER(SEARCH("World",'RawData'!C45)),"",SUMIFS('RawData'!G:G,'RawData'!B:B,'RawData'!B45,'RawData'!C:C,"*World*"))</f>
        <v>8700</v>
      </c>
      <c r="I42" s="15">
        <f>IF(ISNUMBER(SEARCH("World",'RawData'!C45)),"",IFERROR(G42/H42,"-"))</f>
        <v>0</v>
      </c>
      <c r="J42" s="7" t="str">
        <f>IF(ISNUMBER(SEARCH("World",'RawData'!C45)),"",IF(ISNUMBER(SEARCH("Other",C42)),COUNTIFS('RawData'!B:B,B42,'RawData'!C:C,"&lt;&gt;*World*"),IF(OR(G42="",G42=0),"-",SUMPRODUCT(('RawData'!B$2:B$822=B42)*('RawData'!G$2:G$822&gt;G42)*(ISERROR(SEARCH("World",'RawData'!C$2:C$822)))*(ISERROR(SEARCH("Other",'RawData'!C$2:C$822))))+1)))</f>
        <v>-</v>
      </c>
      <c r="K42" s="14">
        <f>IF(ISNUMBER(SEARCH("World",'RawData'!C45)),"",'RawData'!H45)</f>
        <v>0</v>
      </c>
      <c r="L42" s="14">
        <f>IF(ISNUMBER(SEARCH("World",'RawData'!C45)),"",SUMIFS('RawData'!H:H,'RawData'!B:B,'RawData'!B45,'RawData'!C:C,"*World*"))</f>
        <v>0</v>
      </c>
      <c r="M42" s="15" t="str">
        <f>IF(ISNUMBER(SEARCH("World",'RawData'!C45)),"",IFERROR(K42/L42,"-"))</f>
        <v>-</v>
      </c>
      <c r="N42" s="7" t="str">
        <f>IF(ISNUMBER(SEARCH("World",'RawData'!C45)),"",IF(ISNUMBER(SEARCH("Other",C42)),COUNTIFS('RawData'!B:B,B42,'RawData'!C:C,"&lt;&gt;*World*"),IF(OR(K42="",K42=0),"-",SUMPRODUCT(('RawData'!B$2:B$822=B42)*('RawData'!H$2:H$822&gt;K42)*(ISERROR(SEARCH("World",'RawData'!C$2:C$822)))*(ISERROR(SEARCH("Other",'RawData'!C$2:C$822))))+1)))</f>
        <v>-</v>
      </c>
    </row>
    <row r="43" spans="1:14" x14ac:dyDescent="0.3">
      <c r="A43" s="4" t="str">
        <f>IF(ISNUMBER(SEARCH("World",'RawData'!C47)),"",'RawData'!A47)</f>
        <v>MCS2026</v>
      </c>
      <c r="B43" s="4" t="str">
        <f>IF(ISNUMBER(SEARCH("World",'RawData'!C47)),"",'RawData'!B47)</f>
        <v>Bauxite</v>
      </c>
      <c r="C43" s="4" t="str">
        <f>IF(ISNUMBER(SEARCH("World",'RawData'!C47)),"",'RawData'!C47)</f>
        <v>Australia</v>
      </c>
      <c r="D43" s="4" t="str">
        <f>IF(ISNUMBER(SEARCH("World",'RawData'!C47)),"",'RawData'!D47)</f>
        <v>Mine production, bauxite, dry tons</v>
      </c>
      <c r="E43" s="4" t="str">
        <f>IF(ISNUMBER(SEARCH("World",'RawData'!C47)),"",IF('RawData'!E47="WT001","kg",IF('RawData'!E47="WT002","ton",IF('RawData'!E47="WT003","k ton",""))))</f>
        <v>k ton</v>
      </c>
      <c r="F43" s="14">
        <f>IF(ISNUMBER(SEARCH("World",'RawData'!C47)),"",'RawData'!F47)</f>
        <v>100000</v>
      </c>
      <c r="G43" s="14">
        <f>IF(ISNUMBER(SEARCH("World",'RawData'!C47)),"",'RawData'!G47)</f>
        <v>97000</v>
      </c>
      <c r="H43" s="14">
        <f>IF(ISNUMBER(SEARCH("World",'RawData'!C47)),"",SUMIFS('RawData'!G:G,'RawData'!B:B,'RawData'!B47,'RawData'!C:C,"*World*"))</f>
        <v>440000</v>
      </c>
      <c r="I43" s="15">
        <f>IF(ISNUMBER(SEARCH("World",'RawData'!C47)),"",IFERROR(G43/H43,"-"))</f>
        <v>0.22045454545454546</v>
      </c>
      <c r="J43" s="7">
        <f>IF(ISNUMBER(SEARCH("World",'RawData'!C47)),"",IF(ISNUMBER(SEARCH("Other",C43)),COUNTIFS('RawData'!B:B,B43,'RawData'!C:C,"&lt;&gt;*World*"),IF(OR(G43="",G43=0),"-",SUMPRODUCT(('RawData'!B$2:B$822=B43)*('RawData'!G$2:G$822&gt;G43)*(ISERROR(SEARCH("World",'RawData'!C$2:C$822)))*(ISERROR(SEARCH("Other",'RawData'!C$2:C$822))))+1)))</f>
        <v>2</v>
      </c>
      <c r="K43" s="14">
        <f>IF(ISNUMBER(SEARCH("World",'RawData'!C47)),"",'RawData'!H47)</f>
        <v>3700000</v>
      </c>
      <c r="L43" s="14">
        <f>IF(ISNUMBER(SEARCH("World",'RawData'!C47)),"",SUMIFS('RawData'!H:H,'RawData'!B:B,'RawData'!B47,'RawData'!C:C,"*World*"))</f>
        <v>29000000</v>
      </c>
      <c r="M43" s="15">
        <f>IF(ISNUMBER(SEARCH("World",'RawData'!C47)),"",IFERROR(K43/L43,"-"))</f>
        <v>0.12758620689655173</v>
      </c>
      <c r="N43" s="7">
        <f>IF(ISNUMBER(SEARCH("World",'RawData'!C47)),"",IF(ISNUMBER(SEARCH("Other",C43)),COUNTIFS('RawData'!B:B,B43,'RawData'!C:C,"&lt;&gt;*World*"),IF(OR(K43="",K43=0),"-",SUMPRODUCT(('RawData'!B$2:B$822=B43)*('RawData'!H$2:H$822&gt;K43)*(ISERROR(SEARCH("World",'RawData'!C$2:C$822)))*(ISERROR(SEARCH("Other",'RawData'!C$2:C$822))))+1)))</f>
        <v>2</v>
      </c>
    </row>
    <row r="44" spans="1:14" x14ac:dyDescent="0.3">
      <c r="A44" s="4" t="str">
        <f>IF(ISNUMBER(SEARCH("World",'RawData'!C48)),"",'RawData'!A48)</f>
        <v>MCS2026</v>
      </c>
      <c r="B44" s="4" t="str">
        <f>IF(ISNUMBER(SEARCH("World",'RawData'!C48)),"",'RawData'!B48)</f>
        <v>Bauxite</v>
      </c>
      <c r="C44" s="4" t="str">
        <f>IF(ISNUMBER(SEARCH("World",'RawData'!C48)),"",'RawData'!C48)</f>
        <v>Brazil</v>
      </c>
      <c r="D44" s="4" t="str">
        <f>IF(ISNUMBER(SEARCH("World",'RawData'!C48)),"",'RawData'!D48)</f>
        <v>Mine production, bauxite, dry tons</v>
      </c>
      <c r="E44" s="4" t="str">
        <f>IF(ISNUMBER(SEARCH("World",'RawData'!C48)),"",IF('RawData'!E48="WT001","kg",IF('RawData'!E48="WT002","ton",IF('RawData'!E48="WT003","k ton",""))))</f>
        <v>k ton</v>
      </c>
      <c r="F44" s="14">
        <f>IF(ISNUMBER(SEARCH("World",'RawData'!C48)),"",'RawData'!F48)</f>
        <v>33000</v>
      </c>
      <c r="G44" s="14">
        <f>IF(ISNUMBER(SEARCH("World",'RawData'!C48)),"",'RawData'!G48)</f>
        <v>33000</v>
      </c>
      <c r="H44" s="14">
        <f>IF(ISNUMBER(SEARCH("World",'RawData'!C48)),"",SUMIFS('RawData'!G:G,'RawData'!B:B,'RawData'!B48,'RawData'!C:C,"*World*"))</f>
        <v>440000</v>
      </c>
      <c r="I44" s="15">
        <f>IF(ISNUMBER(SEARCH("World",'RawData'!C48)),"",IFERROR(G44/H44,"-"))</f>
        <v>7.4999999999999997E-2</v>
      </c>
      <c r="J44" s="7">
        <f>IF(ISNUMBER(SEARCH("World",'RawData'!C48)),"",IF(ISNUMBER(SEARCH("Other",C44)),COUNTIFS('RawData'!B:B,B44,'RawData'!C:C,"&lt;&gt;*World*"),IF(OR(G44="",G44=0),"-",SUMPRODUCT(('RawData'!B$2:B$822=B44)*('RawData'!G$2:G$822&gt;G44)*(ISERROR(SEARCH("World",'RawData'!C$2:C$822)))*(ISERROR(SEARCH("Other",'RawData'!C$2:C$822))))+1)))</f>
        <v>4</v>
      </c>
      <c r="K44" s="14">
        <f>IF(ISNUMBER(SEARCH("World",'RawData'!C48)),"",'RawData'!H48)</f>
        <v>1700000</v>
      </c>
      <c r="L44" s="14">
        <f>IF(ISNUMBER(SEARCH("World",'RawData'!C48)),"",SUMIFS('RawData'!H:H,'RawData'!B:B,'RawData'!B48,'RawData'!C:C,"*World*"))</f>
        <v>29000000</v>
      </c>
      <c r="M44" s="15">
        <f>IF(ISNUMBER(SEARCH("World",'RawData'!C48)),"",IFERROR(K44/L44,"-"))</f>
        <v>5.8620689655172413E-2</v>
      </c>
      <c r="N44" s="7">
        <f>IF(ISNUMBER(SEARCH("World",'RawData'!C48)),"",IF(ISNUMBER(SEARCH("Other",C44)),COUNTIFS('RawData'!B:B,B44,'RawData'!C:C,"&lt;&gt;*World*"),IF(OR(K44="",K44=0),"-",SUMPRODUCT(('RawData'!B$2:B$822=B44)*('RawData'!H$2:H$822&gt;K44)*(ISERROR(SEARCH("World",'RawData'!C$2:C$822)))*(ISERROR(SEARCH("Other",'RawData'!C$2:C$822))))+1)))</f>
        <v>6</v>
      </c>
    </row>
    <row r="45" spans="1:14" x14ac:dyDescent="0.3">
      <c r="A45" s="4" t="str">
        <f>IF(ISNUMBER(SEARCH("World",'RawData'!C49)),"",'RawData'!A49)</f>
        <v>MCS2026</v>
      </c>
      <c r="B45" s="4" t="str">
        <f>IF(ISNUMBER(SEARCH("World",'RawData'!C49)),"",'RawData'!B49)</f>
        <v>Bauxite</v>
      </c>
      <c r="C45" s="4" t="str">
        <f>IF(ISNUMBER(SEARCH("World",'RawData'!C49)),"",'RawData'!C49)</f>
        <v xml:space="preserve">Canada </v>
      </c>
      <c r="D45" s="4" t="str">
        <f>IF(ISNUMBER(SEARCH("World",'RawData'!C49)),"",'RawData'!D49)</f>
        <v>Mine production, bauxite, dry tons</v>
      </c>
      <c r="E45" s="4" t="str">
        <f>IF(ISNUMBER(SEARCH("World",'RawData'!C49)),"",IF('RawData'!E49="WT001","kg",IF('RawData'!E49="WT002","ton",IF('RawData'!E49="WT003","k ton",""))))</f>
        <v>k ton</v>
      </c>
      <c r="F45" s="14">
        <f>IF(ISNUMBER(SEARCH("World",'RawData'!C49)),"",'RawData'!F49)</f>
        <v>0</v>
      </c>
      <c r="G45" s="14">
        <f>IF(ISNUMBER(SEARCH("World",'RawData'!C49)),"",'RawData'!G49)</f>
        <v>0</v>
      </c>
      <c r="H45" s="14">
        <f>IF(ISNUMBER(SEARCH("World",'RawData'!C49)),"",SUMIFS('RawData'!G:G,'RawData'!B:B,'RawData'!B49,'RawData'!C:C,"*World*"))</f>
        <v>440000</v>
      </c>
      <c r="I45" s="15">
        <f>IF(ISNUMBER(SEARCH("World",'RawData'!C49)),"",IFERROR(G45/H45,"-"))</f>
        <v>0</v>
      </c>
      <c r="J45" s="7" t="str">
        <f>IF(ISNUMBER(SEARCH("World",'RawData'!C49)),"",IF(ISNUMBER(SEARCH("Other",C45)),COUNTIFS('RawData'!B:B,B45,'RawData'!C:C,"&lt;&gt;*World*"),IF(OR(G45="",G45=0),"-",SUMPRODUCT(('RawData'!B$2:B$822=B45)*('RawData'!G$2:G$822&gt;G45)*(ISERROR(SEARCH("World",'RawData'!C$2:C$822)))*(ISERROR(SEARCH("Other",'RawData'!C$2:C$822))))+1)))</f>
        <v>-</v>
      </c>
      <c r="K45" s="14">
        <f>IF(ISNUMBER(SEARCH("World",'RawData'!C49)),"",'RawData'!H49)</f>
        <v>0</v>
      </c>
      <c r="L45" s="14">
        <f>IF(ISNUMBER(SEARCH("World",'RawData'!C49)),"",SUMIFS('RawData'!H:H,'RawData'!B:B,'RawData'!B49,'RawData'!C:C,"*World*"))</f>
        <v>29000000</v>
      </c>
      <c r="M45" s="15">
        <f>IF(ISNUMBER(SEARCH("World",'RawData'!C49)),"",IFERROR(K45/L45,"-"))</f>
        <v>0</v>
      </c>
      <c r="N45" s="7" t="str">
        <f>IF(ISNUMBER(SEARCH("World",'RawData'!C49)),"",IF(ISNUMBER(SEARCH("Other",C45)),COUNTIFS('RawData'!B:B,B45,'RawData'!C:C,"&lt;&gt;*World*"),IF(OR(K45="",K45=0),"-",SUMPRODUCT(('RawData'!B$2:B$822=B45)*('RawData'!H$2:H$822&gt;K45)*(ISERROR(SEARCH("World",'RawData'!C$2:C$822)))*(ISERROR(SEARCH("Other",'RawData'!C$2:C$822))))+1)))</f>
        <v>-</v>
      </c>
    </row>
    <row r="46" spans="1:14" x14ac:dyDescent="0.3">
      <c r="A46" s="4" t="str">
        <f>IF(ISNUMBER(SEARCH("World",'RawData'!C50)),"",'RawData'!A50)</f>
        <v>MCS2026</v>
      </c>
      <c r="B46" s="4" t="str">
        <f>IF(ISNUMBER(SEARCH("World",'RawData'!C50)),"",'RawData'!B50)</f>
        <v>Bauxite</v>
      </c>
      <c r="C46" s="4" t="str">
        <f>IF(ISNUMBER(SEARCH("World",'RawData'!C50)),"",'RawData'!C50)</f>
        <v>China</v>
      </c>
      <c r="D46" s="4" t="str">
        <f>IF(ISNUMBER(SEARCH("World",'RawData'!C50)),"",'RawData'!D50)</f>
        <v>Mine production, bauxite, dry tons</v>
      </c>
      <c r="E46" s="4" t="str">
        <f>IF(ISNUMBER(SEARCH("World",'RawData'!C50)),"",IF('RawData'!E50="WT001","kg",IF('RawData'!E50="WT002","ton",IF('RawData'!E50="WT003","k ton",""))))</f>
        <v>k ton</v>
      </c>
      <c r="F46" s="14">
        <f>IF(ISNUMBER(SEARCH("World",'RawData'!C50)),"",'RawData'!F50)</f>
        <v>80500</v>
      </c>
      <c r="G46" s="14">
        <f>IF(ISNUMBER(SEARCH("World",'RawData'!C50)),"",'RawData'!G50)</f>
        <v>87000</v>
      </c>
      <c r="H46" s="14">
        <f>IF(ISNUMBER(SEARCH("World",'RawData'!C50)),"",SUMIFS('RawData'!G:G,'RawData'!B:B,'RawData'!B50,'RawData'!C:C,"*World*"))</f>
        <v>440000</v>
      </c>
      <c r="I46" s="15">
        <f>IF(ISNUMBER(SEARCH("World",'RawData'!C50)),"",IFERROR(G46/H46,"-"))</f>
        <v>0.19772727272727272</v>
      </c>
      <c r="J46" s="7">
        <f>IF(ISNUMBER(SEARCH("World",'RawData'!C50)),"",IF(ISNUMBER(SEARCH("Other",C46)),COUNTIFS('RawData'!B:B,B46,'RawData'!C:C,"&lt;&gt;*World*"),IF(OR(G46="",G46=0),"-",SUMPRODUCT(('RawData'!B$2:B$822=B46)*('RawData'!G$2:G$822&gt;G46)*(ISERROR(SEARCH("World",'RawData'!C$2:C$822)))*(ISERROR(SEARCH("Other",'RawData'!C$2:C$822))))+1)))</f>
        <v>3</v>
      </c>
      <c r="K46" s="14">
        <f>IF(ISNUMBER(SEARCH("World",'RawData'!C50)),"",'RawData'!H50)</f>
        <v>710000</v>
      </c>
      <c r="L46" s="14">
        <f>IF(ISNUMBER(SEARCH("World",'RawData'!C50)),"",SUMIFS('RawData'!H:H,'RawData'!B:B,'RawData'!B50,'RawData'!C:C,"*World*"))</f>
        <v>29000000</v>
      </c>
      <c r="M46" s="15">
        <f>IF(ISNUMBER(SEARCH("World",'RawData'!C50)),"",IFERROR(K46/L46,"-"))</f>
        <v>2.4482758620689656E-2</v>
      </c>
      <c r="N46" s="7">
        <f>IF(ISNUMBER(SEARCH("World",'RawData'!C50)),"",IF(ISNUMBER(SEARCH("Other",C46)),COUNTIFS('RawData'!B:B,B46,'RawData'!C:C,"&lt;&gt;*World*"),IF(OR(K46="",K46=0),"-",SUMPRODUCT(('RawData'!B$2:B$822=B46)*('RawData'!H$2:H$822&gt;K46)*(ISERROR(SEARCH("World",'RawData'!C$2:C$822)))*(ISERROR(SEARCH("Other",'RawData'!C$2:C$822))))+1)))</f>
        <v>7</v>
      </c>
    </row>
    <row r="47" spans="1:14" x14ac:dyDescent="0.3">
      <c r="A47" s="4" t="str">
        <f>IF(ISNUMBER(SEARCH("World",'RawData'!C51)),"",'RawData'!A51)</f>
        <v>MCS2026</v>
      </c>
      <c r="B47" s="4" t="str">
        <f>IF(ISNUMBER(SEARCH("World",'RawData'!C51)),"",'RawData'!B51)</f>
        <v>Bauxite</v>
      </c>
      <c r="C47" s="4" t="str">
        <f>IF(ISNUMBER(SEARCH("World",'RawData'!C51)),"",'RawData'!C51)</f>
        <v>Germany</v>
      </c>
      <c r="D47" s="4" t="str">
        <f>IF(ISNUMBER(SEARCH("World",'RawData'!C51)),"",'RawData'!D51)</f>
        <v>Mine production, bauxite, dry tons</v>
      </c>
      <c r="E47" s="4" t="str">
        <f>IF(ISNUMBER(SEARCH("World",'RawData'!C51)),"",IF('RawData'!E51="WT001","kg",IF('RawData'!E51="WT002","ton",IF('RawData'!E51="WT003","k ton",""))))</f>
        <v>k ton</v>
      </c>
      <c r="F47" s="14">
        <f>IF(ISNUMBER(SEARCH("World",'RawData'!C51)),"",'RawData'!F51)</f>
        <v>0</v>
      </c>
      <c r="G47" s="14">
        <f>IF(ISNUMBER(SEARCH("World",'RawData'!C51)),"",'RawData'!G51)</f>
        <v>0</v>
      </c>
      <c r="H47" s="14">
        <f>IF(ISNUMBER(SEARCH("World",'RawData'!C51)),"",SUMIFS('RawData'!G:G,'RawData'!B:B,'RawData'!B51,'RawData'!C:C,"*World*"))</f>
        <v>440000</v>
      </c>
      <c r="I47" s="15">
        <f>IF(ISNUMBER(SEARCH("World",'RawData'!C51)),"",IFERROR(G47/H47,"-"))</f>
        <v>0</v>
      </c>
      <c r="J47" s="7" t="str">
        <f>IF(ISNUMBER(SEARCH("World",'RawData'!C51)),"",IF(ISNUMBER(SEARCH("Other",C47)),COUNTIFS('RawData'!B:B,B47,'RawData'!C:C,"&lt;&gt;*World*"),IF(OR(G47="",G47=0),"-",SUMPRODUCT(('RawData'!B$2:B$822=B47)*('RawData'!G$2:G$822&gt;G47)*(ISERROR(SEARCH("World",'RawData'!C$2:C$822)))*(ISERROR(SEARCH("Other",'RawData'!C$2:C$822))))+1)))</f>
        <v>-</v>
      </c>
      <c r="K47" s="14">
        <f>IF(ISNUMBER(SEARCH("World",'RawData'!C51)),"",'RawData'!H51)</f>
        <v>0</v>
      </c>
      <c r="L47" s="14">
        <f>IF(ISNUMBER(SEARCH("World",'RawData'!C51)),"",SUMIFS('RawData'!H:H,'RawData'!B:B,'RawData'!B51,'RawData'!C:C,"*World*"))</f>
        <v>29000000</v>
      </c>
      <c r="M47" s="15">
        <f>IF(ISNUMBER(SEARCH("World",'RawData'!C51)),"",IFERROR(K47/L47,"-"))</f>
        <v>0</v>
      </c>
      <c r="N47" s="7" t="str">
        <f>IF(ISNUMBER(SEARCH("World",'RawData'!C51)),"",IF(ISNUMBER(SEARCH("Other",C47)),COUNTIFS('RawData'!B:B,B47,'RawData'!C:C,"&lt;&gt;*World*"),IF(OR(K47="",K47=0),"-",SUMPRODUCT(('RawData'!B$2:B$822=B47)*('RawData'!H$2:H$822&gt;K47)*(ISERROR(SEARCH("World",'RawData'!C$2:C$822)))*(ISERROR(SEARCH("Other",'RawData'!C$2:C$822))))+1)))</f>
        <v>-</v>
      </c>
    </row>
    <row r="48" spans="1:14" x14ac:dyDescent="0.3">
      <c r="A48" s="4" t="str">
        <f>IF(ISNUMBER(SEARCH("World",'RawData'!C52)),"",'RawData'!A52)</f>
        <v>MCS2026</v>
      </c>
      <c r="B48" s="4" t="str">
        <f>IF(ISNUMBER(SEARCH("World",'RawData'!C52)),"",'RawData'!B52)</f>
        <v>Bauxite</v>
      </c>
      <c r="C48" s="4" t="str">
        <f>IF(ISNUMBER(SEARCH("World",'RawData'!C52)),"",'RawData'!C52)</f>
        <v>Greece</v>
      </c>
      <c r="D48" s="4" t="str">
        <f>IF(ISNUMBER(SEARCH("World",'RawData'!C52)),"",'RawData'!D52)</f>
        <v>Mine production, bauxite, dry tons</v>
      </c>
      <c r="E48" s="4" t="str">
        <f>IF(ISNUMBER(SEARCH("World",'RawData'!C52)),"",IF('RawData'!E52="WT001","kg",IF('RawData'!E52="WT002","ton",IF('RawData'!E52="WT003","k ton",""))))</f>
        <v>k ton</v>
      </c>
      <c r="F48" s="14">
        <f>IF(ISNUMBER(SEARCH("World",'RawData'!C52)),"",'RawData'!F52)</f>
        <v>970</v>
      </c>
      <c r="G48" s="14">
        <f>IF(ISNUMBER(SEARCH("World",'RawData'!C52)),"",'RawData'!G52)</f>
        <v>960</v>
      </c>
      <c r="H48" s="14">
        <f>IF(ISNUMBER(SEARCH("World",'RawData'!C52)),"",SUMIFS('RawData'!G:G,'RawData'!B:B,'RawData'!B52,'RawData'!C:C,"*World*"))</f>
        <v>440000</v>
      </c>
      <c r="I48" s="15">
        <f>IF(ISNUMBER(SEARCH("World",'RawData'!C52)),"",IFERROR(G48/H48,"-"))</f>
        <v>2.1818181818181819E-3</v>
      </c>
      <c r="J48" s="7">
        <f>IF(ISNUMBER(SEARCH("World",'RawData'!C52)),"",IF(ISNUMBER(SEARCH("Other",C48)),COUNTIFS('RawData'!B:B,B48,'RawData'!C:C,"&lt;&gt;*World*"),IF(OR(G48="",G48=0),"-",SUMPRODUCT(('RawData'!B$2:B$822=B48)*('RawData'!G$2:G$822&gt;G48)*(ISERROR(SEARCH("World",'RawData'!C$2:C$822)))*(ISERROR(SEARCH("Other",'RawData'!C$2:C$822))))+1)))</f>
        <v>13</v>
      </c>
      <c r="K48" s="14">
        <f>IF(ISNUMBER(SEARCH("World",'RawData'!C52)),"",'RawData'!H52)</f>
        <v>0</v>
      </c>
      <c r="L48" s="14">
        <f>IF(ISNUMBER(SEARCH("World",'RawData'!C52)),"",SUMIFS('RawData'!H:H,'RawData'!B:B,'RawData'!B52,'RawData'!C:C,"*World*"))</f>
        <v>29000000</v>
      </c>
      <c r="M48" s="15">
        <f>IF(ISNUMBER(SEARCH("World",'RawData'!C52)),"",IFERROR(K48/L48,"-"))</f>
        <v>0</v>
      </c>
      <c r="N48" s="7" t="str">
        <f>IF(ISNUMBER(SEARCH("World",'RawData'!C52)),"",IF(ISNUMBER(SEARCH("Other",C48)),COUNTIFS('RawData'!B:B,B48,'RawData'!C:C,"&lt;&gt;*World*"),IF(OR(K48="",K48=0),"-",SUMPRODUCT(('RawData'!B$2:B$822=B48)*('RawData'!H$2:H$822&gt;K48)*(ISERROR(SEARCH("World",'RawData'!C$2:C$822)))*(ISERROR(SEARCH("Other",'RawData'!C$2:C$822))))+1)))</f>
        <v>-</v>
      </c>
    </row>
    <row r="49" spans="1:14" x14ac:dyDescent="0.3">
      <c r="A49" s="4" t="str">
        <f>IF(ISNUMBER(SEARCH("World",'RawData'!C53)),"",'RawData'!A53)</f>
        <v>MCS2026</v>
      </c>
      <c r="B49" s="4" t="str">
        <f>IF(ISNUMBER(SEARCH("World",'RawData'!C53)),"",'RawData'!B53)</f>
        <v>Bauxite</v>
      </c>
      <c r="C49" s="4" t="str">
        <f>IF(ISNUMBER(SEARCH("World",'RawData'!C53)),"",'RawData'!C53)</f>
        <v>Guinea</v>
      </c>
      <c r="D49" s="4" t="str">
        <f>IF(ISNUMBER(SEARCH("World",'RawData'!C53)),"",'RawData'!D53)</f>
        <v>Mine production, bauxite, dry tons</v>
      </c>
      <c r="E49" s="4" t="str">
        <f>IF(ISNUMBER(SEARCH("World",'RawData'!C53)),"",IF('RawData'!E53="WT001","kg",IF('RawData'!E53="WT002","ton",IF('RawData'!E53="WT003","k ton",""))))</f>
        <v>k ton</v>
      </c>
      <c r="F49" s="14">
        <f>IF(ISNUMBER(SEARCH("World",'RawData'!C53)),"",'RawData'!F53)</f>
        <v>142000</v>
      </c>
      <c r="G49" s="14">
        <f>IF(ISNUMBER(SEARCH("World",'RawData'!C53)),"",'RawData'!G53)</f>
        <v>150000</v>
      </c>
      <c r="H49" s="14">
        <f>IF(ISNUMBER(SEARCH("World",'RawData'!C53)),"",SUMIFS('RawData'!G:G,'RawData'!B:B,'RawData'!B53,'RawData'!C:C,"*World*"))</f>
        <v>440000</v>
      </c>
      <c r="I49" s="15">
        <f>IF(ISNUMBER(SEARCH("World",'RawData'!C53)),"",IFERROR(G49/H49,"-"))</f>
        <v>0.34090909090909088</v>
      </c>
      <c r="J49" s="7">
        <f>IF(ISNUMBER(SEARCH("World",'RawData'!C53)),"",IF(ISNUMBER(SEARCH("Other",C49)),COUNTIFS('RawData'!B:B,B49,'RawData'!C:C,"&lt;&gt;*World*"),IF(OR(G49="",G49=0),"-",SUMPRODUCT(('RawData'!B$2:B$822=B49)*('RawData'!G$2:G$822&gt;G49)*(ISERROR(SEARCH("World",'RawData'!C$2:C$822)))*(ISERROR(SEARCH("Other",'RawData'!C$2:C$822))))+1)))</f>
        <v>1</v>
      </c>
      <c r="K49" s="14">
        <f>IF(ISNUMBER(SEARCH("World",'RawData'!C53)),"",'RawData'!H53)</f>
        <v>7400000</v>
      </c>
      <c r="L49" s="14">
        <f>IF(ISNUMBER(SEARCH("World",'RawData'!C53)),"",SUMIFS('RawData'!H:H,'RawData'!B:B,'RawData'!B53,'RawData'!C:C,"*World*"))</f>
        <v>29000000</v>
      </c>
      <c r="M49" s="15">
        <f>IF(ISNUMBER(SEARCH("World",'RawData'!C53)),"",IFERROR(K49/L49,"-"))</f>
        <v>0.25517241379310346</v>
      </c>
      <c r="N49" s="7">
        <f>IF(ISNUMBER(SEARCH("World",'RawData'!C53)),"",IF(ISNUMBER(SEARCH("Other",C49)),COUNTIFS('RawData'!B:B,B49,'RawData'!C:C,"&lt;&gt;*World*"),IF(OR(K49="",K49=0),"-",SUMPRODUCT(('RawData'!B$2:B$822=B49)*('RawData'!H$2:H$822&gt;K49)*(ISERROR(SEARCH("World",'RawData'!C$2:C$822)))*(ISERROR(SEARCH("Other",'RawData'!C$2:C$822))))+1)))</f>
        <v>1</v>
      </c>
    </row>
    <row r="50" spans="1:14" x14ac:dyDescent="0.3">
      <c r="A50" s="4" t="str">
        <f>IF(ISNUMBER(SEARCH("World",'RawData'!C54)),"",'RawData'!A54)</f>
        <v>MCS2026</v>
      </c>
      <c r="B50" s="4" t="str">
        <f>IF(ISNUMBER(SEARCH("World",'RawData'!C54)),"",'RawData'!B54)</f>
        <v>Bauxite</v>
      </c>
      <c r="C50" s="4" t="str">
        <f>IF(ISNUMBER(SEARCH("World",'RawData'!C54)),"",'RawData'!C54)</f>
        <v>India</v>
      </c>
      <c r="D50" s="4" t="str">
        <f>IF(ISNUMBER(SEARCH("World",'RawData'!C54)),"",'RawData'!D54)</f>
        <v>Mine production, bauxite, dry tons</v>
      </c>
      <c r="E50" s="4" t="str">
        <f>IF(ISNUMBER(SEARCH("World",'RawData'!C54)),"",IF('RawData'!E54="WT001","kg",IF('RawData'!E54="WT002","ton",IF('RawData'!E54="WT003","k ton",""))))</f>
        <v>k ton</v>
      </c>
      <c r="F50" s="14">
        <f>IF(ISNUMBER(SEARCH("World",'RawData'!C54)),"",'RawData'!F54)</f>
        <v>25000</v>
      </c>
      <c r="G50" s="14">
        <f>IF(ISNUMBER(SEARCH("World",'RawData'!C54)),"",'RawData'!G54)</f>
        <v>25000</v>
      </c>
      <c r="H50" s="14">
        <f>IF(ISNUMBER(SEARCH("World",'RawData'!C54)),"",SUMIFS('RawData'!G:G,'RawData'!B:B,'RawData'!B54,'RawData'!C:C,"*World*"))</f>
        <v>440000</v>
      </c>
      <c r="I50" s="15">
        <f>IF(ISNUMBER(SEARCH("World",'RawData'!C54)),"",IFERROR(G50/H50,"-"))</f>
        <v>5.6818181818181816E-2</v>
      </c>
      <c r="J50" s="7">
        <f>IF(ISNUMBER(SEARCH("World",'RawData'!C54)),"",IF(ISNUMBER(SEARCH("Other",C50)),COUNTIFS('RawData'!B:B,B50,'RawData'!C:C,"&lt;&gt;*World*"),IF(OR(G50="",G50=0),"-",SUMPRODUCT(('RawData'!B$2:B$822=B50)*('RawData'!G$2:G$822&gt;G50)*(ISERROR(SEARCH("World",'RawData'!C$2:C$822)))*(ISERROR(SEARCH("Other",'RawData'!C$2:C$822))))+1)))</f>
        <v>5</v>
      </c>
      <c r="K50" s="14">
        <f>IF(ISNUMBER(SEARCH("World",'RawData'!C54)),"",'RawData'!H54)</f>
        <v>650000</v>
      </c>
      <c r="L50" s="14">
        <f>IF(ISNUMBER(SEARCH("World",'RawData'!C54)),"",SUMIFS('RawData'!H:H,'RawData'!B:B,'RawData'!B54,'RawData'!C:C,"*World*"))</f>
        <v>29000000</v>
      </c>
      <c r="M50" s="15">
        <f>IF(ISNUMBER(SEARCH("World",'RawData'!C54)),"",IFERROR(K50/L50,"-"))</f>
        <v>2.2413793103448276E-2</v>
      </c>
      <c r="N50" s="7">
        <f>IF(ISNUMBER(SEARCH("World",'RawData'!C54)),"",IF(ISNUMBER(SEARCH("Other",C50)),COUNTIFS('RawData'!B:B,B50,'RawData'!C:C,"&lt;&gt;*World*"),IF(OR(K50="",K50=0),"-",SUMPRODUCT(('RawData'!B$2:B$822=B50)*('RawData'!H$2:H$822&gt;K50)*(ISERROR(SEARCH("World",'RawData'!C$2:C$822)))*(ISERROR(SEARCH("Other",'RawData'!C$2:C$822))))+1)))</f>
        <v>8</v>
      </c>
    </row>
    <row r="51" spans="1:14" x14ac:dyDescent="0.3">
      <c r="A51" s="4" t="str">
        <f>IF(ISNUMBER(SEARCH("World",'RawData'!C55)),"",'RawData'!A55)</f>
        <v>MCS2026</v>
      </c>
      <c r="B51" s="4" t="str">
        <f>IF(ISNUMBER(SEARCH("World",'RawData'!C55)),"",'RawData'!B55)</f>
        <v>Bauxite</v>
      </c>
      <c r="C51" s="4" t="str">
        <f>IF(ISNUMBER(SEARCH("World",'RawData'!C55)),"",'RawData'!C55)</f>
        <v>Indonesia</v>
      </c>
      <c r="D51" s="4" t="str">
        <f>IF(ISNUMBER(SEARCH("World",'RawData'!C55)),"",'RawData'!D55)</f>
        <v>Mine production, bauxite, dry tons</v>
      </c>
      <c r="E51" s="4" t="str">
        <f>IF(ISNUMBER(SEARCH("World",'RawData'!C55)),"",IF('RawData'!E55="WT001","kg",IF('RawData'!E55="WT002","ton",IF('RawData'!E55="WT003","k ton",""))))</f>
        <v>k ton</v>
      </c>
      <c r="F51" s="14">
        <f>IF(ISNUMBER(SEARCH("World",'RawData'!C55)),"",'RawData'!F55)</f>
        <v>9900</v>
      </c>
      <c r="G51" s="14">
        <f>IF(ISNUMBER(SEARCH("World",'RawData'!C55)),"",'RawData'!G55)</f>
        <v>10000</v>
      </c>
      <c r="H51" s="14">
        <f>IF(ISNUMBER(SEARCH("World",'RawData'!C55)),"",SUMIFS('RawData'!G:G,'RawData'!B:B,'RawData'!B55,'RawData'!C:C,"*World*"))</f>
        <v>440000</v>
      </c>
      <c r="I51" s="15">
        <f>IF(ISNUMBER(SEARCH("World",'RawData'!C55)),"",IFERROR(G51/H51,"-"))</f>
        <v>2.2727272727272728E-2</v>
      </c>
      <c r="J51" s="7">
        <f>IF(ISNUMBER(SEARCH("World",'RawData'!C55)),"",IF(ISNUMBER(SEARCH("Other",C51)),COUNTIFS('RawData'!B:B,B51,'RawData'!C:C,"&lt;&gt;*World*"),IF(OR(G51="",G51=0),"-",SUMPRODUCT(('RawData'!B$2:B$822=B51)*('RawData'!G$2:G$822&gt;G51)*(ISERROR(SEARCH("World",'RawData'!C$2:C$822)))*(ISERROR(SEARCH("Other",'RawData'!C$2:C$822))))+1)))</f>
        <v>6</v>
      </c>
      <c r="K51" s="14">
        <f>IF(ISNUMBER(SEARCH("World",'RawData'!C55)),"",'RawData'!H55)</f>
        <v>2900000</v>
      </c>
      <c r="L51" s="14">
        <f>IF(ISNUMBER(SEARCH("World",'RawData'!C55)),"",SUMIFS('RawData'!H:H,'RawData'!B:B,'RawData'!B55,'RawData'!C:C,"*World*"))</f>
        <v>29000000</v>
      </c>
      <c r="M51" s="15">
        <f>IF(ISNUMBER(SEARCH("World",'RawData'!C55)),"",IFERROR(K51/L51,"-"))</f>
        <v>0.1</v>
      </c>
      <c r="N51" s="7">
        <f>IF(ISNUMBER(SEARCH("World",'RawData'!C55)),"",IF(ISNUMBER(SEARCH("Other",C51)),COUNTIFS('RawData'!B:B,B51,'RawData'!C:C,"&lt;&gt;*World*"),IF(OR(K51="",K51=0),"-",SUMPRODUCT(('RawData'!B$2:B$822=B51)*('RawData'!H$2:H$822&gt;K51)*(ISERROR(SEARCH("World",'RawData'!C$2:C$822)))*(ISERROR(SEARCH("Other",'RawData'!C$2:C$822))))+1)))</f>
        <v>4</v>
      </c>
    </row>
    <row r="52" spans="1:14" x14ac:dyDescent="0.3">
      <c r="A52" s="4" t="str">
        <f>IF(ISNUMBER(SEARCH("World",'RawData'!C56)),"",'RawData'!A56)</f>
        <v>MCS2026</v>
      </c>
      <c r="B52" s="4" t="str">
        <f>IF(ISNUMBER(SEARCH("World",'RawData'!C56)),"",'RawData'!B56)</f>
        <v>Bauxite</v>
      </c>
      <c r="C52" s="4" t="str">
        <f>IF(ISNUMBER(SEARCH("World",'RawData'!C56)),"",'RawData'!C56)</f>
        <v>Ireland</v>
      </c>
      <c r="D52" s="4" t="str">
        <f>IF(ISNUMBER(SEARCH("World",'RawData'!C56)),"",'RawData'!D56)</f>
        <v>Mine production, bauxite, dry tons</v>
      </c>
      <c r="E52" s="4" t="str">
        <f>IF(ISNUMBER(SEARCH("World",'RawData'!C56)),"",IF('RawData'!E56="WT001","kg",IF('RawData'!E56="WT002","ton",IF('RawData'!E56="WT003","k ton",""))))</f>
        <v>k ton</v>
      </c>
      <c r="F52" s="14">
        <f>IF(ISNUMBER(SEARCH("World",'RawData'!C56)),"",'RawData'!F56)</f>
        <v>0</v>
      </c>
      <c r="G52" s="14">
        <f>IF(ISNUMBER(SEARCH("World",'RawData'!C56)),"",'RawData'!G56)</f>
        <v>0</v>
      </c>
      <c r="H52" s="14">
        <f>IF(ISNUMBER(SEARCH("World",'RawData'!C56)),"",SUMIFS('RawData'!G:G,'RawData'!B:B,'RawData'!B56,'RawData'!C:C,"*World*"))</f>
        <v>440000</v>
      </c>
      <c r="I52" s="15">
        <f>IF(ISNUMBER(SEARCH("World",'RawData'!C56)),"",IFERROR(G52/H52,"-"))</f>
        <v>0</v>
      </c>
      <c r="J52" s="7" t="str">
        <f>IF(ISNUMBER(SEARCH("World",'RawData'!C56)),"",IF(ISNUMBER(SEARCH("Other",C52)),COUNTIFS('RawData'!B:B,B52,'RawData'!C:C,"&lt;&gt;*World*"),IF(OR(G52="",G52=0),"-",SUMPRODUCT(('RawData'!B$2:B$822=B52)*('RawData'!G$2:G$822&gt;G52)*(ISERROR(SEARCH("World",'RawData'!C$2:C$822)))*(ISERROR(SEARCH("Other",'RawData'!C$2:C$822))))+1)))</f>
        <v>-</v>
      </c>
      <c r="K52" s="14">
        <f>IF(ISNUMBER(SEARCH("World",'RawData'!C56)),"",'RawData'!H56)</f>
        <v>0</v>
      </c>
      <c r="L52" s="14">
        <f>IF(ISNUMBER(SEARCH("World",'RawData'!C56)),"",SUMIFS('RawData'!H:H,'RawData'!B:B,'RawData'!B56,'RawData'!C:C,"*World*"))</f>
        <v>29000000</v>
      </c>
      <c r="M52" s="15">
        <f>IF(ISNUMBER(SEARCH("World",'RawData'!C56)),"",IFERROR(K52/L52,"-"))</f>
        <v>0</v>
      </c>
      <c r="N52" s="7" t="str">
        <f>IF(ISNUMBER(SEARCH("World",'RawData'!C56)),"",IF(ISNUMBER(SEARCH("Other",C52)),COUNTIFS('RawData'!B:B,B52,'RawData'!C:C,"&lt;&gt;*World*"),IF(OR(K52="",K52=0),"-",SUMPRODUCT(('RawData'!B$2:B$822=B52)*('RawData'!H$2:H$822&gt;K52)*(ISERROR(SEARCH("World",'RawData'!C$2:C$822)))*(ISERROR(SEARCH("Other",'RawData'!C$2:C$822))))+1)))</f>
        <v>-</v>
      </c>
    </row>
    <row r="53" spans="1:14" x14ac:dyDescent="0.3">
      <c r="A53" s="4" t="str">
        <f>IF(ISNUMBER(SEARCH("World",'RawData'!C57)),"",'RawData'!A57)</f>
        <v>MCS2026</v>
      </c>
      <c r="B53" s="4" t="str">
        <f>IF(ISNUMBER(SEARCH("World",'RawData'!C57)),"",'RawData'!B57)</f>
        <v>Bauxite</v>
      </c>
      <c r="C53" s="4" t="str">
        <f>IF(ISNUMBER(SEARCH("World",'RawData'!C57)),"",'RawData'!C57)</f>
        <v>Jamaica</v>
      </c>
      <c r="D53" s="4" t="str">
        <f>IF(ISNUMBER(SEARCH("World",'RawData'!C57)),"",'RawData'!D57)</f>
        <v>Mine production, bauxite, dry tons</v>
      </c>
      <c r="E53" s="4" t="str">
        <f>IF(ISNUMBER(SEARCH("World",'RawData'!C57)),"",IF('RawData'!E57="WT001","kg",IF('RawData'!E57="WT002","ton",IF('RawData'!E57="WT003","k ton",""))))</f>
        <v>k ton</v>
      </c>
      <c r="F53" s="14">
        <f>IF(ISNUMBER(SEARCH("World",'RawData'!C57)),"",'RawData'!F57)</f>
        <v>5890</v>
      </c>
      <c r="G53" s="14">
        <f>IF(ISNUMBER(SEARCH("World",'RawData'!C57)),"",'RawData'!G57)</f>
        <v>6200</v>
      </c>
      <c r="H53" s="14">
        <f>IF(ISNUMBER(SEARCH("World",'RawData'!C57)),"",SUMIFS('RawData'!G:G,'RawData'!B:B,'RawData'!B57,'RawData'!C:C,"*World*"))</f>
        <v>440000</v>
      </c>
      <c r="I53" s="15">
        <f>IF(ISNUMBER(SEARCH("World",'RawData'!C57)),"",IFERROR(G53/H53,"-"))</f>
        <v>1.4090909090909091E-2</v>
      </c>
      <c r="J53" s="7">
        <f>IF(ISNUMBER(SEARCH("World",'RawData'!C57)),"",IF(ISNUMBER(SEARCH("Other",C53)),COUNTIFS('RawData'!B:B,B53,'RawData'!C:C,"&lt;&gt;*World*"),IF(OR(G53="",G53=0),"-",SUMPRODUCT(('RawData'!B$2:B$822=B53)*('RawData'!G$2:G$822&gt;G53)*(ISERROR(SEARCH("World",'RawData'!C$2:C$822)))*(ISERROR(SEARCH("Other",'RawData'!C$2:C$822))))+1)))</f>
        <v>7</v>
      </c>
      <c r="K53" s="14">
        <f>IF(ISNUMBER(SEARCH("World",'RawData'!C57)),"",'RawData'!H57)</f>
        <v>2000000</v>
      </c>
      <c r="L53" s="14">
        <f>IF(ISNUMBER(SEARCH("World",'RawData'!C57)),"",SUMIFS('RawData'!H:H,'RawData'!B:B,'RawData'!B57,'RawData'!C:C,"*World*"))</f>
        <v>29000000</v>
      </c>
      <c r="M53" s="15">
        <f>IF(ISNUMBER(SEARCH("World",'RawData'!C57)),"",IFERROR(K53/L53,"-"))</f>
        <v>6.8965517241379309E-2</v>
      </c>
      <c r="N53" s="7">
        <f>IF(ISNUMBER(SEARCH("World",'RawData'!C57)),"",IF(ISNUMBER(SEARCH("Other",C53)),COUNTIFS('RawData'!B:B,B53,'RawData'!C:C,"&lt;&gt;*World*"),IF(OR(K53="",K53=0),"-",SUMPRODUCT(('RawData'!B$2:B$822=B53)*('RawData'!H$2:H$822&gt;K53)*(ISERROR(SEARCH("World",'RawData'!C$2:C$822)))*(ISERROR(SEARCH("Other",'RawData'!C$2:C$822))))+1)))</f>
        <v>5</v>
      </c>
    </row>
    <row r="54" spans="1:14" x14ac:dyDescent="0.3">
      <c r="A54" s="4" t="str">
        <f>IF(ISNUMBER(SEARCH("World",'RawData'!C58)),"",'RawData'!A58)</f>
        <v>MCS2026</v>
      </c>
      <c r="B54" s="4" t="str">
        <f>IF(ISNUMBER(SEARCH("World",'RawData'!C58)),"",'RawData'!B58)</f>
        <v>Bauxite</v>
      </c>
      <c r="C54" s="4" t="str">
        <f>IF(ISNUMBER(SEARCH("World",'RawData'!C58)),"",'RawData'!C58)</f>
        <v>Kazakhstan</v>
      </c>
      <c r="D54" s="4" t="str">
        <f>IF(ISNUMBER(SEARCH("World",'RawData'!C58)),"",'RawData'!D58)</f>
        <v>Mine production, bauxite, dry tons</v>
      </c>
      <c r="E54" s="4" t="str">
        <f>IF(ISNUMBER(SEARCH("World",'RawData'!C58)),"",IF('RawData'!E58="WT001","kg",IF('RawData'!E58="WT002","ton",IF('RawData'!E58="WT003","k ton",""))))</f>
        <v>k ton</v>
      </c>
      <c r="F54" s="14">
        <f>IF(ISNUMBER(SEARCH("World",'RawData'!C58)),"",'RawData'!F58)</f>
        <v>4780</v>
      </c>
      <c r="G54" s="14">
        <f>IF(ISNUMBER(SEARCH("World",'RawData'!C58)),"",'RawData'!G58)</f>
        <v>4800</v>
      </c>
      <c r="H54" s="14">
        <f>IF(ISNUMBER(SEARCH("World",'RawData'!C58)),"",SUMIFS('RawData'!G:G,'RawData'!B:B,'RawData'!B58,'RawData'!C:C,"*World*"))</f>
        <v>440000</v>
      </c>
      <c r="I54" s="15">
        <f>IF(ISNUMBER(SEARCH("World",'RawData'!C58)),"",IFERROR(G54/H54,"-"))</f>
        <v>1.090909090909091E-2</v>
      </c>
      <c r="J54" s="7">
        <f>IF(ISNUMBER(SEARCH("World",'RawData'!C58)),"",IF(ISNUMBER(SEARCH("Other",C54)),COUNTIFS('RawData'!B:B,B54,'RawData'!C:C,"&lt;&gt;*World*"),IF(OR(G54="",G54=0),"-",SUMPRODUCT(('RawData'!B$2:B$822=B54)*('RawData'!G$2:G$822&gt;G54)*(ISERROR(SEARCH("World",'RawData'!C$2:C$822)))*(ISERROR(SEARCH("Other",'RawData'!C$2:C$822))))+1)))</f>
        <v>10</v>
      </c>
      <c r="K54" s="14">
        <f>IF(ISNUMBER(SEARCH("World",'RawData'!C58)),"",'RawData'!H58)</f>
        <v>160000</v>
      </c>
      <c r="L54" s="14">
        <f>IF(ISNUMBER(SEARCH("World",'RawData'!C58)),"",SUMIFS('RawData'!H:H,'RawData'!B:B,'RawData'!B58,'RawData'!C:C,"*World*"))</f>
        <v>29000000</v>
      </c>
      <c r="M54" s="15">
        <f>IF(ISNUMBER(SEARCH("World",'RawData'!C58)),"",IFERROR(K54/L54,"-"))</f>
        <v>5.5172413793103444E-3</v>
      </c>
      <c r="N54" s="7">
        <f>IF(ISNUMBER(SEARCH("World",'RawData'!C58)),"",IF(ISNUMBER(SEARCH("Other",C54)),COUNTIFS('RawData'!B:B,B54,'RawData'!C:C,"&lt;&gt;*World*"),IF(OR(K54="",K54=0),"-",SUMPRODUCT(('RawData'!B$2:B$822=B54)*('RawData'!H$2:H$822&gt;K54)*(ISERROR(SEARCH("World",'RawData'!C$2:C$822)))*(ISERROR(SEARCH("Other",'RawData'!C$2:C$822))))+1)))</f>
        <v>11</v>
      </c>
    </row>
    <row r="55" spans="1:14" x14ac:dyDescent="0.3">
      <c r="A55" s="4" t="str">
        <f>IF(ISNUMBER(SEARCH("World",'RawData'!C59)),"",'RawData'!A59)</f>
        <v>MCS2026</v>
      </c>
      <c r="B55" s="4" t="str">
        <f>IF(ISNUMBER(SEARCH("World",'RawData'!C59)),"",'RawData'!B59)</f>
        <v>Bauxite</v>
      </c>
      <c r="C55" s="4" t="str">
        <f>IF(ISNUMBER(SEARCH("World",'RawData'!C59)),"",'RawData'!C59)</f>
        <v>Other Countries</v>
      </c>
      <c r="D55" s="4" t="str">
        <f>IF(ISNUMBER(SEARCH("World",'RawData'!C59)),"",'RawData'!D59)</f>
        <v>Mine production, bauxite, dry tons</v>
      </c>
      <c r="E55" s="4" t="str">
        <f>IF(ISNUMBER(SEARCH("World",'RawData'!C59)),"",IF('RawData'!E59="WT001","kg",IF('RawData'!E59="WT002","ton",IF('RawData'!E59="WT003","k ton",""))))</f>
        <v>k ton</v>
      </c>
      <c r="F55" s="14">
        <f>IF(ISNUMBER(SEARCH("World",'RawData'!C59)),"",'RawData'!F59)</f>
        <v>7780</v>
      </c>
      <c r="G55" s="14">
        <f>IF(ISNUMBER(SEARCH("World",'RawData'!C59)),"",'RawData'!G59)</f>
        <v>8000</v>
      </c>
      <c r="H55" s="14">
        <f>IF(ISNUMBER(SEARCH("World",'RawData'!C59)),"",SUMIFS('RawData'!G:G,'RawData'!B:B,'RawData'!B59,'RawData'!C:C,"*World*"))</f>
        <v>440000</v>
      </c>
      <c r="I55" s="15">
        <f>IF(ISNUMBER(SEARCH("World",'RawData'!C59)),"",IFERROR(G55/H55,"-"))</f>
        <v>1.8181818181818181E-2</v>
      </c>
      <c r="J55" s="7">
        <f>IF(ISNUMBER(SEARCH("World",'RawData'!C59)),"",IF(ISNUMBER(SEARCH("Other",C55)),COUNTIFS('RawData'!B:B,B55,'RawData'!C:C,"&lt;&gt;*World*"),IF(OR(G55="",G55=0),"-",SUMPRODUCT(('RawData'!B$2:B$822=B55)*('RawData'!G$2:G$822&gt;G55)*(ISERROR(SEARCH("World",'RawData'!C$2:C$822)))*(ISERROR(SEARCH("Other",'RawData'!C$2:C$822))))+1)))</f>
        <v>20</v>
      </c>
      <c r="K55" s="14">
        <f>IF(ISNUMBER(SEARCH("World",'RawData'!C59)),"",'RawData'!H59)</f>
        <v>5300000</v>
      </c>
      <c r="L55" s="14">
        <f>IF(ISNUMBER(SEARCH("World",'RawData'!C59)),"",SUMIFS('RawData'!H:H,'RawData'!B:B,'RawData'!B59,'RawData'!C:C,"*World*"))</f>
        <v>29000000</v>
      </c>
      <c r="M55" s="15">
        <f>IF(ISNUMBER(SEARCH("World",'RawData'!C59)),"",IFERROR(K55/L55,"-"))</f>
        <v>0.18275862068965518</v>
      </c>
      <c r="N55" s="7">
        <f>IF(ISNUMBER(SEARCH("World",'RawData'!C59)),"",IF(ISNUMBER(SEARCH("Other",C55)),COUNTIFS('RawData'!B:B,B55,'RawData'!C:C,"&lt;&gt;*World*"),IF(OR(K55="",K55=0),"-",SUMPRODUCT(('RawData'!B$2:B$822=B55)*('RawData'!H$2:H$822&gt;K55)*(ISERROR(SEARCH("World",'RawData'!C$2:C$822)))*(ISERROR(SEARCH("Other",'RawData'!C$2:C$822))))+1)))</f>
        <v>20</v>
      </c>
    </row>
    <row r="56" spans="1:14" x14ac:dyDescent="0.3">
      <c r="A56" s="4" t="str">
        <f>IF(ISNUMBER(SEARCH("World",'RawData'!C60)),"",'RawData'!A60)</f>
        <v>MCS2026</v>
      </c>
      <c r="B56" s="4" t="str">
        <f>IF(ISNUMBER(SEARCH("World",'RawData'!C60)),"",'RawData'!B60)</f>
        <v>Bauxite</v>
      </c>
      <c r="C56" s="4" t="str">
        <f>IF(ISNUMBER(SEARCH("World",'RawData'!C60)),"",'RawData'!C60)</f>
        <v>Turkiye</v>
      </c>
      <c r="D56" s="4" t="str">
        <f>IF(ISNUMBER(SEARCH("World",'RawData'!C60)),"",'RawData'!D60)</f>
        <v>Mine production, bauxite, dry tons</v>
      </c>
      <c r="E56" s="4" t="str">
        <f>IF(ISNUMBER(SEARCH("World",'RawData'!C60)),"",IF('RawData'!E60="WT001","kg",IF('RawData'!E60="WT002","ton",IF('RawData'!E60="WT003","k ton",""))))</f>
        <v>k ton</v>
      </c>
      <c r="F56" s="14">
        <f>IF(ISNUMBER(SEARCH("World",'RawData'!C60)),"",'RawData'!F60)</f>
        <v>3660</v>
      </c>
      <c r="G56" s="14">
        <f>IF(ISNUMBER(SEARCH("World",'RawData'!C60)),"",'RawData'!G60)</f>
        <v>3800</v>
      </c>
      <c r="H56" s="14">
        <f>IF(ISNUMBER(SEARCH("World",'RawData'!C60)),"",SUMIFS('RawData'!G:G,'RawData'!B:B,'RawData'!B60,'RawData'!C:C,"*World*"))</f>
        <v>440000</v>
      </c>
      <c r="I56" s="15">
        <f>IF(ISNUMBER(SEARCH("World",'RawData'!C60)),"",IFERROR(G56/H56,"-"))</f>
        <v>8.6363636363636365E-3</v>
      </c>
      <c r="J56" s="7">
        <f>IF(ISNUMBER(SEARCH("World",'RawData'!C60)),"",IF(ISNUMBER(SEARCH("Other",C56)),COUNTIFS('RawData'!B:B,B56,'RawData'!C:C,"&lt;&gt;*World*"),IF(OR(G56="",G56=0),"-",SUMPRODUCT(('RawData'!B$2:B$822=B56)*('RawData'!G$2:G$822&gt;G56)*(ISERROR(SEARCH("World",'RawData'!C$2:C$822)))*(ISERROR(SEARCH("Other",'RawData'!C$2:C$822))))+1)))</f>
        <v>11</v>
      </c>
      <c r="K56" s="14">
        <f>IF(ISNUMBER(SEARCH("World",'RawData'!C60)),"",'RawData'!H60)</f>
        <v>69000</v>
      </c>
      <c r="L56" s="14">
        <f>IF(ISNUMBER(SEARCH("World",'RawData'!C60)),"",SUMIFS('RawData'!H:H,'RawData'!B:B,'RawData'!B60,'RawData'!C:C,"*World*"))</f>
        <v>29000000</v>
      </c>
      <c r="M56" s="15">
        <f>IF(ISNUMBER(SEARCH("World",'RawData'!C60)),"",IFERROR(K56/L56,"-"))</f>
        <v>2.3793103448275861E-3</v>
      </c>
      <c r="N56" s="7">
        <f>IF(ISNUMBER(SEARCH("World",'RawData'!C60)),"",IF(ISNUMBER(SEARCH("Other",C56)),COUNTIFS('RawData'!B:B,B56,'RawData'!C:C,"&lt;&gt;*World*"),IF(OR(K56="",K56=0),"-",SUMPRODUCT(('RawData'!B$2:B$822=B56)*('RawData'!H$2:H$822&gt;K56)*(ISERROR(SEARCH("World",'RawData'!C$2:C$822)))*(ISERROR(SEARCH("Other",'RawData'!C$2:C$822))))+1)))</f>
        <v>12</v>
      </c>
    </row>
    <row r="57" spans="1:14" x14ac:dyDescent="0.3">
      <c r="A57" s="4" t="str">
        <f>IF(ISNUMBER(SEARCH("World",'RawData'!C61)),"",'RawData'!A61)</f>
        <v>MCS2026</v>
      </c>
      <c r="B57" s="4" t="str">
        <f>IF(ISNUMBER(SEARCH("World",'RawData'!C61)),"",'RawData'!B61)</f>
        <v>Bauxite</v>
      </c>
      <c r="C57" s="4" t="str">
        <f>IF(ISNUMBER(SEARCH("World",'RawData'!C61)),"",'RawData'!C61)</f>
        <v xml:space="preserve">Russia </v>
      </c>
      <c r="D57" s="4" t="str">
        <f>IF(ISNUMBER(SEARCH("World",'RawData'!C61)),"",'RawData'!D61)</f>
        <v>Mine production, bauxite, dry tons</v>
      </c>
      <c r="E57" s="4" t="str">
        <f>IF(ISNUMBER(SEARCH("World",'RawData'!C61)),"",IF('RawData'!E61="WT001","kg",IF('RawData'!E61="WT002","ton",IF('RawData'!E61="WT003","k ton",""))))</f>
        <v>k ton</v>
      </c>
      <c r="F57" s="14">
        <f>IF(ISNUMBER(SEARCH("World",'RawData'!C61)),"",'RawData'!F61)</f>
        <v>5470</v>
      </c>
      <c r="G57" s="14">
        <f>IF(ISNUMBER(SEARCH("World",'RawData'!C61)),"",'RawData'!G61)</f>
        <v>5700</v>
      </c>
      <c r="H57" s="14">
        <f>IF(ISNUMBER(SEARCH("World",'RawData'!C61)),"",SUMIFS('RawData'!G:G,'RawData'!B:B,'RawData'!B61,'RawData'!C:C,"*World*"))</f>
        <v>440000</v>
      </c>
      <c r="I57" s="15">
        <f>IF(ISNUMBER(SEARCH("World",'RawData'!C61)),"",IFERROR(G57/H57,"-"))</f>
        <v>1.2954545454545455E-2</v>
      </c>
      <c r="J57" s="7">
        <f>IF(ISNUMBER(SEARCH("World",'RawData'!C61)),"",IF(ISNUMBER(SEARCH("Other",C57)),COUNTIFS('RawData'!B:B,B57,'RawData'!C:C,"&lt;&gt;*World*"),IF(OR(G57="",G57=0),"-",SUMPRODUCT(('RawData'!B$2:B$822=B57)*('RawData'!G$2:G$822&gt;G57)*(ISERROR(SEARCH("World",'RawData'!C$2:C$822)))*(ISERROR(SEARCH("Other",'RawData'!C$2:C$822))))+1)))</f>
        <v>8</v>
      </c>
      <c r="K57" s="14">
        <f>IF(ISNUMBER(SEARCH("World",'RawData'!C61)),"",'RawData'!H61)</f>
        <v>650000</v>
      </c>
      <c r="L57" s="14">
        <f>IF(ISNUMBER(SEARCH("World",'RawData'!C61)),"",SUMIFS('RawData'!H:H,'RawData'!B:B,'RawData'!B61,'RawData'!C:C,"*World*"))</f>
        <v>29000000</v>
      </c>
      <c r="M57" s="15">
        <f>IF(ISNUMBER(SEARCH("World",'RawData'!C61)),"",IFERROR(K57/L57,"-"))</f>
        <v>2.2413793103448276E-2</v>
      </c>
      <c r="N57" s="7">
        <f>IF(ISNUMBER(SEARCH("World",'RawData'!C61)),"",IF(ISNUMBER(SEARCH("Other",C57)),COUNTIFS('RawData'!B:B,B57,'RawData'!C:C,"&lt;&gt;*World*"),IF(OR(K57="",K57=0),"-",SUMPRODUCT(('RawData'!B$2:B$822=B57)*('RawData'!H$2:H$822&gt;K57)*(ISERROR(SEARCH("World",'RawData'!C$2:C$822)))*(ISERROR(SEARCH("Other",'RawData'!C$2:C$822))))+1)))</f>
        <v>8</v>
      </c>
    </row>
    <row r="58" spans="1:14" x14ac:dyDescent="0.3">
      <c r="A58" s="4" t="str">
        <f>IF(ISNUMBER(SEARCH("World",'RawData'!C62)),"",'RawData'!A62)</f>
        <v>MCS2026</v>
      </c>
      <c r="B58" s="4" t="str">
        <f>IF(ISNUMBER(SEARCH("World",'RawData'!C62)),"",'RawData'!B62)</f>
        <v>Bauxite</v>
      </c>
      <c r="C58" s="4" t="str">
        <f>IF(ISNUMBER(SEARCH("World",'RawData'!C62)),"",'RawData'!C62)</f>
        <v>Saudi Arabia</v>
      </c>
      <c r="D58" s="4" t="str">
        <f>IF(ISNUMBER(SEARCH("World",'RawData'!C62)),"",'RawData'!D62)</f>
        <v>Mine production, bauxite, dry tons</v>
      </c>
      <c r="E58" s="4" t="str">
        <f>IF(ISNUMBER(SEARCH("World",'RawData'!C62)),"",IF('RawData'!E62="WT001","kg",IF('RawData'!E62="WT002","ton",IF('RawData'!E62="WT003","k ton",""))))</f>
        <v>k ton</v>
      </c>
      <c r="F58" s="14">
        <f>IF(ISNUMBER(SEARCH("World",'RawData'!C62)),"",'RawData'!F62)</f>
        <v>5500</v>
      </c>
      <c r="G58" s="14">
        <f>IF(ISNUMBER(SEARCH("World",'RawData'!C62)),"",'RawData'!G62)</f>
        <v>5700</v>
      </c>
      <c r="H58" s="14">
        <f>IF(ISNUMBER(SEARCH("World",'RawData'!C62)),"",SUMIFS('RawData'!G:G,'RawData'!B:B,'RawData'!B62,'RawData'!C:C,"*World*"))</f>
        <v>440000</v>
      </c>
      <c r="I58" s="15">
        <f>IF(ISNUMBER(SEARCH("World",'RawData'!C62)),"",IFERROR(G58/H58,"-"))</f>
        <v>1.2954545454545455E-2</v>
      </c>
      <c r="J58" s="7">
        <f>IF(ISNUMBER(SEARCH("World",'RawData'!C62)),"",IF(ISNUMBER(SEARCH("Other",C58)),COUNTIFS('RawData'!B:B,B58,'RawData'!C:C,"&lt;&gt;*World*"),IF(OR(G58="",G58=0),"-",SUMPRODUCT(('RawData'!B$2:B$822=B58)*('RawData'!G$2:G$822&gt;G58)*(ISERROR(SEARCH("World",'RawData'!C$2:C$822)))*(ISERROR(SEARCH("Other",'RawData'!C$2:C$822))))+1)))</f>
        <v>8</v>
      </c>
      <c r="K58" s="14">
        <f>IF(ISNUMBER(SEARCH("World",'RawData'!C62)),"",'RawData'!H62)</f>
        <v>180000</v>
      </c>
      <c r="L58" s="14">
        <f>IF(ISNUMBER(SEARCH("World",'RawData'!C62)),"",SUMIFS('RawData'!H:H,'RawData'!B:B,'RawData'!B62,'RawData'!C:C,"*World*"))</f>
        <v>29000000</v>
      </c>
      <c r="M58" s="15">
        <f>IF(ISNUMBER(SEARCH("World",'RawData'!C62)),"",IFERROR(K58/L58,"-"))</f>
        <v>6.2068965517241377E-3</v>
      </c>
      <c r="N58" s="7">
        <f>IF(ISNUMBER(SEARCH("World",'RawData'!C62)),"",IF(ISNUMBER(SEARCH("Other",C58)),COUNTIFS('RawData'!B:B,B58,'RawData'!C:C,"&lt;&gt;*World*"),IF(OR(K58="",K58=0),"-",SUMPRODUCT(('RawData'!B$2:B$822=B58)*('RawData'!H$2:H$822&gt;K58)*(ISERROR(SEARCH("World",'RawData'!C$2:C$822)))*(ISERROR(SEARCH("Other",'RawData'!C$2:C$822))))+1)))</f>
        <v>10</v>
      </c>
    </row>
    <row r="59" spans="1:14" x14ac:dyDescent="0.3">
      <c r="A59" s="4" t="str">
        <f>IF(ISNUMBER(SEARCH("World",'RawData'!C63)),"",'RawData'!A63)</f>
        <v>MCS2026</v>
      </c>
      <c r="B59" s="4" t="str">
        <f>IF(ISNUMBER(SEARCH("World",'RawData'!C63)),"",'RawData'!B63)</f>
        <v>Bauxite</v>
      </c>
      <c r="C59" s="4" t="str">
        <f>IF(ISNUMBER(SEARCH("World",'RawData'!C63)),"",'RawData'!C63)</f>
        <v>Spain</v>
      </c>
      <c r="D59" s="4" t="str">
        <f>IF(ISNUMBER(SEARCH("World",'RawData'!C63)),"",'RawData'!D63)</f>
        <v>Mine production, bauxite, dry tons</v>
      </c>
      <c r="E59" s="4" t="str">
        <f>IF(ISNUMBER(SEARCH("World",'RawData'!C63)),"",IF('RawData'!E63="WT001","kg",IF('RawData'!E63="WT002","ton",IF('RawData'!E63="WT003","k ton",""))))</f>
        <v>k ton</v>
      </c>
      <c r="F59" s="14">
        <f>IF(ISNUMBER(SEARCH("World",'RawData'!C63)),"",'RawData'!F63)</f>
        <v>0</v>
      </c>
      <c r="G59" s="14">
        <f>IF(ISNUMBER(SEARCH("World",'RawData'!C63)),"",'RawData'!G63)</f>
        <v>0</v>
      </c>
      <c r="H59" s="14">
        <f>IF(ISNUMBER(SEARCH("World",'RawData'!C63)),"",SUMIFS('RawData'!G:G,'RawData'!B:B,'RawData'!B63,'RawData'!C:C,"*World*"))</f>
        <v>440000</v>
      </c>
      <c r="I59" s="15">
        <f>IF(ISNUMBER(SEARCH("World",'RawData'!C63)),"",IFERROR(G59/H59,"-"))</f>
        <v>0</v>
      </c>
      <c r="J59" s="7" t="str">
        <f>IF(ISNUMBER(SEARCH("World",'RawData'!C63)),"",IF(ISNUMBER(SEARCH("Other",C59)),COUNTIFS('RawData'!B:B,B59,'RawData'!C:C,"&lt;&gt;*World*"),IF(OR(G59="",G59=0),"-",SUMPRODUCT(('RawData'!B$2:B$822=B59)*('RawData'!G$2:G$822&gt;G59)*(ISERROR(SEARCH("World",'RawData'!C$2:C$822)))*(ISERROR(SEARCH("Other",'RawData'!C$2:C$822))))+1)))</f>
        <v>-</v>
      </c>
      <c r="K59" s="14">
        <f>IF(ISNUMBER(SEARCH("World",'RawData'!C63)),"",'RawData'!H63)</f>
        <v>0</v>
      </c>
      <c r="L59" s="14">
        <f>IF(ISNUMBER(SEARCH("World",'RawData'!C63)),"",SUMIFS('RawData'!H:H,'RawData'!B:B,'RawData'!B63,'RawData'!C:C,"*World*"))</f>
        <v>29000000</v>
      </c>
      <c r="M59" s="15">
        <f>IF(ISNUMBER(SEARCH("World",'RawData'!C63)),"",IFERROR(K59/L59,"-"))</f>
        <v>0</v>
      </c>
      <c r="N59" s="7" t="str">
        <f>IF(ISNUMBER(SEARCH("World",'RawData'!C63)),"",IF(ISNUMBER(SEARCH("Other",C59)),COUNTIFS('RawData'!B:B,B59,'RawData'!C:C,"&lt;&gt;*World*"),IF(OR(K59="",K59=0),"-",SUMPRODUCT(('RawData'!B$2:B$822=B59)*('RawData'!H$2:H$822&gt;K59)*(ISERROR(SEARCH("World",'RawData'!C$2:C$822)))*(ISERROR(SEARCH("Other",'RawData'!C$2:C$822))))+1)))</f>
        <v>-</v>
      </c>
    </row>
    <row r="60" spans="1:14" x14ac:dyDescent="0.3">
      <c r="A60" s="4" t="str">
        <f>IF(ISNUMBER(SEARCH("World",'RawData'!C64)),"",'RawData'!A64)</f>
        <v>MCS2026</v>
      </c>
      <c r="B60" s="4" t="str">
        <f>IF(ISNUMBER(SEARCH("World",'RawData'!C64)),"",'RawData'!B64)</f>
        <v>Bauxite</v>
      </c>
      <c r="C60" s="4" t="str">
        <f>IF(ISNUMBER(SEARCH("World",'RawData'!C64)),"",'RawData'!C64)</f>
        <v>UAE</v>
      </c>
      <c r="D60" s="4" t="str">
        <f>IF(ISNUMBER(SEARCH("World",'RawData'!C64)),"",'RawData'!D64)</f>
        <v>Mine production, bauxite, dry tons</v>
      </c>
      <c r="E60" s="4" t="str">
        <f>IF(ISNUMBER(SEARCH("World",'RawData'!C64)),"",IF('RawData'!E64="WT001","kg",IF('RawData'!E64="WT002","ton",IF('RawData'!E64="WT003","k ton",""))))</f>
        <v>k ton</v>
      </c>
      <c r="F60" s="14">
        <f>IF(ISNUMBER(SEARCH("World",'RawData'!C64)),"",'RawData'!F64)</f>
        <v>0</v>
      </c>
      <c r="G60" s="14">
        <f>IF(ISNUMBER(SEARCH("World",'RawData'!C64)),"",'RawData'!G64)</f>
        <v>0</v>
      </c>
      <c r="H60" s="14">
        <f>IF(ISNUMBER(SEARCH("World",'RawData'!C64)),"",SUMIFS('RawData'!G:G,'RawData'!B:B,'RawData'!B64,'RawData'!C:C,"*World*"))</f>
        <v>440000</v>
      </c>
      <c r="I60" s="15">
        <f>IF(ISNUMBER(SEARCH("World",'RawData'!C64)),"",IFERROR(G60/H60,"-"))</f>
        <v>0</v>
      </c>
      <c r="J60" s="7" t="str">
        <f>IF(ISNUMBER(SEARCH("World",'RawData'!C64)),"",IF(ISNUMBER(SEARCH("Other",C60)),COUNTIFS('RawData'!B:B,B60,'RawData'!C:C,"&lt;&gt;*World*"),IF(OR(G60="",G60=0),"-",SUMPRODUCT(('RawData'!B$2:B$822=B60)*('RawData'!G$2:G$822&gt;G60)*(ISERROR(SEARCH("World",'RawData'!C$2:C$822)))*(ISERROR(SEARCH("Other",'RawData'!C$2:C$822))))+1)))</f>
        <v>-</v>
      </c>
      <c r="K60" s="14">
        <f>IF(ISNUMBER(SEARCH("World",'RawData'!C64)),"",'RawData'!H64)</f>
        <v>0</v>
      </c>
      <c r="L60" s="14">
        <f>IF(ISNUMBER(SEARCH("World",'RawData'!C64)),"",SUMIFS('RawData'!H:H,'RawData'!B:B,'RawData'!B64,'RawData'!C:C,"*World*"))</f>
        <v>29000000</v>
      </c>
      <c r="M60" s="15">
        <f>IF(ISNUMBER(SEARCH("World",'RawData'!C64)),"",IFERROR(K60/L60,"-"))</f>
        <v>0</v>
      </c>
      <c r="N60" s="7" t="str">
        <f>IF(ISNUMBER(SEARCH("World",'RawData'!C64)),"",IF(ISNUMBER(SEARCH("Other",C60)),COUNTIFS('RawData'!B:B,B60,'RawData'!C:C,"&lt;&gt;*World*"),IF(OR(K60="",K60=0),"-",SUMPRODUCT(('RawData'!B$2:B$822=B60)*('RawData'!H$2:H$822&gt;K60)*(ISERROR(SEARCH("World",'RawData'!C$2:C$822)))*(ISERROR(SEARCH("Other",'RawData'!C$2:C$822))))+1)))</f>
        <v>-</v>
      </c>
    </row>
    <row r="61" spans="1:14" x14ac:dyDescent="0.3">
      <c r="A61" s="4" t="str">
        <f>IF(ISNUMBER(SEARCH("World",'RawData'!C65)),"",'RawData'!A65)</f>
        <v>MCS2026</v>
      </c>
      <c r="B61" s="4" t="str">
        <f>IF(ISNUMBER(SEARCH("World",'RawData'!C65)),"",'RawData'!B65)</f>
        <v>Bauxite</v>
      </c>
      <c r="C61" s="4" t="str">
        <f>IF(ISNUMBER(SEARCH("World",'RawData'!C65)),"",'RawData'!C65)</f>
        <v>United States</v>
      </c>
      <c r="D61" s="4" t="str">
        <f>IF(ISNUMBER(SEARCH("World",'RawData'!C65)),"",'RawData'!D65)</f>
        <v>Mine production, bauxite, dry tons</v>
      </c>
      <c r="E61" s="4" t="str">
        <f>IF(ISNUMBER(SEARCH("World",'RawData'!C65)),"",IF('RawData'!E65="WT001","kg",IF('RawData'!E65="WT002","ton",IF('RawData'!E65="WT003","k ton",""))))</f>
        <v>k ton</v>
      </c>
      <c r="F61" s="14">
        <f>IF(ISNUMBER(SEARCH("World",'RawData'!C65)),"",'RawData'!F65)</f>
        <v>0</v>
      </c>
      <c r="G61" s="14">
        <f>IF(ISNUMBER(SEARCH("World",'RawData'!C65)),"",'RawData'!G65)</f>
        <v>0</v>
      </c>
      <c r="H61" s="14">
        <f>IF(ISNUMBER(SEARCH("World",'RawData'!C65)),"",SUMIFS('RawData'!G:G,'RawData'!B:B,'RawData'!B65,'RawData'!C:C,"*World*"))</f>
        <v>440000</v>
      </c>
      <c r="I61" s="15">
        <f>IF(ISNUMBER(SEARCH("World",'RawData'!C65)),"",IFERROR(G61/H61,"-"))</f>
        <v>0</v>
      </c>
      <c r="J61" s="7" t="str">
        <f>IF(ISNUMBER(SEARCH("World",'RawData'!C65)),"",IF(ISNUMBER(SEARCH("Other",C61)),COUNTIFS('RawData'!B:B,B61,'RawData'!C:C,"&lt;&gt;*World*"),IF(OR(G61="",G61=0),"-",SUMPRODUCT(('RawData'!B$2:B$822=B61)*('RawData'!G$2:G$822&gt;G61)*(ISERROR(SEARCH("World",'RawData'!C$2:C$822)))*(ISERROR(SEARCH("Other",'RawData'!C$2:C$822))))+1)))</f>
        <v>-</v>
      </c>
      <c r="K61" s="14">
        <f>IF(ISNUMBER(SEARCH("World",'RawData'!C65)),"",'RawData'!H65)</f>
        <v>20000</v>
      </c>
      <c r="L61" s="14">
        <f>IF(ISNUMBER(SEARCH("World",'RawData'!C65)),"",SUMIFS('RawData'!H:H,'RawData'!B:B,'RawData'!B65,'RawData'!C:C,"*World*"))</f>
        <v>29000000</v>
      </c>
      <c r="M61" s="15">
        <f>IF(ISNUMBER(SEARCH("World",'RawData'!C65)),"",IFERROR(K61/L61,"-"))</f>
        <v>6.8965517241379305E-4</v>
      </c>
      <c r="N61" s="7">
        <f>IF(ISNUMBER(SEARCH("World",'RawData'!C65)),"",IF(ISNUMBER(SEARCH("Other",C61)),COUNTIFS('RawData'!B:B,B61,'RawData'!C:C,"&lt;&gt;*World*"),IF(OR(K61="",K61=0),"-",SUMPRODUCT(('RawData'!B$2:B$822=B61)*('RawData'!H$2:H$822&gt;K61)*(ISERROR(SEARCH("World",'RawData'!C$2:C$822)))*(ISERROR(SEARCH("Other",'RawData'!C$2:C$822))))+1)))</f>
        <v>13</v>
      </c>
    </row>
    <row r="62" spans="1:14" x14ac:dyDescent="0.3">
      <c r="A62" s="4" t="str">
        <f>IF(ISNUMBER(SEARCH("World",'RawData'!C66)),"",'RawData'!A66)</f>
        <v>MCS2026</v>
      </c>
      <c r="B62" s="4" t="str">
        <f>IF(ISNUMBER(SEARCH("World",'RawData'!C66)),"",'RawData'!B66)</f>
        <v>Bauxite</v>
      </c>
      <c r="C62" s="4" t="str">
        <f>IF(ISNUMBER(SEARCH("World",'RawData'!C66)),"",'RawData'!C66)</f>
        <v>Vietnam</v>
      </c>
      <c r="D62" s="4" t="str">
        <f>IF(ISNUMBER(SEARCH("World",'RawData'!C66)),"",'RawData'!D66)</f>
        <v>Mine production, bauxite, dry tons</v>
      </c>
      <c r="E62" s="4" t="str">
        <f>IF(ISNUMBER(SEARCH("World",'RawData'!C66)),"",IF('RawData'!E66="WT001","kg",IF('RawData'!E66="WT002","ton",IF('RawData'!E66="WT003","k ton",""))))</f>
        <v>k ton</v>
      </c>
      <c r="F62" s="14">
        <f>IF(ISNUMBER(SEARCH("World",'RawData'!C66)),"",'RawData'!F66)</f>
        <v>3710</v>
      </c>
      <c r="G62" s="14">
        <f>IF(ISNUMBER(SEARCH("World",'RawData'!C66)),"",'RawData'!G66)</f>
        <v>3800</v>
      </c>
      <c r="H62" s="14">
        <f>IF(ISNUMBER(SEARCH("World",'RawData'!C66)),"",SUMIFS('RawData'!G:G,'RawData'!B:B,'RawData'!B66,'RawData'!C:C,"*World*"))</f>
        <v>440000</v>
      </c>
      <c r="I62" s="15">
        <f>IF(ISNUMBER(SEARCH("World",'RawData'!C66)),"",IFERROR(G62/H62,"-"))</f>
        <v>8.6363636363636365E-3</v>
      </c>
      <c r="J62" s="7">
        <f>IF(ISNUMBER(SEARCH("World",'RawData'!C66)),"",IF(ISNUMBER(SEARCH("Other",C62)),COUNTIFS('RawData'!B:B,B62,'RawData'!C:C,"&lt;&gt;*World*"),IF(OR(G62="",G62=0),"-",SUMPRODUCT(('RawData'!B$2:B$822=B62)*('RawData'!G$2:G$822&gt;G62)*(ISERROR(SEARCH("World",'RawData'!C$2:C$822)))*(ISERROR(SEARCH("Other",'RawData'!C$2:C$822))))+1)))</f>
        <v>11</v>
      </c>
      <c r="K62" s="14">
        <f>IF(ISNUMBER(SEARCH("World",'RawData'!C66)),"",'RawData'!H66)</f>
        <v>3100000</v>
      </c>
      <c r="L62" s="14">
        <f>IF(ISNUMBER(SEARCH("World",'RawData'!C66)),"",SUMIFS('RawData'!H:H,'RawData'!B:B,'RawData'!B66,'RawData'!C:C,"*World*"))</f>
        <v>29000000</v>
      </c>
      <c r="M62" s="15">
        <f>IF(ISNUMBER(SEARCH("World",'RawData'!C66)),"",IFERROR(K62/L62,"-"))</f>
        <v>0.10689655172413794</v>
      </c>
      <c r="N62" s="7">
        <f>IF(ISNUMBER(SEARCH("World",'RawData'!C66)),"",IF(ISNUMBER(SEARCH("Other",C62)),COUNTIFS('RawData'!B:B,B62,'RawData'!C:C,"&lt;&gt;*World*"),IF(OR(K62="",K62=0),"-",SUMPRODUCT(('RawData'!B$2:B$822=B62)*('RawData'!H$2:H$822&gt;K62)*(ISERROR(SEARCH("World",'RawData'!C$2:C$822)))*(ISERROR(SEARCH("Other",'RawData'!C$2:C$822))))+1)))</f>
        <v>3</v>
      </c>
    </row>
    <row r="63" spans="1:14" x14ac:dyDescent="0.3">
      <c r="A63" s="4" t="str">
        <f>IF(ISNUMBER(SEARCH("World",'RawData'!C68)),"",'RawData'!A68)</f>
        <v>MCS2026</v>
      </c>
      <c r="B63" s="4" t="str">
        <f>IF(ISNUMBER(SEARCH("World",'RawData'!C68)),"",'RawData'!B68)</f>
        <v xml:space="preserve">Beryllium  </v>
      </c>
      <c r="C63" s="4" t="str">
        <f>IF(ISNUMBER(SEARCH("World",'RawData'!C68)),"",'RawData'!C68)</f>
        <v>Brazil</v>
      </c>
      <c r="D63" s="4" t="str">
        <f>IF(ISNUMBER(SEARCH("World",'RawData'!C68)),"",'RawData'!D68)</f>
        <v>Mine production, beryllium content</v>
      </c>
      <c r="E63" s="4" t="str">
        <f>IF(ISNUMBER(SEARCH("World",'RawData'!C68)),"",IF('RawData'!E68="WT001","kg",IF('RawData'!E68="WT002","ton",IF('RawData'!E68="WT003","k ton",""))))</f>
        <v>ton</v>
      </c>
      <c r="F63" s="14">
        <f>IF(ISNUMBER(SEARCH("World",'RawData'!C68)),"",'RawData'!F68)</f>
        <v>80</v>
      </c>
      <c r="G63" s="14">
        <f>IF(ISNUMBER(SEARCH("World",'RawData'!C68)),"",'RawData'!G68)</f>
        <v>80</v>
      </c>
      <c r="H63" s="14">
        <f>IF(ISNUMBER(SEARCH("World",'RawData'!C68)),"",SUMIFS('RawData'!G:G,'RawData'!B:B,'RawData'!B68,'RawData'!C:C,"*World*"))</f>
        <v>430</v>
      </c>
      <c r="I63" s="15">
        <f>IF(ISNUMBER(SEARCH("World",'RawData'!C68)),"",IFERROR(G63/H63,"-"))</f>
        <v>0.18604651162790697</v>
      </c>
      <c r="J63" s="7">
        <f>IF(ISNUMBER(SEARCH("World",'RawData'!C68)),"",IF(ISNUMBER(SEARCH("Other",C63)),COUNTIFS('RawData'!B:B,B63,'RawData'!C:C,"&lt;&gt;*World*"),IF(OR(G63="",G63=0),"-",SUMPRODUCT(('RawData'!B$2:B$822=B63)*('RawData'!G$2:G$822&gt;G63)*(ISERROR(SEARCH("World",'RawData'!C$2:C$822)))*(ISERROR(SEARCH("Other",'RawData'!C$2:C$822))))+1)))</f>
        <v>2</v>
      </c>
      <c r="K63" s="14">
        <f>IF(ISNUMBER(SEARCH("World",'RawData'!C68)),"",'RawData'!H68)</f>
        <v>0</v>
      </c>
      <c r="L63" s="14">
        <f>IF(ISNUMBER(SEARCH("World",'RawData'!C68)),"",SUMIFS('RawData'!H:H,'RawData'!B:B,'RawData'!B68,'RawData'!C:C,"*World*"))</f>
        <v>0</v>
      </c>
      <c r="M63" s="15" t="str">
        <f>IF(ISNUMBER(SEARCH("World",'RawData'!C68)),"",IFERROR(K63/L63,"-"))</f>
        <v>-</v>
      </c>
      <c r="N63" s="7" t="str">
        <f>IF(ISNUMBER(SEARCH("World",'RawData'!C68)),"",IF(ISNUMBER(SEARCH("Other",C63)),COUNTIFS('RawData'!B:B,B63,'RawData'!C:C,"&lt;&gt;*World*"),IF(OR(K63="",K63=0),"-",SUMPRODUCT(('RawData'!B$2:B$822=B63)*('RawData'!H$2:H$822&gt;K63)*(ISERROR(SEARCH("World",'RawData'!C$2:C$822)))*(ISERROR(SEARCH("Other",'RawData'!C$2:C$822))))+1)))</f>
        <v>-</v>
      </c>
    </row>
    <row r="64" spans="1:14" x14ac:dyDescent="0.3">
      <c r="A64" s="4" t="str">
        <f>IF(ISNUMBER(SEARCH("World",'RawData'!C69)),"",'RawData'!A69)</f>
        <v>MCS2026</v>
      </c>
      <c r="B64" s="4" t="str">
        <f>IF(ISNUMBER(SEARCH("World",'RawData'!C69)),"",'RawData'!B69)</f>
        <v xml:space="preserve">Beryllium  </v>
      </c>
      <c r="C64" s="4" t="str">
        <f>IF(ISNUMBER(SEARCH("World",'RawData'!C69)),"",'RawData'!C69)</f>
        <v>China</v>
      </c>
      <c r="D64" s="4" t="str">
        <f>IF(ISNUMBER(SEARCH("World",'RawData'!C69)),"",'RawData'!D69)</f>
        <v>Mine production, beryllium content</v>
      </c>
      <c r="E64" s="4" t="str">
        <f>IF(ISNUMBER(SEARCH("World",'RawData'!C69)),"",IF('RawData'!E69="WT001","kg",IF('RawData'!E69="WT002","ton",IF('RawData'!E69="WT003","k ton",""))))</f>
        <v>ton</v>
      </c>
      <c r="F64" s="14">
        <f>IF(ISNUMBER(SEARCH("World",'RawData'!C69)),"",'RawData'!F69)</f>
        <v>78</v>
      </c>
      <c r="G64" s="14">
        <f>IF(ISNUMBER(SEARCH("World",'RawData'!C69)),"",'RawData'!G69)</f>
        <v>77</v>
      </c>
      <c r="H64" s="14">
        <f>IF(ISNUMBER(SEARCH("World",'RawData'!C69)),"",SUMIFS('RawData'!G:G,'RawData'!B:B,'RawData'!B69,'RawData'!C:C,"*World*"))</f>
        <v>430</v>
      </c>
      <c r="I64" s="15">
        <f>IF(ISNUMBER(SEARCH("World",'RawData'!C69)),"",IFERROR(G64/H64,"-"))</f>
        <v>0.17906976744186046</v>
      </c>
      <c r="J64" s="7">
        <f>IF(ISNUMBER(SEARCH("World",'RawData'!C69)),"",IF(ISNUMBER(SEARCH("Other",C64)),COUNTIFS('RawData'!B:B,B64,'RawData'!C:C,"&lt;&gt;*World*"),IF(OR(G64="",G64=0),"-",SUMPRODUCT(('RawData'!B$2:B$822=B64)*('RawData'!G$2:G$822&gt;G64)*(ISERROR(SEARCH("World",'RawData'!C$2:C$822)))*(ISERROR(SEARCH("Other",'RawData'!C$2:C$822))))+1)))</f>
        <v>3</v>
      </c>
      <c r="K64" s="14">
        <f>IF(ISNUMBER(SEARCH("World",'RawData'!C69)),"",'RawData'!H69)</f>
        <v>0</v>
      </c>
      <c r="L64" s="14">
        <f>IF(ISNUMBER(SEARCH("World",'RawData'!C69)),"",SUMIFS('RawData'!H:H,'RawData'!B:B,'RawData'!B69,'RawData'!C:C,"*World*"))</f>
        <v>0</v>
      </c>
      <c r="M64" s="15" t="str">
        <f>IF(ISNUMBER(SEARCH("World",'RawData'!C69)),"",IFERROR(K64/L64,"-"))</f>
        <v>-</v>
      </c>
      <c r="N64" s="7" t="str">
        <f>IF(ISNUMBER(SEARCH("World",'RawData'!C69)),"",IF(ISNUMBER(SEARCH("Other",C64)),COUNTIFS('RawData'!B:B,B64,'RawData'!C:C,"&lt;&gt;*World*"),IF(OR(K64="",K64=0),"-",SUMPRODUCT(('RawData'!B$2:B$822=B64)*('RawData'!H$2:H$822&gt;K64)*(ISERROR(SEARCH("World",'RawData'!C$2:C$822)))*(ISERROR(SEARCH("Other",'RawData'!C$2:C$822))))+1)))</f>
        <v>-</v>
      </c>
    </row>
    <row r="65" spans="1:14" x14ac:dyDescent="0.3">
      <c r="A65" s="4" t="str">
        <f>IF(ISNUMBER(SEARCH("World",'RawData'!C70)),"",'RawData'!A70)</f>
        <v>MCS2026</v>
      </c>
      <c r="B65" s="4" t="str">
        <f>IF(ISNUMBER(SEARCH("World",'RawData'!C70)),"",'RawData'!B70)</f>
        <v xml:space="preserve">Beryllium  </v>
      </c>
      <c r="C65" s="4" t="str">
        <f>IF(ISNUMBER(SEARCH("World",'RawData'!C70)),"",'RawData'!C70)</f>
        <v>Madagascar</v>
      </c>
      <c r="D65" s="4" t="str">
        <f>IF(ISNUMBER(SEARCH("World",'RawData'!C70)),"",'RawData'!D70)</f>
        <v>Mine production, beryllium content</v>
      </c>
      <c r="E65" s="4" t="str">
        <f>IF(ISNUMBER(SEARCH("World",'RawData'!C70)),"",IF('RawData'!E70="WT001","kg",IF('RawData'!E70="WT002","ton",IF('RawData'!E70="WT003","k ton",""))))</f>
        <v>ton</v>
      </c>
      <c r="F65" s="14">
        <f>IF(ISNUMBER(SEARCH("World",'RawData'!C70)),"",'RawData'!F70)</f>
        <v>1</v>
      </c>
      <c r="G65" s="14">
        <f>IF(ISNUMBER(SEARCH("World",'RawData'!C70)),"",'RawData'!G70)</f>
        <v>1</v>
      </c>
      <c r="H65" s="14">
        <f>IF(ISNUMBER(SEARCH("World",'RawData'!C70)),"",SUMIFS('RawData'!G:G,'RawData'!B:B,'RawData'!B70,'RawData'!C:C,"*World*"))</f>
        <v>430</v>
      </c>
      <c r="I65" s="15">
        <f>IF(ISNUMBER(SEARCH("World",'RawData'!C70)),"",IFERROR(G65/H65,"-"))</f>
        <v>2.3255813953488372E-3</v>
      </c>
      <c r="J65" s="7">
        <f>IF(ISNUMBER(SEARCH("World",'RawData'!C70)),"",IF(ISNUMBER(SEARCH("Other",C65)),COUNTIFS('RawData'!B:B,B65,'RawData'!C:C,"&lt;&gt;*World*"),IF(OR(G65="",G65=0),"-",SUMPRODUCT(('RawData'!B$2:B$822=B65)*('RawData'!G$2:G$822&gt;G65)*(ISERROR(SEARCH("World",'RawData'!C$2:C$822)))*(ISERROR(SEARCH("Other",'RawData'!C$2:C$822))))+1)))</f>
        <v>6</v>
      </c>
      <c r="K65" s="14">
        <f>IF(ISNUMBER(SEARCH("World",'RawData'!C70)),"",'RawData'!H70)</f>
        <v>0</v>
      </c>
      <c r="L65" s="14">
        <f>IF(ISNUMBER(SEARCH("World",'RawData'!C70)),"",SUMIFS('RawData'!H:H,'RawData'!B:B,'RawData'!B70,'RawData'!C:C,"*World*"))</f>
        <v>0</v>
      </c>
      <c r="M65" s="15" t="str">
        <f>IF(ISNUMBER(SEARCH("World",'RawData'!C70)),"",IFERROR(K65/L65,"-"))</f>
        <v>-</v>
      </c>
      <c r="N65" s="7" t="str">
        <f>IF(ISNUMBER(SEARCH("World",'RawData'!C70)),"",IF(ISNUMBER(SEARCH("Other",C65)),COUNTIFS('RawData'!B:B,B65,'RawData'!C:C,"&lt;&gt;*World*"),IF(OR(K65="",K65=0),"-",SUMPRODUCT(('RawData'!B$2:B$822=B65)*('RawData'!H$2:H$822&gt;K65)*(ISERROR(SEARCH("World",'RawData'!C$2:C$822)))*(ISERROR(SEARCH("Other",'RawData'!C$2:C$822))))+1)))</f>
        <v>-</v>
      </c>
    </row>
    <row r="66" spans="1:14" x14ac:dyDescent="0.3">
      <c r="A66" s="4" t="str">
        <f>IF(ISNUMBER(SEARCH("World",'RawData'!C71)),"",'RawData'!A71)</f>
        <v>MCS2026</v>
      </c>
      <c r="B66" s="4" t="str">
        <f>IF(ISNUMBER(SEARCH("World",'RawData'!C71)),"",'RawData'!B71)</f>
        <v xml:space="preserve">Beryllium  </v>
      </c>
      <c r="C66" s="4" t="str">
        <f>IF(ISNUMBER(SEARCH("World",'RawData'!C71)),"",'RawData'!C71)</f>
        <v>Mozambique</v>
      </c>
      <c r="D66" s="4" t="str">
        <f>IF(ISNUMBER(SEARCH("World",'RawData'!C71)),"",'RawData'!D71)</f>
        <v>Mine production, beryllium content</v>
      </c>
      <c r="E66" s="4" t="str">
        <f>IF(ISNUMBER(SEARCH("World",'RawData'!C71)),"",IF('RawData'!E71="WT001","kg",IF('RawData'!E71="WT002","ton",IF('RawData'!E71="WT003","k ton",""))))</f>
        <v>ton</v>
      </c>
      <c r="F66" s="14">
        <f>IF(ISNUMBER(SEARCH("World",'RawData'!C71)),"",'RawData'!F71)</f>
        <v>3</v>
      </c>
      <c r="G66" s="14">
        <f>IF(ISNUMBER(SEARCH("World",'RawData'!C71)),"",'RawData'!G71)</f>
        <v>3</v>
      </c>
      <c r="H66" s="14">
        <f>IF(ISNUMBER(SEARCH("World",'RawData'!C71)),"",SUMIFS('RawData'!G:G,'RawData'!B:B,'RawData'!B71,'RawData'!C:C,"*World*"))</f>
        <v>430</v>
      </c>
      <c r="I66" s="15">
        <f>IF(ISNUMBER(SEARCH("World",'RawData'!C71)),"",IFERROR(G66/H66,"-"))</f>
        <v>6.9767441860465115E-3</v>
      </c>
      <c r="J66" s="7">
        <f>IF(ISNUMBER(SEARCH("World",'RawData'!C71)),"",IF(ISNUMBER(SEARCH("Other",C66)),COUNTIFS('RawData'!B:B,B66,'RawData'!C:C,"&lt;&gt;*World*"),IF(OR(G66="",G66=0),"-",SUMPRODUCT(('RawData'!B$2:B$822=B66)*('RawData'!G$2:G$822&gt;G66)*(ISERROR(SEARCH("World",'RawData'!C$2:C$822)))*(ISERROR(SEARCH("Other",'RawData'!C$2:C$822))))+1)))</f>
        <v>5</v>
      </c>
      <c r="K66" s="14">
        <f>IF(ISNUMBER(SEARCH("World",'RawData'!C71)),"",'RawData'!H71)</f>
        <v>0</v>
      </c>
      <c r="L66" s="14">
        <f>IF(ISNUMBER(SEARCH("World",'RawData'!C71)),"",SUMIFS('RawData'!H:H,'RawData'!B:B,'RawData'!B71,'RawData'!C:C,"*World*"))</f>
        <v>0</v>
      </c>
      <c r="M66" s="15" t="str">
        <f>IF(ISNUMBER(SEARCH("World",'RawData'!C71)),"",IFERROR(K66/L66,"-"))</f>
        <v>-</v>
      </c>
      <c r="N66" s="7" t="str">
        <f>IF(ISNUMBER(SEARCH("World",'RawData'!C71)),"",IF(ISNUMBER(SEARCH("Other",C66)),COUNTIFS('RawData'!B:B,B66,'RawData'!C:C,"&lt;&gt;*World*"),IF(OR(K66="",K66=0),"-",SUMPRODUCT(('RawData'!B$2:B$822=B66)*('RawData'!H$2:H$822&gt;K66)*(ISERROR(SEARCH("World",'RawData'!C$2:C$822)))*(ISERROR(SEARCH("Other",'RawData'!C$2:C$822))))+1)))</f>
        <v>-</v>
      </c>
    </row>
    <row r="67" spans="1:14" x14ac:dyDescent="0.3">
      <c r="A67" s="4" t="str">
        <f>IF(ISNUMBER(SEARCH("World",'RawData'!C72)),"",'RawData'!A72)</f>
        <v>MCS2026</v>
      </c>
      <c r="B67" s="4" t="str">
        <f>IF(ISNUMBER(SEARCH("World",'RawData'!C72)),"",'RawData'!B72)</f>
        <v xml:space="preserve">Beryllium  </v>
      </c>
      <c r="C67" s="4" t="str">
        <f>IF(ISNUMBER(SEARCH("World",'RawData'!C72)),"",'RawData'!C72)</f>
        <v>Nigeria</v>
      </c>
      <c r="D67" s="4" t="str">
        <f>IF(ISNUMBER(SEARCH("World",'RawData'!C72)),"",'RawData'!D72)</f>
        <v>Mine production, beryllium content</v>
      </c>
      <c r="E67" s="4" t="str">
        <f>IF(ISNUMBER(SEARCH("World",'RawData'!C72)),"",IF('RawData'!E72="WT001","kg",IF('RawData'!E72="WT002","ton",IF('RawData'!E72="WT003","k ton",""))))</f>
        <v>ton</v>
      </c>
      <c r="F67" s="14">
        <f>IF(ISNUMBER(SEARCH("World",'RawData'!C72)),"",'RawData'!F72)</f>
        <v>40</v>
      </c>
      <c r="G67" s="14">
        <f>IF(ISNUMBER(SEARCH("World",'RawData'!C72)),"",'RawData'!G72)</f>
        <v>40</v>
      </c>
      <c r="H67" s="14">
        <f>IF(ISNUMBER(SEARCH("World",'RawData'!C72)),"",SUMIFS('RawData'!G:G,'RawData'!B:B,'RawData'!B72,'RawData'!C:C,"*World*"))</f>
        <v>430</v>
      </c>
      <c r="I67" s="15">
        <f>IF(ISNUMBER(SEARCH("World",'RawData'!C72)),"",IFERROR(G67/H67,"-"))</f>
        <v>9.3023255813953487E-2</v>
      </c>
      <c r="J67" s="7">
        <f>IF(ISNUMBER(SEARCH("World",'RawData'!C72)),"",IF(ISNUMBER(SEARCH("Other",C67)),COUNTIFS('RawData'!B:B,B67,'RawData'!C:C,"&lt;&gt;*World*"),IF(OR(G67="",G67=0),"-",SUMPRODUCT(('RawData'!B$2:B$822=B67)*('RawData'!G$2:G$822&gt;G67)*(ISERROR(SEARCH("World",'RawData'!C$2:C$822)))*(ISERROR(SEARCH("Other",'RawData'!C$2:C$822))))+1)))</f>
        <v>4</v>
      </c>
      <c r="K67" s="14">
        <f>IF(ISNUMBER(SEARCH("World",'RawData'!C72)),"",'RawData'!H72)</f>
        <v>0</v>
      </c>
      <c r="L67" s="14">
        <f>IF(ISNUMBER(SEARCH("World",'RawData'!C72)),"",SUMIFS('RawData'!H:H,'RawData'!B:B,'RawData'!B72,'RawData'!C:C,"*World*"))</f>
        <v>0</v>
      </c>
      <c r="M67" s="15" t="str">
        <f>IF(ISNUMBER(SEARCH("World",'RawData'!C72)),"",IFERROR(K67/L67,"-"))</f>
        <v>-</v>
      </c>
      <c r="N67" s="7" t="str">
        <f>IF(ISNUMBER(SEARCH("World",'RawData'!C72)),"",IF(ISNUMBER(SEARCH("Other",C67)),COUNTIFS('RawData'!B:B,B67,'RawData'!C:C,"&lt;&gt;*World*"),IF(OR(K67="",K67=0),"-",SUMPRODUCT(('RawData'!B$2:B$822=B67)*('RawData'!H$2:H$822&gt;K67)*(ISERROR(SEARCH("World",'RawData'!C$2:C$822)))*(ISERROR(SEARCH("Other",'RawData'!C$2:C$822))))+1)))</f>
        <v>-</v>
      </c>
    </row>
    <row r="68" spans="1:14" x14ac:dyDescent="0.3">
      <c r="A68" s="4" t="str">
        <f>IF(ISNUMBER(SEARCH("World",'RawData'!C73)),"",'RawData'!A73)</f>
        <v>MCS2026</v>
      </c>
      <c r="B68" s="4" t="str">
        <f>IF(ISNUMBER(SEARCH("World",'RawData'!C73)),"",'RawData'!B73)</f>
        <v xml:space="preserve">Beryllium  </v>
      </c>
      <c r="C68" s="4" t="str">
        <f>IF(ISNUMBER(SEARCH("World",'RawData'!C73)),"",'RawData'!C73)</f>
        <v>Rwanda</v>
      </c>
      <c r="D68" s="4" t="str">
        <f>IF(ISNUMBER(SEARCH("World",'RawData'!C73)),"",'RawData'!D73)</f>
        <v>Mine production, beryllium content</v>
      </c>
      <c r="E68" s="4" t="str">
        <f>IF(ISNUMBER(SEARCH("World",'RawData'!C73)),"",IF('RawData'!E73="WT001","kg",IF('RawData'!E73="WT002","ton",IF('RawData'!E73="WT003","k ton",""))))</f>
        <v>ton</v>
      </c>
      <c r="F68" s="14">
        <f>IF(ISNUMBER(SEARCH("World",'RawData'!C73)),"",'RawData'!F73)</f>
        <v>1</v>
      </c>
      <c r="G68" s="14">
        <f>IF(ISNUMBER(SEARCH("World",'RawData'!C73)),"",'RawData'!G73)</f>
        <v>1</v>
      </c>
      <c r="H68" s="14">
        <f>IF(ISNUMBER(SEARCH("World",'RawData'!C73)),"",SUMIFS('RawData'!G:G,'RawData'!B:B,'RawData'!B73,'RawData'!C:C,"*World*"))</f>
        <v>430</v>
      </c>
      <c r="I68" s="15">
        <f>IF(ISNUMBER(SEARCH("World",'RawData'!C73)),"",IFERROR(G68/H68,"-"))</f>
        <v>2.3255813953488372E-3</v>
      </c>
      <c r="J68" s="7">
        <f>IF(ISNUMBER(SEARCH("World",'RawData'!C73)),"",IF(ISNUMBER(SEARCH("Other",C68)),COUNTIFS('RawData'!B:B,B68,'RawData'!C:C,"&lt;&gt;*World*"),IF(OR(G68="",G68=0),"-",SUMPRODUCT(('RawData'!B$2:B$822=B68)*('RawData'!G$2:G$822&gt;G68)*(ISERROR(SEARCH("World",'RawData'!C$2:C$822)))*(ISERROR(SEARCH("Other",'RawData'!C$2:C$822))))+1)))</f>
        <v>6</v>
      </c>
      <c r="K68" s="14">
        <f>IF(ISNUMBER(SEARCH("World",'RawData'!C73)),"",'RawData'!H73)</f>
        <v>0</v>
      </c>
      <c r="L68" s="14">
        <f>IF(ISNUMBER(SEARCH("World",'RawData'!C73)),"",SUMIFS('RawData'!H:H,'RawData'!B:B,'RawData'!B73,'RawData'!C:C,"*World*"))</f>
        <v>0</v>
      </c>
      <c r="M68" s="15" t="str">
        <f>IF(ISNUMBER(SEARCH("World",'RawData'!C73)),"",IFERROR(K68/L68,"-"))</f>
        <v>-</v>
      </c>
      <c r="N68" s="7" t="str">
        <f>IF(ISNUMBER(SEARCH("World",'RawData'!C73)),"",IF(ISNUMBER(SEARCH("Other",C68)),COUNTIFS('RawData'!B:B,B68,'RawData'!C:C,"&lt;&gt;*World*"),IF(OR(K68="",K68=0),"-",SUMPRODUCT(('RawData'!B$2:B$822=B68)*('RawData'!H$2:H$822&gt;K68)*(ISERROR(SEARCH("World",'RawData'!C$2:C$822)))*(ISERROR(SEARCH("Other",'RawData'!C$2:C$822))))+1)))</f>
        <v>-</v>
      </c>
    </row>
    <row r="69" spans="1:14" x14ac:dyDescent="0.3">
      <c r="A69" s="4" t="str">
        <f>IF(ISNUMBER(SEARCH("World",'RawData'!C74)),"",'RawData'!A74)</f>
        <v>MCS2026</v>
      </c>
      <c r="B69" s="4" t="str">
        <f>IF(ISNUMBER(SEARCH("World",'RawData'!C74)),"",'RawData'!B74)</f>
        <v xml:space="preserve">Beryllium  </v>
      </c>
      <c r="C69" s="4" t="str">
        <f>IF(ISNUMBER(SEARCH("World",'RawData'!C74)),"",'RawData'!C74)</f>
        <v>United States</v>
      </c>
      <c r="D69" s="4" t="str">
        <f>IF(ISNUMBER(SEARCH("World",'RawData'!C74)),"",'RawData'!D74)</f>
        <v>Mine production, beryllium content</v>
      </c>
      <c r="E69" s="4" t="str">
        <f>IF(ISNUMBER(SEARCH("World",'RawData'!C74)),"",IF('RawData'!E74="WT001","kg",IF('RawData'!E74="WT002","ton",IF('RawData'!E74="WT003","k ton",""))))</f>
        <v>ton</v>
      </c>
      <c r="F69" s="14">
        <f>IF(ISNUMBER(SEARCH("World",'RawData'!C74)),"",'RawData'!F74)</f>
        <v>230</v>
      </c>
      <c r="G69" s="14">
        <f>IF(ISNUMBER(SEARCH("World",'RawData'!C74)),"",'RawData'!G74)</f>
        <v>230</v>
      </c>
      <c r="H69" s="14">
        <f>IF(ISNUMBER(SEARCH("World",'RawData'!C74)),"",SUMIFS('RawData'!G:G,'RawData'!B:B,'RawData'!B74,'RawData'!C:C,"*World*"))</f>
        <v>430</v>
      </c>
      <c r="I69" s="15">
        <f>IF(ISNUMBER(SEARCH("World",'RawData'!C74)),"",IFERROR(G69/H69,"-"))</f>
        <v>0.53488372093023251</v>
      </c>
      <c r="J69" s="7">
        <f>IF(ISNUMBER(SEARCH("World",'RawData'!C74)),"",IF(ISNUMBER(SEARCH("Other",C69)),COUNTIFS('RawData'!B:B,B69,'RawData'!C:C,"&lt;&gt;*World*"),IF(OR(G69="",G69=0),"-",SUMPRODUCT(('RawData'!B$2:B$822=B69)*('RawData'!G$2:G$822&gt;G69)*(ISERROR(SEARCH("World",'RawData'!C$2:C$822)))*(ISERROR(SEARCH("Other",'RawData'!C$2:C$822))))+1)))</f>
        <v>1</v>
      </c>
      <c r="K69" s="14">
        <f>IF(ISNUMBER(SEARCH("World",'RawData'!C74)),"",'RawData'!H74)</f>
        <v>0</v>
      </c>
      <c r="L69" s="14">
        <f>IF(ISNUMBER(SEARCH("World",'RawData'!C74)),"",SUMIFS('RawData'!H:H,'RawData'!B:B,'RawData'!B74,'RawData'!C:C,"*World*"))</f>
        <v>0</v>
      </c>
      <c r="M69" s="15" t="str">
        <f>IF(ISNUMBER(SEARCH("World",'RawData'!C74)),"",IFERROR(K69/L69,"-"))</f>
        <v>-</v>
      </c>
      <c r="N69" s="7" t="str">
        <f>IF(ISNUMBER(SEARCH("World",'RawData'!C74)),"",IF(ISNUMBER(SEARCH("Other",C69)),COUNTIFS('RawData'!B:B,B69,'RawData'!C:C,"&lt;&gt;*World*"),IF(OR(K69="",K69=0),"-",SUMPRODUCT(('RawData'!B$2:B$822=B69)*('RawData'!H$2:H$822&gt;K69)*(ISERROR(SEARCH("World",'RawData'!C$2:C$822)))*(ISERROR(SEARCH("Other",'RawData'!C$2:C$822))))+1)))</f>
        <v>-</v>
      </c>
    </row>
    <row r="70" spans="1:14" x14ac:dyDescent="0.3">
      <c r="A70" s="4" t="str">
        <f>IF(ISNUMBER(SEARCH("World",'RawData'!C76)),"",'RawData'!A76)</f>
        <v>MCS2026</v>
      </c>
      <c r="B70" s="4" t="str">
        <f>IF(ISNUMBER(SEARCH("World",'RawData'!C76)),"",'RawData'!B76)</f>
        <v>Bismuth</v>
      </c>
      <c r="C70" s="4" t="str">
        <f>IF(ISNUMBER(SEARCH("World",'RawData'!C76)),"",'RawData'!C76)</f>
        <v>Bolivia</v>
      </c>
      <c r="D70" s="4" t="str">
        <f>IF(ISNUMBER(SEARCH("World",'RawData'!C76)),"",'RawData'!D76)</f>
        <v>Refinery production</v>
      </c>
      <c r="E70" s="4" t="str">
        <f>IF(ISNUMBER(SEARCH("World",'RawData'!C76)),"",IF('RawData'!E76="WT001","kg",IF('RawData'!E76="WT002","ton",IF('RawData'!E76="WT003","k ton",""))))</f>
        <v>ton</v>
      </c>
      <c r="F70" s="14">
        <f>IF(ISNUMBER(SEARCH("World",'RawData'!C76)),"",'RawData'!F76)</f>
        <v>50</v>
      </c>
      <c r="G70" s="14">
        <f>IF(ISNUMBER(SEARCH("World",'RawData'!C76)),"",'RawData'!G76)</f>
        <v>50</v>
      </c>
      <c r="H70" s="14">
        <f>IF(ISNUMBER(SEARCH("World",'RawData'!C76)),"",SUMIFS('RawData'!G:G,'RawData'!B:B,'RawData'!B76,'RawData'!C:C,"*World*"))</f>
        <v>16000</v>
      </c>
      <c r="I70" s="15">
        <f>IF(ISNUMBER(SEARCH("World",'RawData'!C76)),"",IFERROR(G70/H70,"-"))</f>
        <v>3.1250000000000002E-3</v>
      </c>
      <c r="J70" s="7">
        <f>IF(ISNUMBER(SEARCH("World",'RawData'!C76)),"",IF(ISNUMBER(SEARCH("Other",C70)),COUNTIFS('RawData'!B:B,B70,'RawData'!C:C,"&lt;&gt;*World*"),IF(OR(G70="",G70=0),"-",SUMPRODUCT(('RawData'!B$2:B$822=B70)*('RawData'!G$2:G$822&gt;G70)*(ISERROR(SEARCH("World",'RawData'!C$2:C$822)))*(ISERROR(SEARCH("Other",'RawData'!C$2:C$822))))+1)))</f>
        <v>6</v>
      </c>
      <c r="K70" s="14">
        <f>IF(ISNUMBER(SEARCH("World",'RawData'!C76)),"",'RawData'!H76)</f>
        <v>0</v>
      </c>
      <c r="L70" s="14">
        <f>IF(ISNUMBER(SEARCH("World",'RawData'!C76)),"",SUMIFS('RawData'!H:H,'RawData'!B:B,'RawData'!B76,'RawData'!C:C,"*World*"))</f>
        <v>0</v>
      </c>
      <c r="M70" s="15" t="str">
        <f>IF(ISNUMBER(SEARCH("World",'RawData'!C76)),"",IFERROR(K70/L70,"-"))</f>
        <v>-</v>
      </c>
      <c r="N70" s="7" t="str">
        <f>IF(ISNUMBER(SEARCH("World",'RawData'!C76)),"",IF(ISNUMBER(SEARCH("Other",C70)),COUNTIFS('RawData'!B:B,B70,'RawData'!C:C,"&lt;&gt;*World*"),IF(OR(K70="",K70=0),"-",SUMPRODUCT(('RawData'!B$2:B$822=B70)*('RawData'!H$2:H$822&gt;K70)*(ISERROR(SEARCH("World",'RawData'!C$2:C$822)))*(ISERROR(SEARCH("Other",'RawData'!C$2:C$822))))+1)))</f>
        <v>-</v>
      </c>
    </row>
    <row r="71" spans="1:14" x14ac:dyDescent="0.3">
      <c r="A71" s="4" t="str">
        <f>IF(ISNUMBER(SEARCH("World",'RawData'!C77)),"",'RawData'!A77)</f>
        <v>MCS2026</v>
      </c>
      <c r="B71" s="4" t="str">
        <f>IF(ISNUMBER(SEARCH("World",'RawData'!C77)),"",'RawData'!B77)</f>
        <v>Bismuth</v>
      </c>
      <c r="C71" s="4" t="str">
        <f>IF(ISNUMBER(SEARCH("World",'RawData'!C77)),"",'RawData'!C77)</f>
        <v>Bulgaria</v>
      </c>
      <c r="D71" s="4" t="str">
        <f>IF(ISNUMBER(SEARCH("World",'RawData'!C77)),"",'RawData'!D77)</f>
        <v>Refinery production</v>
      </c>
      <c r="E71" s="4" t="str">
        <f>IF(ISNUMBER(SEARCH("World",'RawData'!C77)),"",IF('RawData'!E77="WT001","kg",IF('RawData'!E77="WT002","ton",IF('RawData'!E77="WT003","k ton",""))))</f>
        <v>ton</v>
      </c>
      <c r="F71" s="14">
        <f>IF(ISNUMBER(SEARCH("World",'RawData'!C77)),"",'RawData'!F77)</f>
        <v>48</v>
      </c>
      <c r="G71" s="14">
        <f>IF(ISNUMBER(SEARCH("World",'RawData'!C77)),"",'RawData'!G77)</f>
        <v>50</v>
      </c>
      <c r="H71" s="14">
        <f>IF(ISNUMBER(SEARCH("World",'RawData'!C77)),"",SUMIFS('RawData'!G:G,'RawData'!B:B,'RawData'!B77,'RawData'!C:C,"*World*"))</f>
        <v>16000</v>
      </c>
      <c r="I71" s="15">
        <f>IF(ISNUMBER(SEARCH("World",'RawData'!C77)),"",IFERROR(G71/H71,"-"))</f>
        <v>3.1250000000000002E-3</v>
      </c>
      <c r="J71" s="7">
        <f>IF(ISNUMBER(SEARCH("World",'RawData'!C77)),"",IF(ISNUMBER(SEARCH("Other",C71)),COUNTIFS('RawData'!B:B,B71,'RawData'!C:C,"&lt;&gt;*World*"),IF(OR(G71="",G71=0),"-",SUMPRODUCT(('RawData'!B$2:B$822=B71)*('RawData'!G$2:G$822&gt;G71)*(ISERROR(SEARCH("World",'RawData'!C$2:C$822)))*(ISERROR(SEARCH("Other",'RawData'!C$2:C$822))))+1)))</f>
        <v>6</v>
      </c>
      <c r="K71" s="14">
        <f>IF(ISNUMBER(SEARCH("World",'RawData'!C77)),"",'RawData'!H77)</f>
        <v>0</v>
      </c>
      <c r="L71" s="14">
        <f>IF(ISNUMBER(SEARCH("World",'RawData'!C77)),"",SUMIFS('RawData'!H:H,'RawData'!B:B,'RawData'!B77,'RawData'!C:C,"*World*"))</f>
        <v>0</v>
      </c>
      <c r="M71" s="15" t="str">
        <f>IF(ISNUMBER(SEARCH("World",'RawData'!C77)),"",IFERROR(K71/L71,"-"))</f>
        <v>-</v>
      </c>
      <c r="N71" s="7" t="str">
        <f>IF(ISNUMBER(SEARCH("World",'RawData'!C77)),"",IF(ISNUMBER(SEARCH("Other",C71)),COUNTIFS('RawData'!B:B,B71,'RawData'!C:C,"&lt;&gt;*World*"),IF(OR(K71="",K71=0),"-",SUMPRODUCT(('RawData'!B$2:B$822=B71)*('RawData'!H$2:H$822&gt;K71)*(ISERROR(SEARCH("World",'RawData'!C$2:C$822)))*(ISERROR(SEARCH("Other",'RawData'!C$2:C$822))))+1)))</f>
        <v>-</v>
      </c>
    </row>
    <row r="72" spans="1:14" x14ac:dyDescent="0.3">
      <c r="A72" s="4" t="str">
        <f>IF(ISNUMBER(SEARCH("World",'RawData'!C78)),"",'RawData'!A78)</f>
        <v>MCS2026</v>
      </c>
      <c r="B72" s="4" t="str">
        <f>IF(ISNUMBER(SEARCH("World",'RawData'!C78)),"",'RawData'!B78)</f>
        <v>Bismuth</v>
      </c>
      <c r="C72" s="4" t="str">
        <f>IF(ISNUMBER(SEARCH("World",'RawData'!C78)),"",'RawData'!C78)</f>
        <v>China</v>
      </c>
      <c r="D72" s="4" t="str">
        <f>IF(ISNUMBER(SEARCH("World",'RawData'!C78)),"",'RawData'!D78)</f>
        <v>Refinery production</v>
      </c>
      <c r="E72" s="4" t="str">
        <f>IF(ISNUMBER(SEARCH("World",'RawData'!C78)),"",IF('RawData'!E78="WT001","kg",IF('RawData'!E78="WT002","ton",IF('RawData'!E78="WT003","k ton",""))))</f>
        <v>ton</v>
      </c>
      <c r="F72" s="14">
        <f>IF(ISNUMBER(SEARCH("World",'RawData'!C78)),"",'RawData'!F78)</f>
        <v>14000</v>
      </c>
      <c r="G72" s="14">
        <f>IF(ISNUMBER(SEARCH("World",'RawData'!C78)),"",'RawData'!G78)</f>
        <v>14000</v>
      </c>
      <c r="H72" s="14">
        <f>IF(ISNUMBER(SEARCH("World",'RawData'!C78)),"",SUMIFS('RawData'!G:G,'RawData'!B:B,'RawData'!B78,'RawData'!C:C,"*World*"))</f>
        <v>16000</v>
      </c>
      <c r="I72" s="15">
        <f>IF(ISNUMBER(SEARCH("World",'RawData'!C78)),"",IFERROR(G72/H72,"-"))</f>
        <v>0.875</v>
      </c>
      <c r="J72" s="7">
        <f>IF(ISNUMBER(SEARCH("World",'RawData'!C78)),"",IF(ISNUMBER(SEARCH("Other",C72)),COUNTIFS('RawData'!B:B,B72,'RawData'!C:C,"&lt;&gt;*World*"),IF(OR(G72="",G72=0),"-",SUMPRODUCT(('RawData'!B$2:B$822=B72)*('RawData'!G$2:G$822&gt;G72)*(ISERROR(SEARCH("World",'RawData'!C$2:C$822)))*(ISERROR(SEARCH("Other",'RawData'!C$2:C$822))))+1)))</f>
        <v>1</v>
      </c>
      <c r="K72" s="14">
        <f>IF(ISNUMBER(SEARCH("World",'RawData'!C78)),"",'RawData'!H78)</f>
        <v>0</v>
      </c>
      <c r="L72" s="14">
        <f>IF(ISNUMBER(SEARCH("World",'RawData'!C78)),"",SUMIFS('RawData'!H:H,'RawData'!B:B,'RawData'!B78,'RawData'!C:C,"*World*"))</f>
        <v>0</v>
      </c>
      <c r="M72" s="15" t="str">
        <f>IF(ISNUMBER(SEARCH("World",'RawData'!C78)),"",IFERROR(K72/L72,"-"))</f>
        <v>-</v>
      </c>
      <c r="N72" s="7" t="str">
        <f>IF(ISNUMBER(SEARCH("World",'RawData'!C78)),"",IF(ISNUMBER(SEARCH("Other",C72)),COUNTIFS('RawData'!B:B,B72,'RawData'!C:C,"&lt;&gt;*World*"),IF(OR(K72="",K72=0),"-",SUMPRODUCT(('RawData'!B$2:B$822=B72)*('RawData'!H$2:H$822&gt;K72)*(ISERROR(SEARCH("World",'RawData'!C$2:C$822)))*(ISERROR(SEARCH("Other",'RawData'!C$2:C$822))))+1)))</f>
        <v>-</v>
      </c>
    </row>
    <row r="73" spans="1:14" x14ac:dyDescent="0.3">
      <c r="A73" s="4" t="str">
        <f>IF(ISNUMBER(SEARCH("World",'RawData'!C79)),"",'RawData'!A79)</f>
        <v>MCS2026</v>
      </c>
      <c r="B73" s="4" t="str">
        <f>IF(ISNUMBER(SEARCH("World",'RawData'!C79)),"",'RawData'!B79)</f>
        <v>Bismuth</v>
      </c>
      <c r="C73" s="4" t="str">
        <f>IF(ISNUMBER(SEARCH("World",'RawData'!C79)),"",'RawData'!C79)</f>
        <v>Japan</v>
      </c>
      <c r="D73" s="4" t="str">
        <f>IF(ISNUMBER(SEARCH("World",'RawData'!C79)),"",'RawData'!D79)</f>
        <v>Refinery production</v>
      </c>
      <c r="E73" s="4" t="str">
        <f>IF(ISNUMBER(SEARCH("World",'RawData'!C79)),"",IF('RawData'!E79="WT001","kg",IF('RawData'!E79="WT002","ton",IF('RawData'!E79="WT003","k ton",""))))</f>
        <v>ton</v>
      </c>
      <c r="F73" s="14">
        <f>IF(ISNUMBER(SEARCH("World",'RawData'!C79)),"",'RawData'!F79)</f>
        <v>500</v>
      </c>
      <c r="G73" s="14">
        <f>IF(ISNUMBER(SEARCH("World",'RawData'!C79)),"",'RawData'!G79)</f>
        <v>500</v>
      </c>
      <c r="H73" s="14">
        <f>IF(ISNUMBER(SEARCH("World",'RawData'!C79)),"",SUMIFS('RawData'!G:G,'RawData'!B:B,'RawData'!B79,'RawData'!C:C,"*World*"))</f>
        <v>16000</v>
      </c>
      <c r="I73" s="15">
        <f>IF(ISNUMBER(SEARCH("World",'RawData'!C79)),"",IFERROR(G73/H73,"-"))</f>
        <v>3.125E-2</v>
      </c>
      <c r="J73" s="7">
        <f>IF(ISNUMBER(SEARCH("World",'RawData'!C79)),"",IF(ISNUMBER(SEARCH("Other",C73)),COUNTIFS('RawData'!B:B,B73,'RawData'!C:C,"&lt;&gt;*World*"),IF(OR(G73="",G73=0),"-",SUMPRODUCT(('RawData'!B$2:B$822=B73)*('RawData'!G$2:G$822&gt;G73)*(ISERROR(SEARCH("World",'RawData'!C$2:C$822)))*(ISERROR(SEARCH("Other",'RawData'!C$2:C$822))))+1)))</f>
        <v>3</v>
      </c>
      <c r="K73" s="14">
        <f>IF(ISNUMBER(SEARCH("World",'RawData'!C79)),"",'RawData'!H79)</f>
        <v>0</v>
      </c>
      <c r="L73" s="14">
        <f>IF(ISNUMBER(SEARCH("World",'RawData'!C79)),"",SUMIFS('RawData'!H:H,'RawData'!B:B,'RawData'!B79,'RawData'!C:C,"*World*"))</f>
        <v>0</v>
      </c>
      <c r="M73" s="15" t="str">
        <f>IF(ISNUMBER(SEARCH("World",'RawData'!C79)),"",IFERROR(K73/L73,"-"))</f>
        <v>-</v>
      </c>
      <c r="N73" s="7" t="str">
        <f>IF(ISNUMBER(SEARCH("World",'RawData'!C79)),"",IF(ISNUMBER(SEARCH("Other",C73)),COUNTIFS('RawData'!B:B,B73,'RawData'!C:C,"&lt;&gt;*World*"),IF(OR(K73="",K73=0),"-",SUMPRODUCT(('RawData'!B$2:B$822=B73)*('RawData'!H$2:H$822&gt;K73)*(ISERROR(SEARCH("World",'RawData'!C$2:C$822)))*(ISERROR(SEARCH("Other",'RawData'!C$2:C$822))))+1)))</f>
        <v>-</v>
      </c>
    </row>
    <row r="74" spans="1:14" x14ac:dyDescent="0.3">
      <c r="A74" s="4" t="str">
        <f>IF(ISNUMBER(SEARCH("World",'RawData'!C80)),"",'RawData'!A80)</f>
        <v>MCS2026</v>
      </c>
      <c r="B74" s="4" t="str">
        <f>IF(ISNUMBER(SEARCH("World",'RawData'!C80)),"",'RawData'!B80)</f>
        <v>Bismuth</v>
      </c>
      <c r="C74" s="4" t="str">
        <f>IF(ISNUMBER(SEARCH("World",'RawData'!C80)),"",'RawData'!C80)</f>
        <v>Kazakhstan</v>
      </c>
      <c r="D74" s="4" t="str">
        <f>IF(ISNUMBER(SEARCH("World",'RawData'!C80)),"",'RawData'!D80)</f>
        <v>Refinery production</v>
      </c>
      <c r="E74" s="4" t="str">
        <f>IF(ISNUMBER(SEARCH("World",'RawData'!C80)),"",IF('RawData'!E80="WT001","kg",IF('RawData'!E80="WT002","ton",IF('RawData'!E80="WT003","k ton",""))))</f>
        <v>ton</v>
      </c>
      <c r="F74" s="14">
        <f>IF(ISNUMBER(SEARCH("World",'RawData'!C80)),"",'RawData'!F80)</f>
        <v>180</v>
      </c>
      <c r="G74" s="14">
        <f>IF(ISNUMBER(SEARCH("World",'RawData'!C80)),"",'RawData'!G80)</f>
        <v>180</v>
      </c>
      <c r="H74" s="14">
        <f>IF(ISNUMBER(SEARCH("World",'RawData'!C80)),"",SUMIFS('RawData'!G:G,'RawData'!B:B,'RawData'!B80,'RawData'!C:C,"*World*"))</f>
        <v>16000</v>
      </c>
      <c r="I74" s="15">
        <f>IF(ISNUMBER(SEARCH("World",'RawData'!C80)),"",IFERROR(G74/H74,"-"))</f>
        <v>1.125E-2</v>
      </c>
      <c r="J74" s="7">
        <f>IF(ISNUMBER(SEARCH("World",'RawData'!C80)),"",IF(ISNUMBER(SEARCH("Other",C74)),COUNTIFS('RawData'!B:B,B74,'RawData'!C:C,"&lt;&gt;*World*"),IF(OR(G74="",G74=0),"-",SUMPRODUCT(('RawData'!B$2:B$822=B74)*('RawData'!G$2:G$822&gt;G74)*(ISERROR(SEARCH("World",'RawData'!C$2:C$822)))*(ISERROR(SEARCH("Other",'RawData'!C$2:C$822))))+1)))</f>
        <v>5</v>
      </c>
      <c r="K74" s="14">
        <f>IF(ISNUMBER(SEARCH("World",'RawData'!C80)),"",'RawData'!H80)</f>
        <v>0</v>
      </c>
      <c r="L74" s="14">
        <f>IF(ISNUMBER(SEARCH("World",'RawData'!C80)),"",SUMIFS('RawData'!H:H,'RawData'!B:B,'RawData'!B80,'RawData'!C:C,"*World*"))</f>
        <v>0</v>
      </c>
      <c r="M74" s="15" t="str">
        <f>IF(ISNUMBER(SEARCH("World",'RawData'!C80)),"",IFERROR(K74/L74,"-"))</f>
        <v>-</v>
      </c>
      <c r="N74" s="7" t="str">
        <f>IF(ISNUMBER(SEARCH("World",'RawData'!C80)),"",IF(ISNUMBER(SEARCH("Other",C74)),COUNTIFS('RawData'!B:B,B74,'RawData'!C:C,"&lt;&gt;*World*"),IF(OR(K74="",K74=0),"-",SUMPRODUCT(('RawData'!B$2:B$822=B74)*('RawData'!H$2:H$822&gt;K74)*(ISERROR(SEARCH("World",'RawData'!C$2:C$822)))*(ISERROR(SEARCH("Other",'RawData'!C$2:C$822))))+1)))</f>
        <v>-</v>
      </c>
    </row>
    <row r="75" spans="1:14" x14ac:dyDescent="0.3">
      <c r="A75" s="4" t="str">
        <f>IF(ISNUMBER(SEARCH("World",'RawData'!C81)),"",'RawData'!A81)</f>
        <v>MCS2026</v>
      </c>
      <c r="B75" s="4" t="str">
        <f>IF(ISNUMBER(SEARCH("World",'RawData'!C81)),"",'RawData'!B81)</f>
        <v>Bismuth</v>
      </c>
      <c r="C75" s="4" t="str">
        <f>IF(ISNUMBER(SEARCH("World",'RawData'!C81)),"",'RawData'!C81)</f>
        <v>Laos</v>
      </c>
      <c r="D75" s="4" t="str">
        <f>IF(ISNUMBER(SEARCH("World",'RawData'!C81)),"",'RawData'!D81)</f>
        <v>Refinery production</v>
      </c>
      <c r="E75" s="4" t="str">
        <f>IF(ISNUMBER(SEARCH("World",'RawData'!C81)),"",IF('RawData'!E81="WT001","kg",IF('RawData'!E81="WT002","ton",IF('RawData'!E81="WT003","k ton",""))))</f>
        <v>ton</v>
      </c>
      <c r="F75" s="14">
        <f>IF(ISNUMBER(SEARCH("World",'RawData'!C81)),"",'RawData'!F81)</f>
        <v>492</v>
      </c>
      <c r="G75" s="14">
        <f>IF(ISNUMBER(SEARCH("World",'RawData'!C81)),"",'RawData'!G81)</f>
        <v>500</v>
      </c>
      <c r="H75" s="14">
        <f>IF(ISNUMBER(SEARCH("World",'RawData'!C81)),"",SUMIFS('RawData'!G:G,'RawData'!B:B,'RawData'!B81,'RawData'!C:C,"*World*"))</f>
        <v>16000</v>
      </c>
      <c r="I75" s="15">
        <f>IF(ISNUMBER(SEARCH("World",'RawData'!C81)),"",IFERROR(G75/H75,"-"))</f>
        <v>3.125E-2</v>
      </c>
      <c r="J75" s="7">
        <f>IF(ISNUMBER(SEARCH("World",'RawData'!C81)),"",IF(ISNUMBER(SEARCH("Other",C75)),COUNTIFS('RawData'!B:B,B75,'RawData'!C:C,"&lt;&gt;*World*"),IF(OR(G75="",G75=0),"-",SUMPRODUCT(('RawData'!B$2:B$822=B75)*('RawData'!G$2:G$822&gt;G75)*(ISERROR(SEARCH("World",'RawData'!C$2:C$822)))*(ISERROR(SEARCH("Other",'RawData'!C$2:C$822))))+1)))</f>
        <v>3</v>
      </c>
      <c r="K75" s="14">
        <f>IF(ISNUMBER(SEARCH("World",'RawData'!C81)),"",'RawData'!H81)</f>
        <v>0</v>
      </c>
      <c r="L75" s="14">
        <f>IF(ISNUMBER(SEARCH("World",'RawData'!C81)),"",SUMIFS('RawData'!H:H,'RawData'!B:B,'RawData'!B81,'RawData'!C:C,"*World*"))</f>
        <v>0</v>
      </c>
      <c r="M75" s="15" t="str">
        <f>IF(ISNUMBER(SEARCH("World",'RawData'!C81)),"",IFERROR(K75/L75,"-"))</f>
        <v>-</v>
      </c>
      <c r="N75" s="7" t="str">
        <f>IF(ISNUMBER(SEARCH("World",'RawData'!C81)),"",IF(ISNUMBER(SEARCH("Other",C75)),COUNTIFS('RawData'!B:B,B75,'RawData'!C:C,"&lt;&gt;*World*"),IF(OR(K75="",K75=0),"-",SUMPRODUCT(('RawData'!B$2:B$822=B75)*('RawData'!H$2:H$822&gt;K75)*(ISERROR(SEARCH("World",'RawData'!C$2:C$822)))*(ISERROR(SEARCH("Other",'RawData'!C$2:C$822))))+1)))</f>
        <v>-</v>
      </c>
    </row>
    <row r="76" spans="1:14" x14ac:dyDescent="0.3">
      <c r="A76" s="4" t="str">
        <f>IF(ISNUMBER(SEARCH("World",'RawData'!C82)),"",'RawData'!A82)</f>
        <v>MCS2026</v>
      </c>
      <c r="B76" s="4" t="str">
        <f>IF(ISNUMBER(SEARCH("World",'RawData'!C82)),"",'RawData'!B82)</f>
        <v>Bismuth</v>
      </c>
      <c r="C76" s="4" t="str">
        <f>IF(ISNUMBER(SEARCH("World",'RawData'!C82)),"",'RawData'!C82)</f>
        <v>South Korea</v>
      </c>
      <c r="D76" s="4" t="str">
        <f>IF(ISNUMBER(SEARCH("World",'RawData'!C82)),"",'RawData'!D82)</f>
        <v>Refinery production</v>
      </c>
      <c r="E76" s="4" t="str">
        <f>IF(ISNUMBER(SEARCH("World",'RawData'!C82)),"",IF('RawData'!E82="WT001","kg",IF('RawData'!E82="WT002","ton",IF('RawData'!E82="WT003","k ton",""))))</f>
        <v>ton</v>
      </c>
      <c r="F76" s="14">
        <f>IF(ISNUMBER(SEARCH("World",'RawData'!C82)),"",'RawData'!F82)</f>
        <v>1000</v>
      </c>
      <c r="G76" s="14">
        <f>IF(ISNUMBER(SEARCH("World",'RawData'!C82)),"",'RawData'!G82)</f>
        <v>1000</v>
      </c>
      <c r="H76" s="14">
        <f>IF(ISNUMBER(SEARCH("World",'RawData'!C82)),"",SUMIFS('RawData'!G:G,'RawData'!B:B,'RawData'!B82,'RawData'!C:C,"*World*"))</f>
        <v>16000</v>
      </c>
      <c r="I76" s="15">
        <f>IF(ISNUMBER(SEARCH("World",'RawData'!C82)),"",IFERROR(G76/H76,"-"))</f>
        <v>6.25E-2</v>
      </c>
      <c r="J76" s="7">
        <f>IF(ISNUMBER(SEARCH("World",'RawData'!C82)),"",IF(ISNUMBER(SEARCH("Other",C76)),COUNTIFS('RawData'!B:B,B76,'RawData'!C:C,"&lt;&gt;*World*"),IF(OR(G76="",G76=0),"-",SUMPRODUCT(('RawData'!B$2:B$822=B76)*('RawData'!G$2:G$822&gt;G76)*(ISERROR(SEARCH("World",'RawData'!C$2:C$822)))*(ISERROR(SEARCH("Other",'RawData'!C$2:C$822))))+1)))</f>
        <v>2</v>
      </c>
      <c r="K76" s="14">
        <f>IF(ISNUMBER(SEARCH("World",'RawData'!C82)),"",'RawData'!H82)</f>
        <v>0</v>
      </c>
      <c r="L76" s="14">
        <f>IF(ISNUMBER(SEARCH("World",'RawData'!C82)),"",SUMIFS('RawData'!H:H,'RawData'!B:B,'RawData'!B82,'RawData'!C:C,"*World*"))</f>
        <v>0</v>
      </c>
      <c r="M76" s="15" t="str">
        <f>IF(ISNUMBER(SEARCH("World",'RawData'!C82)),"",IFERROR(K76/L76,"-"))</f>
        <v>-</v>
      </c>
      <c r="N76" s="7" t="str">
        <f>IF(ISNUMBER(SEARCH("World",'RawData'!C82)),"",IF(ISNUMBER(SEARCH("Other",C76)),COUNTIFS('RawData'!B:B,B76,'RawData'!C:C,"&lt;&gt;*World*"),IF(OR(K76="",K76=0),"-",SUMPRODUCT(('RawData'!B$2:B$822=B76)*('RawData'!H$2:H$822&gt;K76)*(ISERROR(SEARCH("World",'RawData'!C$2:C$822)))*(ISERROR(SEARCH("Other",'RawData'!C$2:C$822))))+1)))</f>
        <v>-</v>
      </c>
    </row>
    <row r="77" spans="1:14" x14ac:dyDescent="0.3">
      <c r="A77" s="4" t="str">
        <f>IF(ISNUMBER(SEARCH("World",'RawData'!C83)),"",'RawData'!A83)</f>
        <v>MCS2026</v>
      </c>
      <c r="B77" s="4" t="str">
        <f>IF(ISNUMBER(SEARCH("World",'RawData'!C83)),"",'RawData'!B83)</f>
        <v>Bismuth</v>
      </c>
      <c r="C77" s="4" t="str">
        <f>IF(ISNUMBER(SEARCH("World",'RawData'!C83)),"",'RawData'!C83)</f>
        <v>United States</v>
      </c>
      <c r="D77" s="4" t="str">
        <f>IF(ISNUMBER(SEARCH("World",'RawData'!C83)),"",'RawData'!D83)</f>
        <v>Refinery production</v>
      </c>
      <c r="E77" s="4" t="str">
        <f>IF(ISNUMBER(SEARCH("World",'RawData'!C83)),"",IF('RawData'!E83="WT001","kg",IF('RawData'!E83="WT002","ton",IF('RawData'!E83="WT003","k ton",""))))</f>
        <v>ton</v>
      </c>
      <c r="F77" s="14">
        <f>IF(ISNUMBER(SEARCH("World",'RawData'!C83)),"",'RawData'!F83)</f>
        <v>0</v>
      </c>
      <c r="G77" s="14">
        <f>IF(ISNUMBER(SEARCH("World",'RawData'!C83)),"",'RawData'!G83)</f>
        <v>0</v>
      </c>
      <c r="H77" s="14">
        <f>IF(ISNUMBER(SEARCH("World",'RawData'!C83)),"",SUMIFS('RawData'!G:G,'RawData'!B:B,'RawData'!B83,'RawData'!C:C,"*World*"))</f>
        <v>16000</v>
      </c>
      <c r="I77" s="15">
        <f>IF(ISNUMBER(SEARCH("World",'RawData'!C83)),"",IFERROR(G77/H77,"-"))</f>
        <v>0</v>
      </c>
      <c r="J77" s="7" t="str">
        <f>IF(ISNUMBER(SEARCH("World",'RawData'!C83)),"",IF(ISNUMBER(SEARCH("Other",C77)),COUNTIFS('RawData'!B:B,B77,'RawData'!C:C,"&lt;&gt;*World*"),IF(OR(G77="",G77=0),"-",SUMPRODUCT(('RawData'!B$2:B$822=B77)*('RawData'!G$2:G$822&gt;G77)*(ISERROR(SEARCH("World",'RawData'!C$2:C$822)))*(ISERROR(SEARCH("Other",'RawData'!C$2:C$822))))+1)))</f>
        <v>-</v>
      </c>
      <c r="K77" s="14">
        <f>IF(ISNUMBER(SEARCH("World",'RawData'!C83)),"",'RawData'!H83)</f>
        <v>0</v>
      </c>
      <c r="L77" s="14">
        <f>IF(ISNUMBER(SEARCH("World",'RawData'!C83)),"",SUMIFS('RawData'!H:H,'RawData'!B:B,'RawData'!B83,'RawData'!C:C,"*World*"))</f>
        <v>0</v>
      </c>
      <c r="M77" s="15" t="str">
        <f>IF(ISNUMBER(SEARCH("World",'RawData'!C83)),"",IFERROR(K77/L77,"-"))</f>
        <v>-</v>
      </c>
      <c r="N77" s="7" t="str">
        <f>IF(ISNUMBER(SEARCH("World",'RawData'!C83)),"",IF(ISNUMBER(SEARCH("Other",C77)),COUNTIFS('RawData'!B:B,B77,'RawData'!C:C,"&lt;&gt;*World*"),IF(OR(K77="",K77=0),"-",SUMPRODUCT(('RawData'!B$2:B$822=B77)*('RawData'!H$2:H$822&gt;K77)*(ISERROR(SEARCH("World",'RawData'!C$2:C$822)))*(ISERROR(SEARCH("Other",'RawData'!C$2:C$822))))+1)))</f>
        <v>-</v>
      </c>
    </row>
    <row r="78" spans="1:14" x14ac:dyDescent="0.3">
      <c r="A78" s="4" t="str">
        <f>IF(ISNUMBER(SEARCH("World",'RawData'!C85)),"",'RawData'!A85)</f>
        <v>MCS2026</v>
      </c>
      <c r="B78" s="4" t="str">
        <f>IF(ISNUMBER(SEARCH("World",'RawData'!C85)),"",'RawData'!B85)</f>
        <v xml:space="preserve">Boron </v>
      </c>
      <c r="C78" s="4" t="str">
        <f>IF(ISNUMBER(SEARCH("World",'RawData'!C85)),"",'RawData'!C85)</f>
        <v>Argentina</v>
      </c>
      <c r="D78" s="4" t="str">
        <f>IF(ISNUMBER(SEARCH("World",'RawData'!C85)),"",'RawData'!D85)</f>
        <v>Boron all types</v>
      </c>
      <c r="E78" s="4" t="str">
        <f>IF(ISNUMBER(SEARCH("World",'RawData'!C85)),"",IF('RawData'!E85="WT001","kg",IF('RawData'!E85="WT002","ton",IF('RawData'!E85="WT003","k ton",""))))</f>
        <v>k ton</v>
      </c>
      <c r="F78" s="14">
        <f>IF(ISNUMBER(SEARCH("World",'RawData'!C85)),"",'RawData'!F85)</f>
        <v>160</v>
      </c>
      <c r="G78" s="14">
        <f>IF(ISNUMBER(SEARCH("World",'RawData'!C85)),"",'RawData'!G85)</f>
        <v>170</v>
      </c>
      <c r="H78" s="14">
        <f>IF(ISNUMBER(SEARCH("World",'RawData'!C85)),"",SUMIFS('RawData'!G:G,'RawData'!B:B,'RawData'!B85,'RawData'!C:C,"*World*"))</f>
        <v>0</v>
      </c>
      <c r="I78" s="15" t="str">
        <f>IF(ISNUMBER(SEARCH("World",'RawData'!C85)),"",IFERROR(G78/H78,"-"))</f>
        <v>-</v>
      </c>
      <c r="J78" s="7">
        <f>IF(ISNUMBER(SEARCH("World",'RawData'!C85)),"",IF(ISNUMBER(SEARCH("Other",C78)),COUNTIFS('RawData'!B:B,B78,'RawData'!C:C,"&lt;&gt;*World*"),IF(OR(G78="",G78=0),"-",SUMPRODUCT(('RawData'!B$2:B$822=B78)*('RawData'!G$2:G$822&gt;G78)*(ISERROR(SEARCH("World",'RawData'!C$2:C$822)))*(ISERROR(SEARCH("Other",'RawData'!C$2:C$822))))+1)))</f>
        <v>6</v>
      </c>
      <c r="K78" s="14">
        <f>IF(ISNUMBER(SEARCH("World",'RawData'!C85)),"",'RawData'!H85)</f>
        <v>0</v>
      </c>
      <c r="L78" s="14">
        <f>IF(ISNUMBER(SEARCH("World",'RawData'!C85)),"",SUMIFS('RawData'!H:H,'RawData'!B:B,'RawData'!B85,'RawData'!C:C,"*World*"))</f>
        <v>0</v>
      </c>
      <c r="M78" s="15" t="str">
        <f>IF(ISNUMBER(SEARCH("World",'RawData'!C85)),"",IFERROR(K78/L78,"-"))</f>
        <v>-</v>
      </c>
      <c r="N78" s="7" t="str">
        <f>IF(ISNUMBER(SEARCH("World",'RawData'!C85)),"",IF(ISNUMBER(SEARCH("Other",C78)),COUNTIFS('RawData'!B:B,B78,'RawData'!C:C,"&lt;&gt;*World*"),IF(OR(K78="",K78=0),"-",SUMPRODUCT(('RawData'!B$2:B$822=B78)*('RawData'!H$2:H$822&gt;K78)*(ISERROR(SEARCH("World",'RawData'!C$2:C$822)))*(ISERROR(SEARCH("Other",'RawData'!C$2:C$822))))+1)))</f>
        <v>-</v>
      </c>
    </row>
    <row r="79" spans="1:14" x14ac:dyDescent="0.3">
      <c r="A79" s="4" t="str">
        <f>IF(ISNUMBER(SEARCH("World",'RawData'!C86)),"",'RawData'!A86)</f>
        <v>MCS2026</v>
      </c>
      <c r="B79" s="4" t="str">
        <f>IF(ISNUMBER(SEARCH("World",'RawData'!C86)),"",'RawData'!B86)</f>
        <v xml:space="preserve">Boron </v>
      </c>
      <c r="C79" s="4" t="str">
        <f>IF(ISNUMBER(SEARCH("World",'RawData'!C86)),"",'RawData'!C86)</f>
        <v>Bolivia</v>
      </c>
      <c r="D79" s="4" t="str">
        <f>IF(ISNUMBER(SEARCH("World",'RawData'!C86)),"",'RawData'!D86)</f>
        <v>Boron all types</v>
      </c>
      <c r="E79" s="4" t="str">
        <f>IF(ISNUMBER(SEARCH("World",'RawData'!C86)),"",IF('RawData'!E86="WT001","kg",IF('RawData'!E86="WT002","ton",IF('RawData'!E86="WT003","k ton",""))))</f>
        <v>k ton</v>
      </c>
      <c r="F79" s="14">
        <f>IF(ISNUMBER(SEARCH("World",'RawData'!C86)),"",'RawData'!F86)</f>
        <v>230</v>
      </c>
      <c r="G79" s="14">
        <f>IF(ISNUMBER(SEARCH("World",'RawData'!C86)),"",'RawData'!G86)</f>
        <v>380</v>
      </c>
      <c r="H79" s="14">
        <f>IF(ISNUMBER(SEARCH("World",'RawData'!C86)),"",SUMIFS('RawData'!G:G,'RawData'!B:B,'RawData'!B86,'RawData'!C:C,"*World*"))</f>
        <v>0</v>
      </c>
      <c r="I79" s="15" t="str">
        <f>IF(ISNUMBER(SEARCH("World",'RawData'!C86)),"",IFERROR(G79/H79,"-"))</f>
        <v>-</v>
      </c>
      <c r="J79" s="7">
        <f>IF(ISNUMBER(SEARCH("World",'RawData'!C86)),"",IF(ISNUMBER(SEARCH("Other",C79)),COUNTIFS('RawData'!B:B,B79,'RawData'!C:C,"&lt;&gt;*World*"),IF(OR(G79="",G79=0),"-",SUMPRODUCT(('RawData'!B$2:B$822=B79)*('RawData'!G$2:G$822&gt;G79)*(ISERROR(SEARCH("World",'RawData'!C$2:C$822)))*(ISERROR(SEARCH("Other",'RawData'!C$2:C$822))))+1)))</f>
        <v>2</v>
      </c>
      <c r="K79" s="14">
        <f>IF(ISNUMBER(SEARCH("World",'RawData'!C86)),"",'RawData'!H86)</f>
        <v>0</v>
      </c>
      <c r="L79" s="14">
        <f>IF(ISNUMBER(SEARCH("World",'RawData'!C86)),"",SUMIFS('RawData'!H:H,'RawData'!B:B,'RawData'!B86,'RawData'!C:C,"*World*"))</f>
        <v>0</v>
      </c>
      <c r="M79" s="15" t="str">
        <f>IF(ISNUMBER(SEARCH("World",'RawData'!C86)),"",IFERROR(K79/L79,"-"))</f>
        <v>-</v>
      </c>
      <c r="N79" s="7" t="str">
        <f>IF(ISNUMBER(SEARCH("World",'RawData'!C86)),"",IF(ISNUMBER(SEARCH("Other",C79)),COUNTIFS('RawData'!B:B,B79,'RawData'!C:C,"&lt;&gt;*World*"),IF(OR(K79="",K79=0),"-",SUMPRODUCT(('RawData'!B$2:B$822=B79)*('RawData'!H$2:H$822&gt;K79)*(ISERROR(SEARCH("World",'RawData'!C$2:C$822)))*(ISERROR(SEARCH("Other",'RawData'!C$2:C$822))))+1)))</f>
        <v>-</v>
      </c>
    </row>
    <row r="80" spans="1:14" x14ac:dyDescent="0.3">
      <c r="A80" s="4" t="str">
        <f>IF(ISNUMBER(SEARCH("World",'RawData'!C87)),"",'RawData'!A87)</f>
        <v>MCS2026</v>
      </c>
      <c r="B80" s="4" t="str">
        <f>IF(ISNUMBER(SEARCH("World",'RawData'!C87)),"",'RawData'!B87)</f>
        <v xml:space="preserve">Boron </v>
      </c>
      <c r="C80" s="4" t="str">
        <f>IF(ISNUMBER(SEARCH("World",'RawData'!C87)),"",'RawData'!C87)</f>
        <v>Chile</v>
      </c>
      <c r="D80" s="4" t="str">
        <f>IF(ISNUMBER(SEARCH("World",'RawData'!C87)),"",'RawData'!D87)</f>
        <v>Boron all types</v>
      </c>
      <c r="E80" s="4" t="str">
        <f>IF(ISNUMBER(SEARCH("World",'RawData'!C87)),"",IF('RawData'!E87="WT001","kg",IF('RawData'!E87="WT002","ton",IF('RawData'!E87="WT003","k ton",""))))</f>
        <v>k ton</v>
      </c>
      <c r="F80" s="14">
        <f>IF(ISNUMBER(SEARCH("World",'RawData'!C87)),"",'RawData'!F87)</f>
        <v>470</v>
      </c>
      <c r="G80" s="14">
        <f>IF(ISNUMBER(SEARCH("World",'RawData'!C87)),"",'RawData'!G87)</f>
        <v>300</v>
      </c>
      <c r="H80" s="14">
        <f>IF(ISNUMBER(SEARCH("World",'RawData'!C87)),"",SUMIFS('RawData'!G:G,'RawData'!B:B,'RawData'!B87,'RawData'!C:C,"*World*"))</f>
        <v>0</v>
      </c>
      <c r="I80" s="15" t="str">
        <f>IF(ISNUMBER(SEARCH("World",'RawData'!C87)),"",IFERROR(G80/H80,"-"))</f>
        <v>-</v>
      </c>
      <c r="J80" s="7">
        <f>IF(ISNUMBER(SEARCH("World",'RawData'!C87)),"",IF(ISNUMBER(SEARCH("Other",C80)),COUNTIFS('RawData'!B:B,B80,'RawData'!C:C,"&lt;&gt;*World*"),IF(OR(G80="",G80=0),"-",SUMPRODUCT(('RawData'!B$2:B$822=B80)*('RawData'!G$2:G$822&gt;G80)*(ISERROR(SEARCH("World",'RawData'!C$2:C$822)))*(ISERROR(SEARCH("Other",'RawData'!C$2:C$822))))+1)))</f>
        <v>3</v>
      </c>
      <c r="K80" s="14">
        <f>IF(ISNUMBER(SEARCH("World",'RawData'!C87)),"",'RawData'!H87)</f>
        <v>35000</v>
      </c>
      <c r="L80" s="14">
        <f>IF(ISNUMBER(SEARCH("World",'RawData'!C87)),"",SUMIFS('RawData'!H:H,'RawData'!B:B,'RawData'!B87,'RawData'!C:C,"*World*"))</f>
        <v>0</v>
      </c>
      <c r="M80" s="15" t="str">
        <f>IF(ISNUMBER(SEARCH("World",'RawData'!C87)),"",IFERROR(K80/L80,"-"))</f>
        <v>-</v>
      </c>
      <c r="N80" s="7">
        <f>IF(ISNUMBER(SEARCH("World",'RawData'!C87)),"",IF(ISNUMBER(SEARCH("Other",C80)),COUNTIFS('RawData'!B:B,B80,'RawData'!C:C,"&lt;&gt;*World*"),IF(OR(K80="",K80=0),"-",SUMPRODUCT(('RawData'!B$2:B$822=B80)*('RawData'!H$2:H$822&gt;K80)*(ISERROR(SEARCH("World",'RawData'!C$2:C$822)))*(ISERROR(SEARCH("Other",'RawData'!C$2:C$822))))+1)))</f>
        <v>4</v>
      </c>
    </row>
    <row r="81" spans="1:14" x14ac:dyDescent="0.3">
      <c r="A81" s="4" t="str">
        <f>IF(ISNUMBER(SEARCH("World",'RawData'!C88)),"",'RawData'!A88)</f>
        <v>MCS2026</v>
      </c>
      <c r="B81" s="4" t="str">
        <f>IF(ISNUMBER(SEARCH("World",'RawData'!C88)),"",'RawData'!B88)</f>
        <v xml:space="preserve">Boron </v>
      </c>
      <c r="C81" s="4" t="str">
        <f>IF(ISNUMBER(SEARCH("World",'RawData'!C88)),"",'RawData'!C88)</f>
        <v>China</v>
      </c>
      <c r="D81" s="4" t="str">
        <f>IF(ISNUMBER(SEARCH("World",'RawData'!C88)),"",'RawData'!D88)</f>
        <v>Boron all types</v>
      </c>
      <c r="E81" s="4" t="str">
        <f>IF(ISNUMBER(SEARCH("World",'RawData'!C88)),"",IF('RawData'!E88="WT001","kg",IF('RawData'!E88="WT002","ton",IF('RawData'!E88="WT003","k ton",""))))</f>
        <v>k ton</v>
      </c>
      <c r="F81" s="14">
        <f>IF(ISNUMBER(SEARCH("World",'RawData'!C88)),"",'RawData'!F88)</f>
        <v>210</v>
      </c>
      <c r="G81" s="14">
        <f>IF(ISNUMBER(SEARCH("World",'RawData'!C88)),"",'RawData'!G88)</f>
        <v>230</v>
      </c>
      <c r="H81" s="14">
        <f>IF(ISNUMBER(SEARCH("World",'RawData'!C88)),"",SUMIFS('RawData'!G:G,'RawData'!B:B,'RawData'!B88,'RawData'!C:C,"*World*"))</f>
        <v>0</v>
      </c>
      <c r="I81" s="15" t="str">
        <f>IF(ISNUMBER(SEARCH("World",'RawData'!C88)),"",IFERROR(G81/H81,"-"))</f>
        <v>-</v>
      </c>
      <c r="J81" s="7">
        <f>IF(ISNUMBER(SEARCH("World",'RawData'!C88)),"",IF(ISNUMBER(SEARCH("Other",C81)),COUNTIFS('RawData'!B:B,B81,'RawData'!C:C,"&lt;&gt;*World*"),IF(OR(G81="",G81=0),"-",SUMPRODUCT(('RawData'!B$2:B$822=B81)*('RawData'!G$2:G$822&gt;G81)*(ISERROR(SEARCH("World",'RawData'!C$2:C$822)))*(ISERROR(SEARCH("Other",'RawData'!C$2:C$822))))+1)))</f>
        <v>4</v>
      </c>
      <c r="K81" s="14">
        <f>IF(ISNUMBER(SEARCH("World",'RawData'!C88)),"",'RawData'!H88)</f>
        <v>9100</v>
      </c>
      <c r="L81" s="14">
        <f>IF(ISNUMBER(SEARCH("World",'RawData'!C88)),"",SUMIFS('RawData'!H:H,'RawData'!B:B,'RawData'!B88,'RawData'!C:C,"*World*"))</f>
        <v>0</v>
      </c>
      <c r="M81" s="15" t="str">
        <f>IF(ISNUMBER(SEARCH("World",'RawData'!C88)),"",IFERROR(K81/L81,"-"))</f>
        <v>-</v>
      </c>
      <c r="N81" s="7">
        <f>IF(ISNUMBER(SEARCH("World",'RawData'!C88)),"",IF(ISNUMBER(SEARCH("Other",C81)),COUNTIFS('RawData'!B:B,B81,'RawData'!C:C,"&lt;&gt;*World*"),IF(OR(K81="",K81=0),"-",SUMPRODUCT(('RawData'!B$2:B$822=B81)*('RawData'!H$2:H$822&gt;K81)*(ISERROR(SEARCH("World",'RawData'!C$2:C$822)))*(ISERROR(SEARCH("Other",'RawData'!C$2:C$822))))+1)))</f>
        <v>5</v>
      </c>
    </row>
    <row r="82" spans="1:14" x14ac:dyDescent="0.3">
      <c r="A82" s="4" t="str">
        <f>IF(ISNUMBER(SEARCH("World",'RawData'!C89)),"",'RawData'!A89)</f>
        <v>MCS2026</v>
      </c>
      <c r="B82" s="4" t="str">
        <f>IF(ISNUMBER(SEARCH("World",'RawData'!C89)),"",'RawData'!B89)</f>
        <v xml:space="preserve">Boron </v>
      </c>
      <c r="C82" s="4" t="str">
        <f>IF(ISNUMBER(SEARCH("World",'RawData'!C89)),"",'RawData'!C89)</f>
        <v>Germany</v>
      </c>
      <c r="D82" s="4" t="str">
        <f>IF(ISNUMBER(SEARCH("World",'RawData'!C89)),"",'RawData'!D89)</f>
        <v>Boron all types</v>
      </c>
      <c r="E82" s="4" t="str">
        <f>IF(ISNUMBER(SEARCH("World",'RawData'!C89)),"",IF('RawData'!E89="WT001","kg",IF('RawData'!E89="WT002","ton",IF('RawData'!E89="WT003","k ton",""))))</f>
        <v>k ton</v>
      </c>
      <c r="F82" s="14">
        <f>IF(ISNUMBER(SEARCH("World",'RawData'!C89)),"",'RawData'!F89)</f>
        <v>45</v>
      </c>
      <c r="G82" s="14">
        <f>IF(ISNUMBER(SEARCH("World",'RawData'!C89)),"",'RawData'!G89)</f>
        <v>40</v>
      </c>
      <c r="H82" s="14">
        <f>IF(ISNUMBER(SEARCH("World",'RawData'!C89)),"",SUMIFS('RawData'!G:G,'RawData'!B:B,'RawData'!B89,'RawData'!C:C,"*World*"))</f>
        <v>0</v>
      </c>
      <c r="I82" s="15" t="str">
        <f>IF(ISNUMBER(SEARCH("World",'RawData'!C89)),"",IFERROR(G82/H82,"-"))</f>
        <v>-</v>
      </c>
      <c r="J82" s="7">
        <f>IF(ISNUMBER(SEARCH("World",'RawData'!C89)),"",IF(ISNUMBER(SEARCH("Other",C82)),COUNTIFS('RawData'!B:B,B82,'RawData'!C:C,"&lt;&gt;*World*"),IF(OR(G82="",G82=0),"-",SUMPRODUCT(('RawData'!B$2:B$822=B82)*('RawData'!G$2:G$822&gt;G82)*(ISERROR(SEARCH("World",'RawData'!C$2:C$822)))*(ISERROR(SEARCH("Other",'RawData'!C$2:C$822))))+1)))</f>
        <v>8</v>
      </c>
      <c r="K82" s="14">
        <f>IF(ISNUMBER(SEARCH("World",'RawData'!C89)),"",'RawData'!H89)</f>
        <v>0</v>
      </c>
      <c r="L82" s="14">
        <f>IF(ISNUMBER(SEARCH("World",'RawData'!C89)),"",SUMIFS('RawData'!H:H,'RawData'!B:B,'RawData'!B89,'RawData'!C:C,"*World*"))</f>
        <v>0</v>
      </c>
      <c r="M82" s="15" t="str">
        <f>IF(ISNUMBER(SEARCH("World",'RawData'!C89)),"",IFERROR(K82/L82,"-"))</f>
        <v>-</v>
      </c>
      <c r="N82" s="7" t="str">
        <f>IF(ISNUMBER(SEARCH("World",'RawData'!C89)),"",IF(ISNUMBER(SEARCH("Other",C82)),COUNTIFS('RawData'!B:B,B82,'RawData'!C:C,"&lt;&gt;*World*"),IF(OR(K82="",K82=0),"-",SUMPRODUCT(('RawData'!B$2:B$822=B82)*('RawData'!H$2:H$822&gt;K82)*(ISERROR(SEARCH("World",'RawData'!C$2:C$822)))*(ISERROR(SEARCH("Other",'RawData'!C$2:C$822))))+1)))</f>
        <v>-</v>
      </c>
    </row>
    <row r="83" spans="1:14" x14ac:dyDescent="0.3">
      <c r="A83" s="4" t="str">
        <f>IF(ISNUMBER(SEARCH("World",'RawData'!C90)),"",'RawData'!A90)</f>
        <v>MCS2026</v>
      </c>
      <c r="B83" s="4" t="str">
        <f>IF(ISNUMBER(SEARCH("World",'RawData'!C90)),"",'RawData'!B90)</f>
        <v xml:space="preserve">Boron </v>
      </c>
      <c r="C83" s="4" t="str">
        <f>IF(ISNUMBER(SEARCH("World",'RawData'!C90)),"",'RawData'!C90)</f>
        <v>Peru</v>
      </c>
      <c r="D83" s="4" t="str">
        <f>IF(ISNUMBER(SEARCH("World",'RawData'!C90)),"",'RawData'!D90)</f>
        <v>Boron all types</v>
      </c>
      <c r="E83" s="4" t="str">
        <f>IF(ISNUMBER(SEARCH("World",'RawData'!C90)),"",IF('RawData'!E90="WT001","kg",IF('RawData'!E90="WT002","ton",IF('RawData'!E90="WT003","k ton",""))))</f>
        <v>k ton</v>
      </c>
      <c r="F83" s="14">
        <f>IF(ISNUMBER(SEARCH("World",'RawData'!C90)),"",'RawData'!F90)</f>
        <v>190</v>
      </c>
      <c r="G83" s="14">
        <f>IF(ISNUMBER(SEARCH("World",'RawData'!C90)),"",'RawData'!G90)</f>
        <v>220</v>
      </c>
      <c r="H83" s="14">
        <f>IF(ISNUMBER(SEARCH("World",'RawData'!C90)),"",SUMIFS('RawData'!G:G,'RawData'!B:B,'RawData'!B90,'RawData'!C:C,"*World*"))</f>
        <v>0</v>
      </c>
      <c r="I83" s="15" t="str">
        <f>IF(ISNUMBER(SEARCH("World",'RawData'!C90)),"",IFERROR(G83/H83,"-"))</f>
        <v>-</v>
      </c>
      <c r="J83" s="7">
        <f>IF(ISNUMBER(SEARCH("World",'RawData'!C90)),"",IF(ISNUMBER(SEARCH("Other",C83)),COUNTIFS('RawData'!B:B,B83,'RawData'!C:C,"&lt;&gt;*World*"),IF(OR(G83="",G83=0),"-",SUMPRODUCT(('RawData'!B$2:B$822=B83)*('RawData'!G$2:G$822&gt;G83)*(ISERROR(SEARCH("World",'RawData'!C$2:C$822)))*(ISERROR(SEARCH("Other",'RawData'!C$2:C$822))))+1)))</f>
        <v>5</v>
      </c>
      <c r="K83" s="14">
        <f>IF(ISNUMBER(SEARCH("World",'RawData'!C90)),"",'RawData'!H90)</f>
        <v>4000</v>
      </c>
      <c r="L83" s="14">
        <f>IF(ISNUMBER(SEARCH("World",'RawData'!C90)),"",SUMIFS('RawData'!H:H,'RawData'!B:B,'RawData'!B90,'RawData'!C:C,"*World*"))</f>
        <v>0</v>
      </c>
      <c r="M83" s="15" t="str">
        <f>IF(ISNUMBER(SEARCH("World",'RawData'!C90)),"",IFERROR(K83/L83,"-"))</f>
        <v>-</v>
      </c>
      <c r="N83" s="7">
        <f>IF(ISNUMBER(SEARCH("World",'RawData'!C90)),"",IF(ISNUMBER(SEARCH("Other",C83)),COUNTIFS('RawData'!B:B,B83,'RawData'!C:C,"&lt;&gt;*World*"),IF(OR(K83="",K83=0),"-",SUMPRODUCT(('RawData'!B$2:B$822=B83)*('RawData'!H$2:H$822&gt;K83)*(ISERROR(SEARCH("World",'RawData'!C$2:C$822)))*(ISERROR(SEARCH("Other",'RawData'!C$2:C$822))))+1)))</f>
        <v>6</v>
      </c>
    </row>
    <row r="84" spans="1:14" x14ac:dyDescent="0.3">
      <c r="A84" s="4" t="str">
        <f>IF(ISNUMBER(SEARCH("World",'RawData'!C91)),"",'RawData'!A91)</f>
        <v>MCS2026</v>
      </c>
      <c r="B84" s="4" t="str">
        <f>IF(ISNUMBER(SEARCH("World",'RawData'!C91)),"",'RawData'!B91)</f>
        <v xml:space="preserve">Boron </v>
      </c>
      <c r="C84" s="4" t="str">
        <f>IF(ISNUMBER(SEARCH("World",'RawData'!C91)),"",'RawData'!C91)</f>
        <v>Turkiye</v>
      </c>
      <c r="D84" s="4" t="str">
        <f>IF(ISNUMBER(SEARCH("World",'RawData'!C91)),"",'RawData'!D91)</f>
        <v>Boron all types</v>
      </c>
      <c r="E84" s="4" t="str">
        <f>IF(ISNUMBER(SEARCH("World",'RawData'!C91)),"",IF('RawData'!E91="WT001","kg",IF('RawData'!E91="WT002","ton",IF('RawData'!E91="WT003","k ton",""))))</f>
        <v>k ton</v>
      </c>
      <c r="F84" s="14">
        <f>IF(ISNUMBER(SEARCH("World",'RawData'!C91)),"",'RawData'!F91)</f>
        <v>1800</v>
      </c>
      <c r="G84" s="14">
        <f>IF(ISNUMBER(SEARCH("World",'RawData'!C91)),"",'RawData'!G91)</f>
        <v>1500</v>
      </c>
      <c r="H84" s="14">
        <f>IF(ISNUMBER(SEARCH("World",'RawData'!C91)),"",SUMIFS('RawData'!G:G,'RawData'!B:B,'RawData'!B91,'RawData'!C:C,"*World*"))</f>
        <v>0</v>
      </c>
      <c r="I84" s="15" t="str">
        <f>IF(ISNUMBER(SEARCH("World",'RawData'!C91)),"",IFERROR(G84/H84,"-"))</f>
        <v>-</v>
      </c>
      <c r="J84" s="7">
        <f>IF(ISNUMBER(SEARCH("World",'RawData'!C91)),"",IF(ISNUMBER(SEARCH("Other",C84)),COUNTIFS('RawData'!B:B,B84,'RawData'!C:C,"&lt;&gt;*World*"),IF(OR(G84="",G84=0),"-",SUMPRODUCT(('RawData'!B$2:B$822=B84)*('RawData'!G$2:G$822&gt;G84)*(ISERROR(SEARCH("World",'RawData'!C$2:C$822)))*(ISERROR(SEARCH("Other",'RawData'!C$2:C$822))))+1)))</f>
        <v>1</v>
      </c>
      <c r="K84" s="14">
        <f>IF(ISNUMBER(SEARCH("World",'RawData'!C91)),"",'RawData'!H91)</f>
        <v>950000</v>
      </c>
      <c r="L84" s="14">
        <f>IF(ISNUMBER(SEARCH("World",'RawData'!C91)),"",SUMIFS('RawData'!H:H,'RawData'!B:B,'RawData'!B91,'RawData'!C:C,"*World*"))</f>
        <v>0</v>
      </c>
      <c r="M84" s="15" t="str">
        <f>IF(ISNUMBER(SEARCH("World",'RawData'!C91)),"",IFERROR(K84/L84,"-"))</f>
        <v>-</v>
      </c>
      <c r="N84" s="7">
        <f>IF(ISNUMBER(SEARCH("World",'RawData'!C91)),"",IF(ISNUMBER(SEARCH("Other",C84)),COUNTIFS('RawData'!B:B,B84,'RawData'!C:C,"&lt;&gt;*World*"),IF(OR(K84="",K84=0),"-",SUMPRODUCT(('RawData'!B$2:B$822=B84)*('RawData'!H$2:H$822&gt;K84)*(ISERROR(SEARCH("World",'RawData'!C$2:C$822)))*(ISERROR(SEARCH("Other",'RawData'!C$2:C$822))))+1)))</f>
        <v>1</v>
      </c>
    </row>
    <row r="85" spans="1:14" x14ac:dyDescent="0.3">
      <c r="A85" s="4" t="str">
        <f>IF(ISNUMBER(SEARCH("World",'RawData'!C92)),"",'RawData'!A92)</f>
        <v>MCS2026</v>
      </c>
      <c r="B85" s="4" t="str">
        <f>IF(ISNUMBER(SEARCH("World",'RawData'!C92)),"",'RawData'!B92)</f>
        <v xml:space="preserve">Boron </v>
      </c>
      <c r="C85" s="4" t="str">
        <f>IF(ISNUMBER(SEARCH("World",'RawData'!C92)),"",'RawData'!C92)</f>
        <v xml:space="preserve">Russia </v>
      </c>
      <c r="D85" s="4" t="str">
        <f>IF(ISNUMBER(SEARCH("World",'RawData'!C92)),"",'RawData'!D92)</f>
        <v>Boron all types</v>
      </c>
      <c r="E85" s="4" t="str">
        <f>IF(ISNUMBER(SEARCH("World",'RawData'!C92)),"",IF('RawData'!E92="WT001","kg",IF('RawData'!E92="WT002","ton",IF('RawData'!E92="WT003","k ton",""))))</f>
        <v>k ton</v>
      </c>
      <c r="F85" s="14">
        <f>IF(ISNUMBER(SEARCH("World",'RawData'!C92)),"",'RawData'!F92)</f>
        <v>90</v>
      </c>
      <c r="G85" s="14">
        <f>IF(ISNUMBER(SEARCH("World",'RawData'!C92)),"",'RawData'!G92)</f>
        <v>80</v>
      </c>
      <c r="H85" s="14">
        <f>IF(ISNUMBER(SEARCH("World",'RawData'!C92)),"",SUMIFS('RawData'!G:G,'RawData'!B:B,'RawData'!B92,'RawData'!C:C,"*World*"))</f>
        <v>0</v>
      </c>
      <c r="I85" s="15" t="str">
        <f>IF(ISNUMBER(SEARCH("World",'RawData'!C92)),"",IFERROR(G85/H85,"-"))</f>
        <v>-</v>
      </c>
      <c r="J85" s="7">
        <f>IF(ISNUMBER(SEARCH("World",'RawData'!C92)),"",IF(ISNUMBER(SEARCH("Other",C85)),COUNTIFS('RawData'!B:B,B85,'RawData'!C:C,"&lt;&gt;*World*"),IF(OR(G85="",G85=0),"-",SUMPRODUCT(('RawData'!B$2:B$822=B85)*('RawData'!G$2:G$822&gt;G85)*(ISERROR(SEARCH("World",'RawData'!C$2:C$822)))*(ISERROR(SEARCH("Other",'RawData'!C$2:C$822))))+1)))</f>
        <v>7</v>
      </c>
      <c r="K85" s="14">
        <f>IF(ISNUMBER(SEARCH("World",'RawData'!C92)),"",'RawData'!H92)</f>
        <v>40000</v>
      </c>
      <c r="L85" s="14">
        <f>IF(ISNUMBER(SEARCH("World",'RawData'!C92)),"",SUMIFS('RawData'!H:H,'RawData'!B:B,'RawData'!B92,'RawData'!C:C,"*World*"))</f>
        <v>0</v>
      </c>
      <c r="M85" s="15" t="str">
        <f>IF(ISNUMBER(SEARCH("World",'RawData'!C92)),"",IFERROR(K85/L85,"-"))</f>
        <v>-</v>
      </c>
      <c r="N85" s="7">
        <f>IF(ISNUMBER(SEARCH("World",'RawData'!C92)),"",IF(ISNUMBER(SEARCH("Other",C85)),COUNTIFS('RawData'!B:B,B85,'RawData'!C:C,"&lt;&gt;*World*"),IF(OR(K85="",K85=0),"-",SUMPRODUCT(('RawData'!B$2:B$822=B85)*('RawData'!H$2:H$822&gt;K85)*(ISERROR(SEARCH("World",'RawData'!C$2:C$822)))*(ISERROR(SEARCH("Other",'RawData'!C$2:C$822))))+1)))</f>
        <v>3</v>
      </c>
    </row>
    <row r="86" spans="1:14" x14ac:dyDescent="0.3">
      <c r="A86" s="4" t="str">
        <f>IF(ISNUMBER(SEARCH("World",'RawData'!C93)),"",'RawData'!A93)</f>
        <v>MCS2026</v>
      </c>
      <c r="B86" s="4" t="str">
        <f>IF(ISNUMBER(SEARCH("World",'RawData'!C93)),"",'RawData'!B93)</f>
        <v xml:space="preserve">Boron </v>
      </c>
      <c r="C86" s="4" t="str">
        <f>IF(ISNUMBER(SEARCH("World",'RawData'!C93)),"",'RawData'!C93)</f>
        <v>United States</v>
      </c>
      <c r="D86" s="4" t="str">
        <f>IF(ISNUMBER(SEARCH("World",'RawData'!C93)),"",'RawData'!D93)</f>
        <v>Boron all types</v>
      </c>
      <c r="E86" s="4" t="str">
        <f>IF(ISNUMBER(SEARCH("World",'RawData'!C93)),"",IF('RawData'!E93="WT001","kg",IF('RawData'!E93="WT002","ton",IF('RawData'!E93="WT003","k ton",""))))</f>
        <v>k ton</v>
      </c>
      <c r="F86" s="14">
        <f>IF(ISNUMBER(SEARCH("World",'RawData'!C93)),"",'RawData'!F93)</f>
        <v>0</v>
      </c>
      <c r="G86" s="14">
        <f>IF(ISNUMBER(SEARCH("World",'RawData'!C93)),"",'RawData'!G93)</f>
        <v>0</v>
      </c>
      <c r="H86" s="14">
        <f>IF(ISNUMBER(SEARCH("World",'RawData'!C93)),"",SUMIFS('RawData'!G:G,'RawData'!B:B,'RawData'!B93,'RawData'!C:C,"*World*"))</f>
        <v>0</v>
      </c>
      <c r="I86" s="15" t="str">
        <f>IF(ISNUMBER(SEARCH("World",'RawData'!C93)),"",IFERROR(G86/H86,"-"))</f>
        <v>-</v>
      </c>
      <c r="J86" s="7" t="str">
        <f>IF(ISNUMBER(SEARCH("World",'RawData'!C93)),"",IF(ISNUMBER(SEARCH("Other",C86)),COUNTIFS('RawData'!B:B,B86,'RawData'!C:C,"&lt;&gt;*World*"),IF(OR(G86="",G86=0),"-",SUMPRODUCT(('RawData'!B$2:B$822=B86)*('RawData'!G$2:G$822&gt;G86)*(ISERROR(SEARCH("World",'RawData'!C$2:C$822)))*(ISERROR(SEARCH("Other",'RawData'!C$2:C$822))))+1)))</f>
        <v>-</v>
      </c>
      <c r="K86" s="14">
        <f>IF(ISNUMBER(SEARCH("World",'RawData'!C93)),"",'RawData'!H93)</f>
        <v>48000</v>
      </c>
      <c r="L86" s="14">
        <f>IF(ISNUMBER(SEARCH("World",'RawData'!C93)),"",SUMIFS('RawData'!H:H,'RawData'!B:B,'RawData'!B93,'RawData'!C:C,"*World*"))</f>
        <v>0</v>
      </c>
      <c r="M86" s="15" t="str">
        <f>IF(ISNUMBER(SEARCH("World",'RawData'!C93)),"",IFERROR(K86/L86,"-"))</f>
        <v>-</v>
      </c>
      <c r="N86" s="7">
        <f>IF(ISNUMBER(SEARCH("World",'RawData'!C93)),"",IF(ISNUMBER(SEARCH("Other",C86)),COUNTIFS('RawData'!B:B,B86,'RawData'!C:C,"&lt;&gt;*World*"),IF(OR(K86="",K86=0),"-",SUMPRODUCT(('RawData'!B$2:B$822=B86)*('RawData'!H$2:H$822&gt;K86)*(ISERROR(SEARCH("World",'RawData'!C$2:C$822)))*(ISERROR(SEARCH("Other",'RawData'!C$2:C$822))))+1)))</f>
        <v>2</v>
      </c>
    </row>
    <row r="87" spans="1:14" x14ac:dyDescent="0.3">
      <c r="A87" s="4" t="str">
        <f>IF(ISNUMBER(SEARCH("World",'RawData'!C95)),"",'RawData'!A95)</f>
        <v>MCS2026</v>
      </c>
      <c r="B87" s="4" t="str">
        <f>IF(ISNUMBER(SEARCH("World",'RawData'!C95)),"",'RawData'!B95)</f>
        <v xml:space="preserve">Bromine </v>
      </c>
      <c r="C87" s="4" t="str">
        <f>IF(ISNUMBER(SEARCH("World",'RawData'!C95)),"",'RawData'!C95)</f>
        <v>China</v>
      </c>
      <c r="D87" s="4" t="str">
        <f>IF(ISNUMBER(SEARCH("World",'RawData'!C95)),"",'RawData'!D95)</f>
        <v>Production, bromine content, estimated</v>
      </c>
      <c r="E87" s="4" t="str">
        <f>IF(ISNUMBER(SEARCH("World",'RawData'!C95)),"",IF('RawData'!E95="WT001","kg",IF('RawData'!E95="WT002","ton",IF('RawData'!E95="WT003","k ton",""))))</f>
        <v>ton</v>
      </c>
      <c r="F87" s="14">
        <f>IF(ISNUMBER(SEARCH("World",'RawData'!C95)),"",'RawData'!F95)</f>
        <v>100000</v>
      </c>
      <c r="G87" s="14">
        <f>IF(ISNUMBER(SEARCH("World",'RawData'!C95)),"",'RawData'!G95)</f>
        <v>90000</v>
      </c>
      <c r="H87" s="14">
        <f>IF(ISNUMBER(SEARCH("World",'RawData'!C95)),"",SUMIFS('RawData'!G:G,'RawData'!B:B,'RawData'!B95,'RawData'!C:C,"*World*"))</f>
        <v>430000</v>
      </c>
      <c r="I87" s="15">
        <f>IF(ISNUMBER(SEARCH("World",'RawData'!C95)),"",IFERROR(G87/H87,"-"))</f>
        <v>0.20930232558139536</v>
      </c>
      <c r="J87" s="7">
        <f>IF(ISNUMBER(SEARCH("World",'RawData'!C95)),"",IF(ISNUMBER(SEARCH("Other",C87)),COUNTIFS('RawData'!B:B,B87,'RawData'!C:C,"&lt;&gt;*World*"),IF(OR(G87="",G87=0),"-",SUMPRODUCT(('RawData'!B$2:B$822=B87)*('RawData'!G$2:G$822&gt;G87)*(ISERROR(SEARCH("World",'RawData'!C$2:C$822)))*(ISERROR(SEARCH("Other",'RawData'!C$2:C$822))))+1)))</f>
        <v>3</v>
      </c>
      <c r="K87" s="14">
        <f>IF(ISNUMBER(SEARCH("World",'RawData'!C95)),"",'RawData'!H95)</f>
        <v>130000</v>
      </c>
      <c r="L87" s="14">
        <f>IF(ISNUMBER(SEARCH("World",'RawData'!C95)),"",SUMIFS('RawData'!H:H,'RawData'!B:B,'RawData'!B95,'RawData'!C:C,"*World*"))</f>
        <v>0</v>
      </c>
      <c r="M87" s="15" t="str">
        <f>IF(ISNUMBER(SEARCH("World",'RawData'!C95)),"",IFERROR(K87/L87,"-"))</f>
        <v>-</v>
      </c>
      <c r="N87" s="7">
        <f>IF(ISNUMBER(SEARCH("World",'RawData'!C95)),"",IF(ISNUMBER(SEARCH("Other",C87)),COUNTIFS('RawData'!B:B,B87,'RawData'!C:C,"&lt;&gt;*World*"),IF(OR(K87="",K87=0),"-",SUMPRODUCT(('RawData'!B$2:B$822=B87)*('RawData'!H$2:H$822&gt;K87)*(ISERROR(SEARCH("World",'RawData'!C$2:C$822)))*(ISERROR(SEARCH("Other",'RawData'!C$2:C$822))))+1)))</f>
        <v>3</v>
      </c>
    </row>
    <row r="88" spans="1:14" x14ac:dyDescent="0.3">
      <c r="A88" s="4" t="str">
        <f>IF(ISNUMBER(SEARCH("World",'RawData'!C96)),"",'RawData'!A96)</f>
        <v>MCS2026</v>
      </c>
      <c r="B88" s="4" t="str">
        <f>IF(ISNUMBER(SEARCH("World",'RawData'!C96)),"",'RawData'!B96)</f>
        <v xml:space="preserve">Bromine </v>
      </c>
      <c r="C88" s="4" t="str">
        <f>IF(ISNUMBER(SEARCH("World",'RawData'!C96)),"",'RawData'!C96)</f>
        <v>India</v>
      </c>
      <c r="D88" s="4" t="str">
        <f>IF(ISNUMBER(SEARCH("World",'RawData'!C96)),"",'RawData'!D96)</f>
        <v>Production, bromine content, estimated</v>
      </c>
      <c r="E88" s="4" t="str">
        <f>IF(ISNUMBER(SEARCH("World",'RawData'!C96)),"",IF('RawData'!E96="WT001","kg",IF('RawData'!E96="WT002","ton",IF('RawData'!E96="WT003","k ton",""))))</f>
        <v>ton</v>
      </c>
      <c r="F88" s="14">
        <f>IF(ISNUMBER(SEARCH("World",'RawData'!C96)),"",'RawData'!F96)</f>
        <v>7000</v>
      </c>
      <c r="G88" s="14">
        <f>IF(ISNUMBER(SEARCH("World",'RawData'!C96)),"",'RawData'!G96)</f>
        <v>7000</v>
      </c>
      <c r="H88" s="14">
        <f>IF(ISNUMBER(SEARCH("World",'RawData'!C96)),"",SUMIFS('RawData'!G:G,'RawData'!B:B,'RawData'!B96,'RawData'!C:C,"*World*"))</f>
        <v>430000</v>
      </c>
      <c r="I88" s="15">
        <f>IF(ISNUMBER(SEARCH("World",'RawData'!C96)),"",IFERROR(G88/H88,"-"))</f>
        <v>1.627906976744186E-2</v>
      </c>
      <c r="J88" s="7">
        <f>IF(ISNUMBER(SEARCH("World",'RawData'!C96)),"",IF(ISNUMBER(SEARCH("Other",C88)),COUNTIFS('RawData'!B:B,B88,'RawData'!C:C,"&lt;&gt;*World*"),IF(OR(G88="",G88=0),"-",SUMPRODUCT(('RawData'!B$2:B$822=B88)*('RawData'!G$2:G$822&gt;G88)*(ISERROR(SEARCH("World",'RawData'!C$2:C$822)))*(ISERROR(SEARCH("Other",'RawData'!C$2:C$822))))+1)))</f>
        <v>5</v>
      </c>
      <c r="K88" s="14">
        <f>IF(ISNUMBER(SEARCH("World",'RawData'!C96)),"",'RawData'!H96)</f>
        <v>0</v>
      </c>
      <c r="L88" s="14">
        <f>IF(ISNUMBER(SEARCH("World",'RawData'!C96)),"",SUMIFS('RawData'!H:H,'RawData'!B:B,'RawData'!B96,'RawData'!C:C,"*World*"))</f>
        <v>0</v>
      </c>
      <c r="M88" s="15" t="str">
        <f>IF(ISNUMBER(SEARCH("World",'RawData'!C96)),"",IFERROR(K88/L88,"-"))</f>
        <v>-</v>
      </c>
      <c r="N88" s="7" t="str">
        <f>IF(ISNUMBER(SEARCH("World",'RawData'!C96)),"",IF(ISNUMBER(SEARCH("Other",C88)),COUNTIFS('RawData'!B:B,B88,'RawData'!C:C,"&lt;&gt;*World*"),IF(OR(K88="",K88=0),"-",SUMPRODUCT(('RawData'!B$2:B$822=B88)*('RawData'!H$2:H$822&gt;K88)*(ISERROR(SEARCH("World",'RawData'!C$2:C$822)))*(ISERROR(SEARCH("Other",'RawData'!C$2:C$822))))+1)))</f>
        <v>-</v>
      </c>
    </row>
    <row r="89" spans="1:14" x14ac:dyDescent="0.3">
      <c r="A89" s="4" t="str">
        <f>IF(ISNUMBER(SEARCH("World",'RawData'!C97)),"",'RawData'!A97)</f>
        <v>MCS2026</v>
      </c>
      <c r="B89" s="4" t="str">
        <f>IF(ISNUMBER(SEARCH("World",'RawData'!C97)),"",'RawData'!B97)</f>
        <v xml:space="preserve">Bromine </v>
      </c>
      <c r="C89" s="4" t="str">
        <f>IF(ISNUMBER(SEARCH("World",'RawData'!C97)),"",'RawData'!C97)</f>
        <v>Israel</v>
      </c>
      <c r="D89" s="4" t="str">
        <f>IF(ISNUMBER(SEARCH("World",'RawData'!C97)),"",'RawData'!D97)</f>
        <v>Production, bromine content, estimated</v>
      </c>
      <c r="E89" s="4" t="str">
        <f>IF(ISNUMBER(SEARCH("World",'RawData'!C97)),"",IF('RawData'!E97="WT001","kg",IF('RawData'!E97="WT002","ton",IF('RawData'!E97="WT003","k ton",""))))</f>
        <v>ton</v>
      </c>
      <c r="F89" s="14">
        <f>IF(ISNUMBER(SEARCH("World",'RawData'!C97)),"",'RawData'!F97)</f>
        <v>190000</v>
      </c>
      <c r="G89" s="14">
        <f>IF(ISNUMBER(SEARCH("World",'RawData'!C97)),"",'RawData'!G97)</f>
        <v>200000</v>
      </c>
      <c r="H89" s="14">
        <f>IF(ISNUMBER(SEARCH("World",'RawData'!C97)),"",SUMIFS('RawData'!G:G,'RawData'!B:B,'RawData'!B97,'RawData'!C:C,"*World*"))</f>
        <v>430000</v>
      </c>
      <c r="I89" s="15">
        <f>IF(ISNUMBER(SEARCH("World",'RawData'!C97)),"",IFERROR(G89/H89,"-"))</f>
        <v>0.46511627906976744</v>
      </c>
      <c r="J89" s="7">
        <f>IF(ISNUMBER(SEARCH("World",'RawData'!C97)),"",IF(ISNUMBER(SEARCH("Other",C89)),COUNTIFS('RawData'!B:B,B89,'RawData'!C:C,"&lt;&gt;*World*"),IF(OR(G89="",G89=0),"-",SUMPRODUCT(('RawData'!B$2:B$822=B89)*('RawData'!G$2:G$822&gt;G89)*(ISERROR(SEARCH("World",'RawData'!C$2:C$822)))*(ISERROR(SEARCH("Other",'RawData'!C$2:C$822))))+1)))</f>
        <v>1</v>
      </c>
      <c r="K89" s="14">
        <f>IF(ISNUMBER(SEARCH("World",'RawData'!C97)),"",'RawData'!H97)</f>
        <v>0</v>
      </c>
      <c r="L89" s="14">
        <f>IF(ISNUMBER(SEARCH("World",'RawData'!C97)),"",SUMIFS('RawData'!H:H,'RawData'!B:B,'RawData'!B97,'RawData'!C:C,"*World*"))</f>
        <v>0</v>
      </c>
      <c r="M89" s="15" t="str">
        <f>IF(ISNUMBER(SEARCH("World",'RawData'!C97)),"",IFERROR(K89/L89,"-"))</f>
        <v>-</v>
      </c>
      <c r="N89" s="7" t="str">
        <f>IF(ISNUMBER(SEARCH("World",'RawData'!C97)),"",IF(ISNUMBER(SEARCH("Other",C89)),COUNTIFS('RawData'!B:B,B89,'RawData'!C:C,"&lt;&gt;*World*"),IF(OR(K89="",K89=0),"-",SUMPRODUCT(('RawData'!B$2:B$822=B89)*('RawData'!H$2:H$822&gt;K89)*(ISERROR(SEARCH("World",'RawData'!C$2:C$822)))*(ISERROR(SEARCH("Other",'RawData'!C$2:C$822))))+1)))</f>
        <v>-</v>
      </c>
    </row>
    <row r="90" spans="1:14" x14ac:dyDescent="0.3">
      <c r="A90" s="4" t="str">
        <f>IF(ISNUMBER(SEARCH("World",'RawData'!C98)),"",'RawData'!A98)</f>
        <v>MCS2026</v>
      </c>
      <c r="B90" s="4" t="str">
        <f>IF(ISNUMBER(SEARCH("World",'RawData'!C98)),"",'RawData'!B98)</f>
        <v xml:space="preserve">Bromine </v>
      </c>
      <c r="C90" s="4" t="str">
        <f>IF(ISNUMBER(SEARCH("World",'RawData'!C98)),"",'RawData'!C98)</f>
        <v>Japan</v>
      </c>
      <c r="D90" s="4" t="str">
        <f>IF(ISNUMBER(SEARCH("World",'RawData'!C98)),"",'RawData'!D98)</f>
        <v>Production, bromine content, estimated</v>
      </c>
      <c r="E90" s="4" t="str">
        <f>IF(ISNUMBER(SEARCH("World",'RawData'!C98)),"",IF('RawData'!E98="WT001","kg",IF('RawData'!E98="WT002","ton",IF('RawData'!E98="WT003","k ton",""))))</f>
        <v>ton</v>
      </c>
      <c r="F90" s="14">
        <f>IF(ISNUMBER(SEARCH("World",'RawData'!C98)),"",'RawData'!F98)</f>
        <v>20000</v>
      </c>
      <c r="G90" s="14">
        <f>IF(ISNUMBER(SEARCH("World",'RawData'!C98)),"",'RawData'!G98)</f>
        <v>20000</v>
      </c>
      <c r="H90" s="14">
        <f>IF(ISNUMBER(SEARCH("World",'RawData'!C98)),"",SUMIFS('RawData'!G:G,'RawData'!B:B,'RawData'!B98,'RawData'!C:C,"*World*"))</f>
        <v>430000</v>
      </c>
      <c r="I90" s="15">
        <f>IF(ISNUMBER(SEARCH("World",'RawData'!C98)),"",IFERROR(G90/H90,"-"))</f>
        <v>4.6511627906976744E-2</v>
      </c>
      <c r="J90" s="7">
        <f>IF(ISNUMBER(SEARCH("World",'RawData'!C98)),"",IF(ISNUMBER(SEARCH("Other",C90)),COUNTIFS('RawData'!B:B,B90,'RawData'!C:C,"&lt;&gt;*World*"),IF(OR(G90="",G90=0),"-",SUMPRODUCT(('RawData'!B$2:B$822=B90)*('RawData'!G$2:G$822&gt;G90)*(ISERROR(SEARCH("World",'RawData'!C$2:C$822)))*(ISERROR(SEARCH("Other",'RawData'!C$2:C$822))))+1)))</f>
        <v>4</v>
      </c>
      <c r="K90" s="14">
        <f>IF(ISNUMBER(SEARCH("World",'RawData'!C98)),"",'RawData'!H98)</f>
        <v>0</v>
      </c>
      <c r="L90" s="14">
        <f>IF(ISNUMBER(SEARCH("World",'RawData'!C98)),"",SUMIFS('RawData'!H:H,'RawData'!B:B,'RawData'!B98,'RawData'!C:C,"*World*"))</f>
        <v>0</v>
      </c>
      <c r="M90" s="15" t="str">
        <f>IF(ISNUMBER(SEARCH("World",'RawData'!C98)),"",IFERROR(K90/L90,"-"))</f>
        <v>-</v>
      </c>
      <c r="N90" s="7" t="str">
        <f>IF(ISNUMBER(SEARCH("World",'RawData'!C98)),"",IF(ISNUMBER(SEARCH("Other",C90)),COUNTIFS('RawData'!B:B,B90,'RawData'!C:C,"&lt;&gt;*World*"),IF(OR(K90="",K90=0),"-",SUMPRODUCT(('RawData'!B$2:B$822=B90)*('RawData'!H$2:H$822&gt;K90)*(ISERROR(SEARCH("World",'RawData'!C$2:C$822)))*(ISERROR(SEARCH("Other",'RawData'!C$2:C$822))))+1)))</f>
        <v>-</v>
      </c>
    </row>
    <row r="91" spans="1:14" x14ac:dyDescent="0.3">
      <c r="A91" s="4" t="str">
        <f>IF(ISNUMBER(SEARCH("World",'RawData'!C99)),"",'RawData'!A99)</f>
        <v>MCS2026</v>
      </c>
      <c r="B91" s="4" t="str">
        <f>IF(ISNUMBER(SEARCH("World",'RawData'!C99)),"",'RawData'!B99)</f>
        <v xml:space="preserve">Bromine </v>
      </c>
      <c r="C91" s="4" t="str">
        <f>IF(ISNUMBER(SEARCH("World",'RawData'!C99)),"",'RawData'!C99)</f>
        <v>Jordan</v>
      </c>
      <c r="D91" s="4" t="str">
        <f>IF(ISNUMBER(SEARCH("World",'RawData'!C99)),"",'RawData'!D99)</f>
        <v>Production, bromine content, estimated</v>
      </c>
      <c r="E91" s="4" t="str">
        <f>IF(ISNUMBER(SEARCH("World",'RawData'!C99)),"",IF('RawData'!E99="WT001","kg",IF('RawData'!E99="WT002","ton",IF('RawData'!E99="WT003","k ton",""))))</f>
        <v>ton</v>
      </c>
      <c r="F91" s="14">
        <f>IF(ISNUMBER(SEARCH("World",'RawData'!C99)),"",'RawData'!F99)</f>
        <v>112000</v>
      </c>
      <c r="G91" s="14">
        <f>IF(ISNUMBER(SEARCH("World",'RawData'!C99)),"",'RawData'!G99)</f>
        <v>110000</v>
      </c>
      <c r="H91" s="14">
        <f>IF(ISNUMBER(SEARCH("World",'RawData'!C99)),"",SUMIFS('RawData'!G:G,'RawData'!B:B,'RawData'!B99,'RawData'!C:C,"*World*"))</f>
        <v>430000</v>
      </c>
      <c r="I91" s="15">
        <f>IF(ISNUMBER(SEARCH("World",'RawData'!C99)),"",IFERROR(G91/H91,"-"))</f>
        <v>0.2558139534883721</v>
      </c>
      <c r="J91" s="7">
        <f>IF(ISNUMBER(SEARCH("World",'RawData'!C99)),"",IF(ISNUMBER(SEARCH("Other",C91)),COUNTIFS('RawData'!B:B,B91,'RawData'!C:C,"&lt;&gt;*World*"),IF(OR(G91="",G91=0),"-",SUMPRODUCT(('RawData'!B$2:B$822=B91)*('RawData'!G$2:G$822&gt;G91)*(ISERROR(SEARCH("World",'RawData'!C$2:C$822)))*(ISERROR(SEARCH("Other",'RawData'!C$2:C$822))))+1)))</f>
        <v>2</v>
      </c>
      <c r="K91" s="14">
        <f>IF(ISNUMBER(SEARCH("World",'RawData'!C99)),"",'RawData'!H99)</f>
        <v>360000</v>
      </c>
      <c r="L91" s="14">
        <f>IF(ISNUMBER(SEARCH("World",'RawData'!C99)),"",SUMIFS('RawData'!H:H,'RawData'!B:B,'RawData'!B99,'RawData'!C:C,"*World*"))</f>
        <v>0</v>
      </c>
      <c r="M91" s="15" t="str">
        <f>IF(ISNUMBER(SEARCH("World",'RawData'!C99)),"",IFERROR(K91/L91,"-"))</f>
        <v>-</v>
      </c>
      <c r="N91" s="7">
        <f>IF(ISNUMBER(SEARCH("World",'RawData'!C99)),"",IF(ISNUMBER(SEARCH("Other",C91)),COUNTIFS('RawData'!B:B,B91,'RawData'!C:C,"&lt;&gt;*World*"),IF(OR(K91="",K91=0),"-",SUMPRODUCT(('RawData'!B$2:B$822=B91)*('RawData'!H$2:H$822&gt;K91)*(ISERROR(SEARCH("World",'RawData'!C$2:C$822)))*(ISERROR(SEARCH("Other",'RawData'!C$2:C$822))))+1)))</f>
        <v>2</v>
      </c>
    </row>
    <row r="92" spans="1:14" x14ac:dyDescent="0.3">
      <c r="A92" s="4" t="str">
        <f>IF(ISNUMBER(SEARCH("World",'RawData'!C100)),"",'RawData'!A100)</f>
        <v>MCS2026</v>
      </c>
      <c r="B92" s="4" t="str">
        <f>IF(ISNUMBER(SEARCH("World",'RawData'!C100)),"",'RawData'!B100)</f>
        <v xml:space="preserve">Bromine </v>
      </c>
      <c r="C92" s="4" t="str">
        <f>IF(ISNUMBER(SEARCH("World",'RawData'!C100)),"",'RawData'!C100)</f>
        <v>Ukraine</v>
      </c>
      <c r="D92" s="4" t="str">
        <f>IF(ISNUMBER(SEARCH("World",'RawData'!C100)),"",'RawData'!D100)</f>
        <v>Production, bromine content, estimated</v>
      </c>
      <c r="E92" s="4" t="str">
        <f>IF(ISNUMBER(SEARCH("World",'RawData'!C100)),"",IF('RawData'!E100="WT001","kg",IF('RawData'!E100="WT002","ton",IF('RawData'!E100="WT003","k ton",""))))</f>
        <v>ton</v>
      </c>
      <c r="F92" s="14">
        <f>IF(ISNUMBER(SEARCH("World",'RawData'!C100)),"",'RawData'!F100)</f>
        <v>11000</v>
      </c>
      <c r="G92" s="14">
        <f>IF(ISNUMBER(SEARCH("World",'RawData'!C100)),"",'RawData'!G100)</f>
        <v>6000</v>
      </c>
      <c r="H92" s="14">
        <f>IF(ISNUMBER(SEARCH("World",'RawData'!C100)),"",SUMIFS('RawData'!G:G,'RawData'!B:B,'RawData'!B100,'RawData'!C:C,"*World*"))</f>
        <v>430000</v>
      </c>
      <c r="I92" s="15">
        <f>IF(ISNUMBER(SEARCH("World",'RawData'!C100)),"",IFERROR(G92/H92,"-"))</f>
        <v>1.3953488372093023E-2</v>
      </c>
      <c r="J92" s="7">
        <f>IF(ISNUMBER(SEARCH("World",'RawData'!C100)),"",IF(ISNUMBER(SEARCH("Other",C92)),COUNTIFS('RawData'!B:B,B92,'RawData'!C:C,"&lt;&gt;*World*"),IF(OR(G92="",G92=0),"-",SUMPRODUCT(('RawData'!B$2:B$822=B92)*('RawData'!G$2:G$822&gt;G92)*(ISERROR(SEARCH("World",'RawData'!C$2:C$822)))*(ISERROR(SEARCH("Other",'RawData'!C$2:C$822))))+1)))</f>
        <v>6</v>
      </c>
      <c r="K92" s="14">
        <f>IF(ISNUMBER(SEARCH("World",'RawData'!C100)),"",'RawData'!H100)</f>
        <v>0</v>
      </c>
      <c r="L92" s="14">
        <f>IF(ISNUMBER(SEARCH("World",'RawData'!C100)),"",SUMIFS('RawData'!H:H,'RawData'!B:B,'RawData'!B100,'RawData'!C:C,"*World*"))</f>
        <v>0</v>
      </c>
      <c r="M92" s="15" t="str">
        <f>IF(ISNUMBER(SEARCH("World",'RawData'!C100)),"",IFERROR(K92/L92,"-"))</f>
        <v>-</v>
      </c>
      <c r="N92" s="7" t="str">
        <f>IF(ISNUMBER(SEARCH("World",'RawData'!C100)),"",IF(ISNUMBER(SEARCH("Other",C92)),COUNTIFS('RawData'!B:B,B92,'RawData'!C:C,"&lt;&gt;*World*"),IF(OR(K92="",K92=0),"-",SUMPRODUCT(('RawData'!B$2:B$822=B92)*('RawData'!H$2:H$822&gt;K92)*(ISERROR(SEARCH("World",'RawData'!C$2:C$822)))*(ISERROR(SEARCH("Other",'RawData'!C$2:C$822))))+1)))</f>
        <v>-</v>
      </c>
    </row>
    <row r="93" spans="1:14" x14ac:dyDescent="0.3">
      <c r="A93" s="4" t="str">
        <f>IF(ISNUMBER(SEARCH("World",'RawData'!C101)),"",'RawData'!A101)</f>
        <v>MCS2026</v>
      </c>
      <c r="B93" s="4" t="str">
        <f>IF(ISNUMBER(SEARCH("World",'RawData'!C101)),"",'RawData'!B101)</f>
        <v xml:space="preserve">Bromine </v>
      </c>
      <c r="C93" s="4" t="str">
        <f>IF(ISNUMBER(SEARCH("World",'RawData'!C101)),"",'RawData'!C101)</f>
        <v>United States</v>
      </c>
      <c r="D93" s="4" t="str">
        <f>IF(ISNUMBER(SEARCH("World",'RawData'!C101)),"",'RawData'!D101)</f>
        <v>Production, bromine content, estimated</v>
      </c>
      <c r="E93" s="4" t="str">
        <f>IF(ISNUMBER(SEARCH("World",'RawData'!C101)),"",IF('RawData'!E101="WT001","kg",IF('RawData'!E101="WT002","ton",IF('RawData'!E101="WT003","k ton",""))))</f>
        <v>ton</v>
      </c>
      <c r="F93" s="14">
        <f>IF(ISNUMBER(SEARCH("World",'RawData'!C101)),"",'RawData'!F101)</f>
        <v>0</v>
      </c>
      <c r="G93" s="14">
        <f>IF(ISNUMBER(SEARCH("World",'RawData'!C101)),"",'RawData'!G101)</f>
        <v>0</v>
      </c>
      <c r="H93" s="14">
        <f>IF(ISNUMBER(SEARCH("World",'RawData'!C101)),"",SUMIFS('RawData'!G:G,'RawData'!B:B,'RawData'!B101,'RawData'!C:C,"*World*"))</f>
        <v>430000</v>
      </c>
      <c r="I93" s="15">
        <f>IF(ISNUMBER(SEARCH("World",'RawData'!C101)),"",IFERROR(G93/H93,"-"))</f>
        <v>0</v>
      </c>
      <c r="J93" s="7" t="str">
        <f>IF(ISNUMBER(SEARCH("World",'RawData'!C101)),"",IF(ISNUMBER(SEARCH("Other",C93)),COUNTIFS('RawData'!B:B,B93,'RawData'!C:C,"&lt;&gt;*World*"),IF(OR(G93="",G93=0),"-",SUMPRODUCT(('RawData'!B$2:B$822=B93)*('RawData'!G$2:G$822&gt;G93)*(ISERROR(SEARCH("World",'RawData'!C$2:C$822)))*(ISERROR(SEARCH("Other",'RawData'!C$2:C$822))))+1)))</f>
        <v>-</v>
      </c>
      <c r="K93" s="14">
        <f>IF(ISNUMBER(SEARCH("World",'RawData'!C101)),"",'RawData'!H101)</f>
        <v>11000000</v>
      </c>
      <c r="L93" s="14">
        <f>IF(ISNUMBER(SEARCH("World",'RawData'!C101)),"",SUMIFS('RawData'!H:H,'RawData'!B:B,'RawData'!B101,'RawData'!C:C,"*World*"))</f>
        <v>0</v>
      </c>
      <c r="M93" s="15" t="str">
        <f>IF(ISNUMBER(SEARCH("World",'RawData'!C101)),"",IFERROR(K93/L93,"-"))</f>
        <v>-</v>
      </c>
      <c r="N93" s="7">
        <f>IF(ISNUMBER(SEARCH("World",'RawData'!C101)),"",IF(ISNUMBER(SEARCH("Other",C93)),COUNTIFS('RawData'!B:B,B93,'RawData'!C:C,"&lt;&gt;*World*"),IF(OR(K93="",K93=0),"-",SUMPRODUCT(('RawData'!B$2:B$822=B93)*('RawData'!H$2:H$822&gt;K93)*(ISERROR(SEARCH("World",'RawData'!C$2:C$822)))*(ISERROR(SEARCH("Other",'RawData'!C$2:C$822))))+1)))</f>
        <v>1</v>
      </c>
    </row>
    <row r="94" spans="1:14" x14ac:dyDescent="0.3">
      <c r="A94" s="4" t="str">
        <f>IF(ISNUMBER(SEARCH("World",'RawData'!C103)),"",'RawData'!A103)</f>
        <v>MCS2026</v>
      </c>
      <c r="B94" s="4" t="str">
        <f>IF(ISNUMBER(SEARCH("World",'RawData'!C103)),"",'RawData'!B103)</f>
        <v xml:space="preserve">Cadmium </v>
      </c>
      <c r="C94" s="4" t="str">
        <f>IF(ISNUMBER(SEARCH("World",'RawData'!C103)),"",'RawData'!C103)</f>
        <v>Australia</v>
      </c>
      <c r="D94" s="4" t="str">
        <f>IF(ISNUMBER(SEARCH("World",'RawData'!C103)),"",'RawData'!D103)</f>
        <v>Refinery production, estimated</v>
      </c>
      <c r="E94" s="4" t="str">
        <f>IF(ISNUMBER(SEARCH("World",'RawData'!C103)),"",IF('RawData'!E103="WT001","kg",IF('RawData'!E103="WT002","ton",IF('RawData'!E103="WT003","k ton",""))))</f>
        <v>ton</v>
      </c>
      <c r="F94" s="14">
        <f>IF(ISNUMBER(SEARCH("World",'RawData'!C103)),"",'RawData'!F103)</f>
        <v>601</v>
      </c>
      <c r="G94" s="14">
        <f>IF(ISNUMBER(SEARCH("World",'RawData'!C103)),"",'RawData'!G103)</f>
        <v>600</v>
      </c>
      <c r="H94" s="14">
        <f>IF(ISNUMBER(SEARCH("World",'RawData'!C103)),"",SUMIFS('RawData'!G:G,'RawData'!B:B,'RawData'!B103,'RawData'!C:C,"*World*"))</f>
        <v>23000</v>
      </c>
      <c r="I94" s="15">
        <f>IF(ISNUMBER(SEARCH("World",'RawData'!C103)),"",IFERROR(G94/H94,"-"))</f>
        <v>2.6086956521739129E-2</v>
      </c>
      <c r="J94" s="7">
        <f>IF(ISNUMBER(SEARCH("World",'RawData'!C103)),"",IF(ISNUMBER(SEARCH("Other",C94)),COUNTIFS('RawData'!B:B,B94,'RawData'!C:C,"&lt;&gt;*World*"),IF(OR(G94="",G94=0),"-",SUMPRODUCT(('RawData'!B$2:B$822=B94)*('RawData'!G$2:G$822&gt;G94)*(ISERROR(SEARCH("World",'RawData'!C$2:C$822)))*(ISERROR(SEARCH("Other",'RawData'!C$2:C$822))))+1)))</f>
        <v>8</v>
      </c>
      <c r="K94" s="14">
        <f>IF(ISNUMBER(SEARCH("World",'RawData'!C103)),"",'RawData'!H103)</f>
        <v>0</v>
      </c>
      <c r="L94" s="14">
        <f>IF(ISNUMBER(SEARCH("World",'RawData'!C103)),"",SUMIFS('RawData'!H:H,'RawData'!B:B,'RawData'!B103,'RawData'!C:C,"*World*"))</f>
        <v>0</v>
      </c>
      <c r="M94" s="15" t="str">
        <f>IF(ISNUMBER(SEARCH("World",'RawData'!C103)),"",IFERROR(K94/L94,"-"))</f>
        <v>-</v>
      </c>
      <c r="N94" s="7" t="str">
        <f>IF(ISNUMBER(SEARCH("World",'RawData'!C103)),"",IF(ISNUMBER(SEARCH("Other",C94)),COUNTIFS('RawData'!B:B,B94,'RawData'!C:C,"&lt;&gt;*World*"),IF(OR(K94="",K94=0),"-",SUMPRODUCT(('RawData'!B$2:B$822=B94)*('RawData'!H$2:H$822&gt;K94)*(ISERROR(SEARCH("World",'RawData'!C$2:C$822)))*(ISERROR(SEARCH("Other",'RawData'!C$2:C$822))))+1)))</f>
        <v>-</v>
      </c>
    </row>
    <row r="95" spans="1:14" x14ac:dyDescent="0.3">
      <c r="A95" s="4" t="str">
        <f>IF(ISNUMBER(SEARCH("World",'RawData'!C104)),"",'RawData'!A104)</f>
        <v>MCS2026</v>
      </c>
      <c r="B95" s="4" t="str">
        <f>IF(ISNUMBER(SEARCH("World",'RawData'!C104)),"",'RawData'!B104)</f>
        <v xml:space="preserve">Cadmium </v>
      </c>
      <c r="C95" s="4" t="str">
        <f>IF(ISNUMBER(SEARCH("World",'RawData'!C104)),"",'RawData'!C104)</f>
        <v>Bulgaria</v>
      </c>
      <c r="D95" s="4" t="str">
        <f>IF(ISNUMBER(SEARCH("World",'RawData'!C104)),"",'RawData'!D104)</f>
        <v>Refinery production, estimated</v>
      </c>
      <c r="E95" s="4" t="str">
        <f>IF(ISNUMBER(SEARCH("World",'RawData'!C104)),"",IF('RawData'!E104="WT001","kg",IF('RawData'!E104="WT002","ton",IF('RawData'!E104="WT003","k ton",""))))</f>
        <v>ton</v>
      </c>
      <c r="F95" s="14">
        <f>IF(ISNUMBER(SEARCH("World",'RawData'!C104)),"",'RawData'!F104)</f>
        <v>379</v>
      </c>
      <c r="G95" s="14">
        <f>IF(ISNUMBER(SEARCH("World",'RawData'!C104)),"",'RawData'!G104)</f>
        <v>380</v>
      </c>
      <c r="H95" s="14">
        <f>IF(ISNUMBER(SEARCH("World",'RawData'!C104)),"",SUMIFS('RawData'!G:G,'RawData'!B:B,'RawData'!B104,'RawData'!C:C,"*World*"))</f>
        <v>23000</v>
      </c>
      <c r="I95" s="15">
        <f>IF(ISNUMBER(SEARCH("World",'RawData'!C104)),"",IFERROR(G95/H95,"-"))</f>
        <v>1.6521739130434782E-2</v>
      </c>
      <c r="J95" s="7">
        <f>IF(ISNUMBER(SEARCH("World",'RawData'!C104)),"",IF(ISNUMBER(SEARCH("Other",C95)),COUNTIFS('RawData'!B:B,B95,'RawData'!C:C,"&lt;&gt;*World*"),IF(OR(G95="",G95=0),"-",SUMPRODUCT(('RawData'!B$2:B$822=B95)*('RawData'!G$2:G$822&gt;G95)*(ISERROR(SEARCH("World",'RawData'!C$2:C$822)))*(ISERROR(SEARCH("Other",'RawData'!C$2:C$822))))+1)))</f>
        <v>13</v>
      </c>
      <c r="K95" s="14">
        <f>IF(ISNUMBER(SEARCH("World",'RawData'!C104)),"",'RawData'!H104)</f>
        <v>0</v>
      </c>
      <c r="L95" s="14">
        <f>IF(ISNUMBER(SEARCH("World",'RawData'!C104)),"",SUMIFS('RawData'!H:H,'RawData'!B:B,'RawData'!B104,'RawData'!C:C,"*World*"))</f>
        <v>0</v>
      </c>
      <c r="M95" s="15" t="str">
        <f>IF(ISNUMBER(SEARCH("World",'RawData'!C104)),"",IFERROR(K95/L95,"-"))</f>
        <v>-</v>
      </c>
      <c r="N95" s="7" t="str">
        <f>IF(ISNUMBER(SEARCH("World",'RawData'!C104)),"",IF(ISNUMBER(SEARCH("Other",C95)),COUNTIFS('RawData'!B:B,B95,'RawData'!C:C,"&lt;&gt;*World*"),IF(OR(K95="",K95=0),"-",SUMPRODUCT(('RawData'!B$2:B$822=B95)*('RawData'!H$2:H$822&gt;K95)*(ISERROR(SEARCH("World",'RawData'!C$2:C$822)))*(ISERROR(SEARCH("Other",'RawData'!C$2:C$822))))+1)))</f>
        <v>-</v>
      </c>
    </row>
    <row r="96" spans="1:14" x14ac:dyDescent="0.3">
      <c r="A96" s="4" t="str">
        <f>IF(ISNUMBER(SEARCH("World",'RawData'!C105)),"",'RawData'!A105)</f>
        <v>MCS2026</v>
      </c>
      <c r="B96" s="4" t="str">
        <f>IF(ISNUMBER(SEARCH("World",'RawData'!C105)),"",'RawData'!B105)</f>
        <v xml:space="preserve">Cadmium </v>
      </c>
      <c r="C96" s="4" t="str">
        <f>IF(ISNUMBER(SEARCH("World",'RawData'!C105)),"",'RawData'!C105)</f>
        <v xml:space="preserve">Canada </v>
      </c>
      <c r="D96" s="4" t="str">
        <f>IF(ISNUMBER(SEARCH("World",'RawData'!C105)),"",'RawData'!D105)</f>
        <v>Refinery production, estimated</v>
      </c>
      <c r="E96" s="4" t="str">
        <f>IF(ISNUMBER(SEARCH("World",'RawData'!C105)),"",IF('RawData'!E105="WT001","kg",IF('RawData'!E105="WT002","ton",IF('RawData'!E105="WT003","k ton",""))))</f>
        <v>ton</v>
      </c>
      <c r="F96" s="14">
        <f>IF(ISNUMBER(SEARCH("World",'RawData'!C105)),"",'RawData'!F105)</f>
        <v>1300</v>
      </c>
      <c r="G96" s="14">
        <f>IF(ISNUMBER(SEARCH("World",'RawData'!C105)),"",'RawData'!G105)</f>
        <v>1300</v>
      </c>
      <c r="H96" s="14">
        <f>IF(ISNUMBER(SEARCH("World",'RawData'!C105)),"",SUMIFS('RawData'!G:G,'RawData'!B:B,'RawData'!B105,'RawData'!C:C,"*World*"))</f>
        <v>23000</v>
      </c>
      <c r="I96" s="15">
        <f>IF(ISNUMBER(SEARCH("World",'RawData'!C105)),"",IFERROR(G96/H96,"-"))</f>
        <v>5.6521739130434782E-2</v>
      </c>
      <c r="J96" s="7">
        <f>IF(ISNUMBER(SEARCH("World",'RawData'!C105)),"",IF(ISNUMBER(SEARCH("Other",C96)),COUNTIFS('RawData'!B:B,B96,'RawData'!C:C,"&lt;&gt;*World*"),IF(OR(G96="",G96=0),"-",SUMPRODUCT(('RawData'!B$2:B$822=B96)*('RawData'!G$2:G$822&gt;G96)*(ISERROR(SEARCH("World",'RawData'!C$2:C$822)))*(ISERROR(SEARCH("Other",'RawData'!C$2:C$822))))+1)))</f>
        <v>3</v>
      </c>
      <c r="K96" s="14">
        <f>IF(ISNUMBER(SEARCH("World",'RawData'!C105)),"",'RawData'!H105)</f>
        <v>0</v>
      </c>
      <c r="L96" s="14">
        <f>IF(ISNUMBER(SEARCH("World",'RawData'!C105)),"",SUMIFS('RawData'!H:H,'RawData'!B:B,'RawData'!B105,'RawData'!C:C,"*World*"))</f>
        <v>0</v>
      </c>
      <c r="M96" s="15" t="str">
        <f>IF(ISNUMBER(SEARCH("World",'RawData'!C105)),"",IFERROR(K96/L96,"-"))</f>
        <v>-</v>
      </c>
      <c r="N96" s="7" t="str">
        <f>IF(ISNUMBER(SEARCH("World",'RawData'!C105)),"",IF(ISNUMBER(SEARCH("Other",C96)),COUNTIFS('RawData'!B:B,B96,'RawData'!C:C,"&lt;&gt;*World*"),IF(OR(K96="",K96=0),"-",SUMPRODUCT(('RawData'!B$2:B$822=B96)*('RawData'!H$2:H$822&gt;K96)*(ISERROR(SEARCH("World",'RawData'!C$2:C$822)))*(ISERROR(SEARCH("Other",'RawData'!C$2:C$822))))+1)))</f>
        <v>-</v>
      </c>
    </row>
    <row r="97" spans="1:14" x14ac:dyDescent="0.3">
      <c r="A97" s="4" t="str">
        <f>IF(ISNUMBER(SEARCH("World",'RawData'!C106)),"",'RawData'!A106)</f>
        <v>MCS2026</v>
      </c>
      <c r="B97" s="4" t="str">
        <f>IF(ISNUMBER(SEARCH("World",'RawData'!C106)),"",'RawData'!B106)</f>
        <v xml:space="preserve">Cadmium </v>
      </c>
      <c r="C97" s="4" t="str">
        <f>IF(ISNUMBER(SEARCH("World",'RawData'!C106)),"",'RawData'!C106)</f>
        <v>China</v>
      </c>
      <c r="D97" s="4" t="str">
        <f>IF(ISNUMBER(SEARCH("World",'RawData'!C106)),"",'RawData'!D106)</f>
        <v>Refinery production, estimated</v>
      </c>
      <c r="E97" s="4" t="str">
        <f>IF(ISNUMBER(SEARCH("World",'RawData'!C106)),"",IF('RawData'!E106="WT001","kg",IF('RawData'!E106="WT002","ton",IF('RawData'!E106="WT003","k ton",""))))</f>
        <v>ton</v>
      </c>
      <c r="F97" s="14">
        <f>IF(ISNUMBER(SEARCH("World",'RawData'!C106)),"",'RawData'!F106)</f>
        <v>8900</v>
      </c>
      <c r="G97" s="14">
        <f>IF(ISNUMBER(SEARCH("World",'RawData'!C106)),"",'RawData'!G106)</f>
        <v>9500</v>
      </c>
      <c r="H97" s="14">
        <f>IF(ISNUMBER(SEARCH("World",'RawData'!C106)),"",SUMIFS('RawData'!G:G,'RawData'!B:B,'RawData'!B106,'RawData'!C:C,"*World*"))</f>
        <v>23000</v>
      </c>
      <c r="I97" s="15">
        <f>IF(ISNUMBER(SEARCH("World",'RawData'!C106)),"",IFERROR(G97/H97,"-"))</f>
        <v>0.41304347826086957</v>
      </c>
      <c r="J97" s="7">
        <f>IF(ISNUMBER(SEARCH("World",'RawData'!C106)),"",IF(ISNUMBER(SEARCH("Other",C97)),COUNTIFS('RawData'!B:B,B97,'RawData'!C:C,"&lt;&gt;*World*"),IF(OR(G97="",G97=0),"-",SUMPRODUCT(('RawData'!B$2:B$822=B97)*('RawData'!G$2:G$822&gt;G97)*(ISERROR(SEARCH("World",'RawData'!C$2:C$822)))*(ISERROR(SEARCH("Other",'RawData'!C$2:C$822))))+1)))</f>
        <v>1</v>
      </c>
      <c r="K97" s="14">
        <f>IF(ISNUMBER(SEARCH("World",'RawData'!C106)),"",'RawData'!H106)</f>
        <v>0</v>
      </c>
      <c r="L97" s="14">
        <f>IF(ISNUMBER(SEARCH("World",'RawData'!C106)),"",SUMIFS('RawData'!H:H,'RawData'!B:B,'RawData'!B106,'RawData'!C:C,"*World*"))</f>
        <v>0</v>
      </c>
      <c r="M97" s="15" t="str">
        <f>IF(ISNUMBER(SEARCH("World",'RawData'!C106)),"",IFERROR(K97/L97,"-"))</f>
        <v>-</v>
      </c>
      <c r="N97" s="7" t="str">
        <f>IF(ISNUMBER(SEARCH("World",'RawData'!C106)),"",IF(ISNUMBER(SEARCH("Other",C97)),COUNTIFS('RawData'!B:B,B97,'RawData'!C:C,"&lt;&gt;*World*"),IF(OR(K97="",K97=0),"-",SUMPRODUCT(('RawData'!B$2:B$822=B97)*('RawData'!H$2:H$822&gt;K97)*(ISERROR(SEARCH("World",'RawData'!C$2:C$822)))*(ISERROR(SEARCH("Other",'RawData'!C$2:C$822))))+1)))</f>
        <v>-</v>
      </c>
    </row>
    <row r="98" spans="1:14" x14ac:dyDescent="0.3">
      <c r="A98" s="4" t="str">
        <f>IF(ISNUMBER(SEARCH("World",'RawData'!C107)),"",'RawData'!A107)</f>
        <v>MCS2026</v>
      </c>
      <c r="B98" s="4" t="str">
        <f>IF(ISNUMBER(SEARCH("World",'RawData'!C107)),"",'RawData'!B107)</f>
        <v xml:space="preserve">Cadmium </v>
      </c>
      <c r="C98" s="4" t="str">
        <f>IF(ISNUMBER(SEARCH("World",'RawData'!C107)),"",'RawData'!C107)</f>
        <v>Germany</v>
      </c>
      <c r="D98" s="4" t="str">
        <f>IF(ISNUMBER(SEARCH("World",'RawData'!C107)),"",'RawData'!D107)</f>
        <v>Refinery production, estimated</v>
      </c>
      <c r="E98" s="4" t="str">
        <f>IF(ISNUMBER(SEARCH("World",'RawData'!C107)),"",IF('RawData'!E107="WT001","kg",IF('RawData'!E107="WT002","ton",IF('RawData'!E107="WT003","k ton",""))))</f>
        <v>ton</v>
      </c>
      <c r="F98" s="14">
        <f>IF(ISNUMBER(SEARCH("World",'RawData'!C107)),"",'RawData'!F107)</f>
        <v>130</v>
      </c>
      <c r="G98" s="14">
        <f>IF(ISNUMBER(SEARCH("World",'RawData'!C107)),"",'RawData'!G107)</f>
        <v>220</v>
      </c>
      <c r="H98" s="14">
        <f>IF(ISNUMBER(SEARCH("World",'RawData'!C107)),"",SUMIFS('RawData'!G:G,'RawData'!B:B,'RawData'!B107,'RawData'!C:C,"*World*"))</f>
        <v>23000</v>
      </c>
      <c r="I98" s="15">
        <f>IF(ISNUMBER(SEARCH("World",'RawData'!C107)),"",IFERROR(G98/H98,"-"))</f>
        <v>9.5652173913043474E-3</v>
      </c>
      <c r="J98" s="7">
        <f>IF(ISNUMBER(SEARCH("World",'RawData'!C107)),"",IF(ISNUMBER(SEARCH("Other",C98)),COUNTIFS('RawData'!B:B,B98,'RawData'!C:C,"&lt;&gt;*World*"),IF(OR(G98="",G98=0),"-",SUMPRODUCT(('RawData'!B$2:B$822=B98)*('RawData'!G$2:G$822&gt;G98)*(ISERROR(SEARCH("World",'RawData'!C$2:C$822)))*(ISERROR(SEARCH("Other",'RawData'!C$2:C$822))))+1)))</f>
        <v>15</v>
      </c>
      <c r="K98" s="14">
        <f>IF(ISNUMBER(SEARCH("World",'RawData'!C107)),"",'RawData'!H107)</f>
        <v>0</v>
      </c>
      <c r="L98" s="14">
        <f>IF(ISNUMBER(SEARCH("World",'RawData'!C107)),"",SUMIFS('RawData'!H:H,'RawData'!B:B,'RawData'!B107,'RawData'!C:C,"*World*"))</f>
        <v>0</v>
      </c>
      <c r="M98" s="15" t="str">
        <f>IF(ISNUMBER(SEARCH("World",'RawData'!C107)),"",IFERROR(K98/L98,"-"))</f>
        <v>-</v>
      </c>
      <c r="N98" s="7" t="str">
        <f>IF(ISNUMBER(SEARCH("World",'RawData'!C107)),"",IF(ISNUMBER(SEARCH("Other",C98)),COUNTIFS('RawData'!B:B,B98,'RawData'!C:C,"&lt;&gt;*World*"),IF(OR(K98="",K98=0),"-",SUMPRODUCT(('RawData'!B$2:B$822=B98)*('RawData'!H$2:H$822&gt;K98)*(ISERROR(SEARCH("World",'RawData'!C$2:C$822)))*(ISERROR(SEARCH("Other",'RawData'!C$2:C$822))))+1)))</f>
        <v>-</v>
      </c>
    </row>
    <row r="99" spans="1:14" x14ac:dyDescent="0.3">
      <c r="A99" s="4" t="str">
        <f>IF(ISNUMBER(SEARCH("World",'RawData'!C108)),"",'RawData'!A108)</f>
        <v>MCS2026</v>
      </c>
      <c r="B99" s="4" t="str">
        <f>IF(ISNUMBER(SEARCH("World",'RawData'!C108)),"",'RawData'!B108)</f>
        <v xml:space="preserve">Cadmium </v>
      </c>
      <c r="C99" s="4" t="str">
        <f>IF(ISNUMBER(SEARCH("World",'RawData'!C108)),"",'RawData'!C108)</f>
        <v>Japan</v>
      </c>
      <c r="D99" s="4" t="str">
        <f>IF(ISNUMBER(SEARCH("World",'RawData'!C108)),"",'RawData'!D108)</f>
        <v>Refinery production, estimated</v>
      </c>
      <c r="E99" s="4" t="str">
        <f>IF(ISNUMBER(SEARCH("World",'RawData'!C108)),"",IF('RawData'!E108="WT001","kg",IF('RawData'!E108="WT002","ton",IF('RawData'!E108="WT003","k ton",""))))</f>
        <v>ton</v>
      </c>
      <c r="F99" s="14">
        <f>IF(ISNUMBER(SEARCH("World",'RawData'!C108)),"",'RawData'!F108)</f>
        <v>1580</v>
      </c>
      <c r="G99" s="14">
        <f>IF(ISNUMBER(SEARCH("World",'RawData'!C108)),"",'RawData'!G108)</f>
        <v>1300</v>
      </c>
      <c r="H99" s="14">
        <f>IF(ISNUMBER(SEARCH("World",'RawData'!C108)),"",SUMIFS('RawData'!G:G,'RawData'!B:B,'RawData'!B108,'RawData'!C:C,"*World*"))</f>
        <v>23000</v>
      </c>
      <c r="I99" s="15">
        <f>IF(ISNUMBER(SEARCH("World",'RawData'!C108)),"",IFERROR(G99/H99,"-"))</f>
        <v>5.6521739130434782E-2</v>
      </c>
      <c r="J99" s="7">
        <f>IF(ISNUMBER(SEARCH("World",'RawData'!C108)),"",IF(ISNUMBER(SEARCH("Other",C99)),COUNTIFS('RawData'!B:B,B99,'RawData'!C:C,"&lt;&gt;*World*"),IF(OR(G99="",G99=0),"-",SUMPRODUCT(('RawData'!B$2:B$822=B99)*('RawData'!G$2:G$822&gt;G99)*(ISERROR(SEARCH("World",'RawData'!C$2:C$822)))*(ISERROR(SEARCH("Other",'RawData'!C$2:C$822))))+1)))</f>
        <v>3</v>
      </c>
      <c r="K99" s="14">
        <f>IF(ISNUMBER(SEARCH("World",'RawData'!C108)),"",'RawData'!H108)</f>
        <v>0</v>
      </c>
      <c r="L99" s="14">
        <f>IF(ISNUMBER(SEARCH("World",'RawData'!C108)),"",SUMIFS('RawData'!H:H,'RawData'!B:B,'RawData'!B108,'RawData'!C:C,"*World*"))</f>
        <v>0</v>
      </c>
      <c r="M99" s="15" t="str">
        <f>IF(ISNUMBER(SEARCH("World",'RawData'!C108)),"",IFERROR(K99/L99,"-"))</f>
        <v>-</v>
      </c>
      <c r="N99" s="7" t="str">
        <f>IF(ISNUMBER(SEARCH("World",'RawData'!C108)),"",IF(ISNUMBER(SEARCH("Other",C99)),COUNTIFS('RawData'!B:B,B99,'RawData'!C:C,"&lt;&gt;*World*"),IF(OR(K99="",K99=0),"-",SUMPRODUCT(('RawData'!B$2:B$822=B99)*('RawData'!H$2:H$822&gt;K99)*(ISERROR(SEARCH("World",'RawData'!C$2:C$822)))*(ISERROR(SEARCH("Other",'RawData'!C$2:C$822))))+1)))</f>
        <v>-</v>
      </c>
    </row>
    <row r="100" spans="1:14" x14ac:dyDescent="0.3">
      <c r="A100" s="4" t="str">
        <f>IF(ISNUMBER(SEARCH("World",'RawData'!C109)),"",'RawData'!A109)</f>
        <v>MCS2026</v>
      </c>
      <c r="B100" s="4" t="str">
        <f>IF(ISNUMBER(SEARCH("World",'RawData'!C109)),"",'RawData'!B109)</f>
        <v xml:space="preserve">Cadmium </v>
      </c>
      <c r="C100" s="4" t="str">
        <f>IF(ISNUMBER(SEARCH("World",'RawData'!C109)),"",'RawData'!C109)</f>
        <v>Kazakhstan</v>
      </c>
      <c r="D100" s="4" t="str">
        <f>IF(ISNUMBER(SEARCH("World",'RawData'!C109)),"",'RawData'!D109)</f>
        <v>Refinery production, estimated</v>
      </c>
      <c r="E100" s="4" t="str">
        <f>IF(ISNUMBER(SEARCH("World",'RawData'!C109)),"",IF('RawData'!E109="WT001","kg",IF('RawData'!E109="WT002","ton",IF('RawData'!E109="WT003","k ton",""))))</f>
        <v>ton</v>
      </c>
      <c r="F100" s="14">
        <f>IF(ISNUMBER(SEARCH("World",'RawData'!C109)),"",'RawData'!F109)</f>
        <v>1100</v>
      </c>
      <c r="G100" s="14">
        <f>IF(ISNUMBER(SEARCH("World",'RawData'!C109)),"",'RawData'!G109)</f>
        <v>1100</v>
      </c>
      <c r="H100" s="14">
        <f>IF(ISNUMBER(SEARCH("World",'RawData'!C109)),"",SUMIFS('RawData'!G:G,'RawData'!B:B,'RawData'!B109,'RawData'!C:C,"*World*"))</f>
        <v>23000</v>
      </c>
      <c r="I100" s="15">
        <f>IF(ISNUMBER(SEARCH("World",'RawData'!C109)),"",IFERROR(G100/H100,"-"))</f>
        <v>4.7826086956521741E-2</v>
      </c>
      <c r="J100" s="7">
        <f>IF(ISNUMBER(SEARCH("World",'RawData'!C109)),"",IF(ISNUMBER(SEARCH("Other",C100)),COUNTIFS('RawData'!B:B,B100,'RawData'!C:C,"&lt;&gt;*World*"),IF(OR(G100="",G100=0),"-",SUMPRODUCT(('RawData'!B$2:B$822=B100)*('RawData'!G$2:G$822&gt;G100)*(ISERROR(SEARCH("World",'RawData'!C$2:C$822)))*(ISERROR(SEARCH("Other",'RawData'!C$2:C$822))))+1)))</f>
        <v>5</v>
      </c>
      <c r="K100" s="14">
        <f>IF(ISNUMBER(SEARCH("World",'RawData'!C109)),"",'RawData'!H109)</f>
        <v>0</v>
      </c>
      <c r="L100" s="14">
        <f>IF(ISNUMBER(SEARCH("World",'RawData'!C109)),"",SUMIFS('RawData'!H:H,'RawData'!B:B,'RawData'!B109,'RawData'!C:C,"*World*"))</f>
        <v>0</v>
      </c>
      <c r="M100" s="15" t="str">
        <f>IF(ISNUMBER(SEARCH("World",'RawData'!C109)),"",IFERROR(K100/L100,"-"))</f>
        <v>-</v>
      </c>
      <c r="N100" s="7" t="str">
        <f>IF(ISNUMBER(SEARCH("World",'RawData'!C109)),"",IF(ISNUMBER(SEARCH("Other",C100)),COUNTIFS('RawData'!B:B,B100,'RawData'!C:C,"&lt;&gt;*World*"),IF(OR(K100="",K100=0),"-",SUMPRODUCT(('RawData'!B$2:B$822=B100)*('RawData'!H$2:H$822&gt;K100)*(ISERROR(SEARCH("World",'RawData'!C$2:C$822)))*(ISERROR(SEARCH("Other",'RawData'!C$2:C$822))))+1)))</f>
        <v>-</v>
      </c>
    </row>
    <row r="101" spans="1:14" x14ac:dyDescent="0.3">
      <c r="A101" s="4" t="str">
        <f>IF(ISNUMBER(SEARCH("World",'RawData'!C110)),"",'RawData'!A110)</f>
        <v>MCS2026</v>
      </c>
      <c r="B101" s="4" t="str">
        <f>IF(ISNUMBER(SEARCH("World",'RawData'!C110)),"",'RawData'!B110)</f>
        <v xml:space="preserve">Cadmium </v>
      </c>
      <c r="C101" s="4" t="str">
        <f>IF(ISNUMBER(SEARCH("World",'RawData'!C110)),"",'RawData'!C110)</f>
        <v>Mexico</v>
      </c>
      <c r="D101" s="4" t="str">
        <f>IF(ISNUMBER(SEARCH("World",'RawData'!C110)),"",'RawData'!D110)</f>
        <v>Refinery production, estimated</v>
      </c>
      <c r="E101" s="4" t="str">
        <f>IF(ISNUMBER(SEARCH("World",'RawData'!C110)),"",IF('RawData'!E110="WT001","kg",IF('RawData'!E110="WT002","ton",IF('RawData'!E110="WT003","k ton",""))))</f>
        <v>ton</v>
      </c>
      <c r="F101" s="14">
        <f>IF(ISNUMBER(SEARCH("World",'RawData'!C110)),"",'RawData'!F110)</f>
        <v>1190</v>
      </c>
      <c r="G101" s="14">
        <f>IF(ISNUMBER(SEARCH("World",'RawData'!C110)),"",'RawData'!G110)</f>
        <v>1000</v>
      </c>
      <c r="H101" s="14">
        <f>IF(ISNUMBER(SEARCH("World",'RawData'!C110)),"",SUMIFS('RawData'!G:G,'RawData'!B:B,'RawData'!B110,'RawData'!C:C,"*World*"))</f>
        <v>23000</v>
      </c>
      <c r="I101" s="15">
        <f>IF(ISNUMBER(SEARCH("World",'RawData'!C110)),"",IFERROR(G101/H101,"-"))</f>
        <v>4.3478260869565216E-2</v>
      </c>
      <c r="J101" s="7">
        <f>IF(ISNUMBER(SEARCH("World",'RawData'!C110)),"",IF(ISNUMBER(SEARCH("Other",C101)),COUNTIFS('RawData'!B:B,B101,'RawData'!C:C,"&lt;&gt;*World*"),IF(OR(G101="",G101=0),"-",SUMPRODUCT(('RawData'!B$2:B$822=B101)*('RawData'!G$2:G$822&gt;G101)*(ISERROR(SEARCH("World",'RawData'!C$2:C$822)))*(ISERROR(SEARCH("Other",'RawData'!C$2:C$822))))+1)))</f>
        <v>6</v>
      </c>
      <c r="K101" s="14">
        <f>IF(ISNUMBER(SEARCH("World",'RawData'!C110)),"",'RawData'!H110)</f>
        <v>0</v>
      </c>
      <c r="L101" s="14">
        <f>IF(ISNUMBER(SEARCH("World",'RawData'!C110)),"",SUMIFS('RawData'!H:H,'RawData'!B:B,'RawData'!B110,'RawData'!C:C,"*World*"))</f>
        <v>0</v>
      </c>
      <c r="M101" s="15" t="str">
        <f>IF(ISNUMBER(SEARCH("World",'RawData'!C110)),"",IFERROR(K101/L101,"-"))</f>
        <v>-</v>
      </c>
      <c r="N101" s="7" t="str">
        <f>IF(ISNUMBER(SEARCH("World",'RawData'!C110)),"",IF(ISNUMBER(SEARCH("Other",C101)),COUNTIFS('RawData'!B:B,B101,'RawData'!C:C,"&lt;&gt;*World*"),IF(OR(K101="",K101=0),"-",SUMPRODUCT(('RawData'!B$2:B$822=B101)*('RawData'!H$2:H$822&gt;K101)*(ISERROR(SEARCH("World",'RawData'!C$2:C$822)))*(ISERROR(SEARCH("Other",'RawData'!C$2:C$822))))+1)))</f>
        <v>-</v>
      </c>
    </row>
    <row r="102" spans="1:14" x14ac:dyDescent="0.3">
      <c r="A102" s="4" t="str">
        <f>IF(ISNUMBER(SEARCH("World",'RawData'!C111)),"",'RawData'!A111)</f>
        <v>MCS2026</v>
      </c>
      <c r="B102" s="4" t="str">
        <f>IF(ISNUMBER(SEARCH("World",'RawData'!C111)),"",'RawData'!B111)</f>
        <v xml:space="preserve">Cadmium </v>
      </c>
      <c r="C102" s="4" t="str">
        <f>IF(ISNUMBER(SEARCH("World",'RawData'!C111)),"",'RawData'!C111)</f>
        <v>Netherlands</v>
      </c>
      <c r="D102" s="4" t="str">
        <f>IF(ISNUMBER(SEARCH("World",'RawData'!C111)),"",'RawData'!D111)</f>
        <v>Refinery production, estimated</v>
      </c>
      <c r="E102" s="4" t="str">
        <f>IF(ISNUMBER(SEARCH("World",'RawData'!C111)),"",IF('RawData'!E111="WT001","kg",IF('RawData'!E111="WT002","ton",IF('RawData'!E111="WT003","k ton",""))))</f>
        <v>ton</v>
      </c>
      <c r="F102" s="14">
        <f>IF(ISNUMBER(SEARCH("World",'RawData'!C111)),"",'RawData'!F111)</f>
        <v>592</v>
      </c>
      <c r="G102" s="14">
        <f>IF(ISNUMBER(SEARCH("World",'RawData'!C111)),"",'RawData'!G111)</f>
        <v>600</v>
      </c>
      <c r="H102" s="14">
        <f>IF(ISNUMBER(SEARCH("World",'RawData'!C111)),"",SUMIFS('RawData'!G:G,'RawData'!B:B,'RawData'!B111,'RawData'!C:C,"*World*"))</f>
        <v>23000</v>
      </c>
      <c r="I102" s="15">
        <f>IF(ISNUMBER(SEARCH("World",'RawData'!C111)),"",IFERROR(G102/H102,"-"))</f>
        <v>2.6086956521739129E-2</v>
      </c>
      <c r="J102" s="7">
        <f>IF(ISNUMBER(SEARCH("World",'RawData'!C111)),"",IF(ISNUMBER(SEARCH("Other",C102)),COUNTIFS('RawData'!B:B,B102,'RawData'!C:C,"&lt;&gt;*World*"),IF(OR(G102="",G102=0),"-",SUMPRODUCT(('RawData'!B$2:B$822=B102)*('RawData'!G$2:G$822&gt;G102)*(ISERROR(SEARCH("World",'RawData'!C$2:C$822)))*(ISERROR(SEARCH("Other",'RawData'!C$2:C$822))))+1)))</f>
        <v>8</v>
      </c>
      <c r="K102" s="14">
        <f>IF(ISNUMBER(SEARCH("World",'RawData'!C111)),"",'RawData'!H111)</f>
        <v>0</v>
      </c>
      <c r="L102" s="14">
        <f>IF(ISNUMBER(SEARCH("World",'RawData'!C111)),"",SUMIFS('RawData'!H:H,'RawData'!B:B,'RawData'!B111,'RawData'!C:C,"*World*"))</f>
        <v>0</v>
      </c>
      <c r="M102" s="15" t="str">
        <f>IF(ISNUMBER(SEARCH("World",'RawData'!C111)),"",IFERROR(K102/L102,"-"))</f>
        <v>-</v>
      </c>
      <c r="N102" s="7" t="str">
        <f>IF(ISNUMBER(SEARCH("World",'RawData'!C111)),"",IF(ISNUMBER(SEARCH("Other",C102)),COUNTIFS('RawData'!B:B,B102,'RawData'!C:C,"&lt;&gt;*World*"),IF(OR(K102="",K102=0),"-",SUMPRODUCT(('RawData'!B$2:B$822=B102)*('RawData'!H$2:H$822&gt;K102)*(ISERROR(SEARCH("World",'RawData'!C$2:C$822)))*(ISERROR(SEARCH("Other",'RawData'!C$2:C$822))))+1)))</f>
        <v>-</v>
      </c>
    </row>
    <row r="103" spans="1:14" x14ac:dyDescent="0.3">
      <c r="A103" s="4" t="str">
        <f>IF(ISNUMBER(SEARCH("World",'RawData'!C112)),"",'RawData'!A112)</f>
        <v>MCS2026</v>
      </c>
      <c r="B103" s="4" t="str">
        <f>IF(ISNUMBER(SEARCH("World",'RawData'!C112)),"",'RawData'!B112)</f>
        <v xml:space="preserve">Cadmium </v>
      </c>
      <c r="C103" s="4" t="str">
        <f>IF(ISNUMBER(SEARCH("World",'RawData'!C112)),"",'RawData'!C112)</f>
        <v>Norway</v>
      </c>
      <c r="D103" s="4" t="str">
        <f>IF(ISNUMBER(SEARCH("World",'RawData'!C112)),"",'RawData'!D112)</f>
        <v>Refinery production, estimated</v>
      </c>
      <c r="E103" s="4" t="str">
        <f>IF(ISNUMBER(SEARCH("World",'RawData'!C112)),"",IF('RawData'!E112="WT001","kg",IF('RawData'!E112="WT002","ton",IF('RawData'!E112="WT003","k ton",""))))</f>
        <v>ton</v>
      </c>
      <c r="F103" s="14">
        <f>IF(ISNUMBER(SEARCH("World",'RawData'!C112)),"",'RawData'!F112)</f>
        <v>350</v>
      </c>
      <c r="G103" s="14">
        <f>IF(ISNUMBER(SEARCH("World",'RawData'!C112)),"",'RawData'!G112)</f>
        <v>430</v>
      </c>
      <c r="H103" s="14">
        <f>IF(ISNUMBER(SEARCH("World",'RawData'!C112)),"",SUMIFS('RawData'!G:G,'RawData'!B:B,'RawData'!B112,'RawData'!C:C,"*World*"))</f>
        <v>23000</v>
      </c>
      <c r="I103" s="15">
        <f>IF(ISNUMBER(SEARCH("World",'RawData'!C112)),"",IFERROR(G103/H103,"-"))</f>
        <v>1.8695652173913044E-2</v>
      </c>
      <c r="J103" s="7">
        <f>IF(ISNUMBER(SEARCH("World",'RawData'!C112)),"",IF(ISNUMBER(SEARCH("Other",C103)),COUNTIFS('RawData'!B:B,B103,'RawData'!C:C,"&lt;&gt;*World*"),IF(OR(G103="",G103=0),"-",SUMPRODUCT(('RawData'!B$2:B$822=B103)*('RawData'!G$2:G$822&gt;G103)*(ISERROR(SEARCH("World",'RawData'!C$2:C$822)))*(ISERROR(SEARCH("Other",'RawData'!C$2:C$822))))+1)))</f>
        <v>11</v>
      </c>
      <c r="K103" s="14">
        <f>IF(ISNUMBER(SEARCH("World",'RawData'!C112)),"",'RawData'!H112)</f>
        <v>0</v>
      </c>
      <c r="L103" s="14">
        <f>IF(ISNUMBER(SEARCH("World",'RawData'!C112)),"",SUMIFS('RawData'!H:H,'RawData'!B:B,'RawData'!B112,'RawData'!C:C,"*World*"))</f>
        <v>0</v>
      </c>
      <c r="M103" s="15" t="str">
        <f>IF(ISNUMBER(SEARCH("World",'RawData'!C112)),"",IFERROR(K103/L103,"-"))</f>
        <v>-</v>
      </c>
      <c r="N103" s="7" t="str">
        <f>IF(ISNUMBER(SEARCH("World",'RawData'!C112)),"",IF(ISNUMBER(SEARCH("Other",C103)),COUNTIFS('RawData'!B:B,B103,'RawData'!C:C,"&lt;&gt;*World*"),IF(OR(K103="",K103=0),"-",SUMPRODUCT(('RawData'!B$2:B$822=B103)*('RawData'!H$2:H$822&gt;K103)*(ISERROR(SEARCH("World",'RawData'!C$2:C$822)))*(ISERROR(SEARCH("Other",'RawData'!C$2:C$822))))+1)))</f>
        <v>-</v>
      </c>
    </row>
    <row r="104" spans="1:14" x14ac:dyDescent="0.3">
      <c r="A104" s="4" t="str">
        <f>IF(ISNUMBER(SEARCH("World",'RawData'!C113)),"",'RawData'!A113)</f>
        <v>MCS2026</v>
      </c>
      <c r="B104" s="4" t="str">
        <f>IF(ISNUMBER(SEARCH("World",'RawData'!C113)),"",'RawData'!B113)</f>
        <v xml:space="preserve">Cadmium </v>
      </c>
      <c r="C104" s="4" t="str">
        <f>IF(ISNUMBER(SEARCH("World",'RawData'!C113)),"",'RawData'!C113)</f>
        <v>Peru</v>
      </c>
      <c r="D104" s="4" t="str">
        <f>IF(ISNUMBER(SEARCH("World",'RawData'!C113)),"",'RawData'!D113)</f>
        <v>Refinery production, estimated</v>
      </c>
      <c r="E104" s="4" t="str">
        <f>IF(ISNUMBER(SEARCH("World",'RawData'!C113)),"",IF('RawData'!E113="WT001","kg",IF('RawData'!E113="WT002","ton",IF('RawData'!E113="WT003","k ton",""))))</f>
        <v>ton</v>
      </c>
      <c r="F104" s="14">
        <f>IF(ISNUMBER(SEARCH("World",'RawData'!C113)),"",'RawData'!F113)</f>
        <v>664</v>
      </c>
      <c r="G104" s="14">
        <f>IF(ISNUMBER(SEARCH("World",'RawData'!C113)),"",'RawData'!G113)</f>
        <v>600</v>
      </c>
      <c r="H104" s="14">
        <f>IF(ISNUMBER(SEARCH("World",'RawData'!C113)),"",SUMIFS('RawData'!G:G,'RawData'!B:B,'RawData'!B113,'RawData'!C:C,"*World*"))</f>
        <v>23000</v>
      </c>
      <c r="I104" s="15">
        <f>IF(ISNUMBER(SEARCH("World",'RawData'!C113)),"",IFERROR(G104/H104,"-"))</f>
        <v>2.6086956521739129E-2</v>
      </c>
      <c r="J104" s="7">
        <f>IF(ISNUMBER(SEARCH("World",'RawData'!C113)),"",IF(ISNUMBER(SEARCH("Other",C104)),COUNTIFS('RawData'!B:B,B104,'RawData'!C:C,"&lt;&gt;*World*"),IF(OR(G104="",G104=0),"-",SUMPRODUCT(('RawData'!B$2:B$822=B104)*('RawData'!G$2:G$822&gt;G104)*(ISERROR(SEARCH("World",'RawData'!C$2:C$822)))*(ISERROR(SEARCH("Other",'RawData'!C$2:C$822))))+1)))</f>
        <v>8</v>
      </c>
      <c r="K104" s="14">
        <f>IF(ISNUMBER(SEARCH("World",'RawData'!C113)),"",'RawData'!H113)</f>
        <v>0</v>
      </c>
      <c r="L104" s="14">
        <f>IF(ISNUMBER(SEARCH("World",'RawData'!C113)),"",SUMIFS('RawData'!H:H,'RawData'!B:B,'RawData'!B113,'RawData'!C:C,"*World*"))</f>
        <v>0</v>
      </c>
      <c r="M104" s="15" t="str">
        <f>IF(ISNUMBER(SEARCH("World",'RawData'!C113)),"",IFERROR(K104/L104,"-"))</f>
        <v>-</v>
      </c>
      <c r="N104" s="7" t="str">
        <f>IF(ISNUMBER(SEARCH("World",'RawData'!C113)),"",IF(ISNUMBER(SEARCH("Other",C104)),COUNTIFS('RawData'!B:B,B104,'RawData'!C:C,"&lt;&gt;*World*"),IF(OR(K104="",K104=0),"-",SUMPRODUCT(('RawData'!B$2:B$822=B104)*('RawData'!H$2:H$822&gt;K104)*(ISERROR(SEARCH("World",'RawData'!C$2:C$822)))*(ISERROR(SEARCH("Other",'RawData'!C$2:C$822))))+1)))</f>
        <v>-</v>
      </c>
    </row>
    <row r="105" spans="1:14" x14ac:dyDescent="0.3">
      <c r="A105" s="4" t="str">
        <f>IF(ISNUMBER(SEARCH("World",'RawData'!C114)),"",'RawData'!A114)</f>
        <v>MCS2026</v>
      </c>
      <c r="B105" s="4" t="str">
        <f>IF(ISNUMBER(SEARCH("World",'RawData'!C114)),"",'RawData'!B114)</f>
        <v xml:space="preserve">Cadmium </v>
      </c>
      <c r="C105" s="4" t="str">
        <f>IF(ISNUMBER(SEARCH("World",'RawData'!C114)),"",'RawData'!C114)</f>
        <v>Poland</v>
      </c>
      <c r="D105" s="4" t="str">
        <f>IF(ISNUMBER(SEARCH("World",'RawData'!C114)),"",'RawData'!D114)</f>
        <v>Refinery production, estimated</v>
      </c>
      <c r="E105" s="4" t="str">
        <f>IF(ISNUMBER(SEARCH("World",'RawData'!C114)),"",IF('RawData'!E114="WT001","kg",IF('RawData'!E114="WT002","ton",IF('RawData'!E114="WT003","k ton",""))))</f>
        <v>ton</v>
      </c>
      <c r="F105" s="14">
        <f>IF(ISNUMBER(SEARCH("World",'RawData'!C114)),"",'RawData'!F114)</f>
        <v>382</v>
      </c>
      <c r="G105" s="14">
        <f>IF(ISNUMBER(SEARCH("World",'RawData'!C114)),"",'RawData'!G114)</f>
        <v>400</v>
      </c>
      <c r="H105" s="14">
        <f>IF(ISNUMBER(SEARCH("World",'RawData'!C114)),"",SUMIFS('RawData'!G:G,'RawData'!B:B,'RawData'!B114,'RawData'!C:C,"*World*"))</f>
        <v>23000</v>
      </c>
      <c r="I105" s="15">
        <f>IF(ISNUMBER(SEARCH("World",'RawData'!C114)),"",IFERROR(G105/H105,"-"))</f>
        <v>1.7391304347826087E-2</v>
      </c>
      <c r="J105" s="7">
        <f>IF(ISNUMBER(SEARCH("World",'RawData'!C114)),"",IF(ISNUMBER(SEARCH("Other",C105)),COUNTIFS('RawData'!B:B,B105,'RawData'!C:C,"&lt;&gt;*World*"),IF(OR(G105="",G105=0),"-",SUMPRODUCT(('RawData'!B$2:B$822=B105)*('RawData'!G$2:G$822&gt;G105)*(ISERROR(SEARCH("World",'RawData'!C$2:C$822)))*(ISERROR(SEARCH("Other",'RawData'!C$2:C$822))))+1)))</f>
        <v>12</v>
      </c>
      <c r="K105" s="14">
        <f>IF(ISNUMBER(SEARCH("World",'RawData'!C114)),"",'RawData'!H114)</f>
        <v>0</v>
      </c>
      <c r="L105" s="14">
        <f>IF(ISNUMBER(SEARCH("World",'RawData'!C114)),"",SUMIFS('RawData'!H:H,'RawData'!B:B,'RawData'!B114,'RawData'!C:C,"*World*"))</f>
        <v>0</v>
      </c>
      <c r="M105" s="15" t="str">
        <f>IF(ISNUMBER(SEARCH("World",'RawData'!C114)),"",IFERROR(K105/L105,"-"))</f>
        <v>-</v>
      </c>
      <c r="N105" s="7" t="str">
        <f>IF(ISNUMBER(SEARCH("World",'RawData'!C114)),"",IF(ISNUMBER(SEARCH("Other",C105)),COUNTIFS('RawData'!B:B,B105,'RawData'!C:C,"&lt;&gt;*World*"),IF(OR(K105="",K105=0),"-",SUMPRODUCT(('RawData'!B$2:B$822=B105)*('RawData'!H$2:H$822&gt;K105)*(ISERROR(SEARCH("World",'RawData'!C$2:C$822)))*(ISERROR(SEARCH("Other",'RawData'!C$2:C$822))))+1)))</f>
        <v>-</v>
      </c>
    </row>
    <row r="106" spans="1:14" x14ac:dyDescent="0.3">
      <c r="A106" s="4" t="str">
        <f>IF(ISNUMBER(SEARCH("World",'RawData'!C115)),"",'RawData'!A115)</f>
        <v>MCS2026</v>
      </c>
      <c r="B106" s="4" t="str">
        <f>IF(ISNUMBER(SEARCH("World",'RawData'!C115)),"",'RawData'!B115)</f>
        <v xml:space="preserve">Cadmium </v>
      </c>
      <c r="C106" s="4" t="str">
        <f>IF(ISNUMBER(SEARCH("World",'RawData'!C115)),"",'RawData'!C115)</f>
        <v xml:space="preserve">Russia </v>
      </c>
      <c r="D106" s="4" t="str">
        <f>IF(ISNUMBER(SEARCH("World",'RawData'!C115)),"",'RawData'!D115)</f>
        <v>Refinery production, estimated</v>
      </c>
      <c r="E106" s="4" t="str">
        <f>IF(ISNUMBER(SEARCH("World",'RawData'!C115)),"",IF('RawData'!E115="WT001","kg",IF('RawData'!E115="WT002","ton",IF('RawData'!E115="WT003","k ton",""))))</f>
        <v>ton</v>
      </c>
      <c r="F106" s="14">
        <f>IF(ISNUMBER(SEARCH("World",'RawData'!C115)),"",'RawData'!F115)</f>
        <v>1000</v>
      </c>
      <c r="G106" s="14">
        <f>IF(ISNUMBER(SEARCH("World",'RawData'!C115)),"",'RawData'!G115)</f>
        <v>1000</v>
      </c>
      <c r="H106" s="14">
        <f>IF(ISNUMBER(SEARCH("World",'RawData'!C115)),"",SUMIFS('RawData'!G:G,'RawData'!B:B,'RawData'!B115,'RawData'!C:C,"*World*"))</f>
        <v>23000</v>
      </c>
      <c r="I106" s="15">
        <f>IF(ISNUMBER(SEARCH("World",'RawData'!C115)),"",IFERROR(G106/H106,"-"))</f>
        <v>4.3478260869565216E-2</v>
      </c>
      <c r="J106" s="7">
        <f>IF(ISNUMBER(SEARCH("World",'RawData'!C115)),"",IF(ISNUMBER(SEARCH("Other",C106)),COUNTIFS('RawData'!B:B,B106,'RawData'!C:C,"&lt;&gt;*World*"),IF(OR(G106="",G106=0),"-",SUMPRODUCT(('RawData'!B$2:B$822=B106)*('RawData'!G$2:G$822&gt;G106)*(ISERROR(SEARCH("World",'RawData'!C$2:C$822)))*(ISERROR(SEARCH("Other",'RawData'!C$2:C$822))))+1)))</f>
        <v>6</v>
      </c>
      <c r="K106" s="14">
        <f>IF(ISNUMBER(SEARCH("World",'RawData'!C115)),"",'RawData'!H115)</f>
        <v>0</v>
      </c>
      <c r="L106" s="14">
        <f>IF(ISNUMBER(SEARCH("World",'RawData'!C115)),"",SUMIFS('RawData'!H:H,'RawData'!B:B,'RawData'!B115,'RawData'!C:C,"*World*"))</f>
        <v>0</v>
      </c>
      <c r="M106" s="15" t="str">
        <f>IF(ISNUMBER(SEARCH("World",'RawData'!C115)),"",IFERROR(K106/L106,"-"))</f>
        <v>-</v>
      </c>
      <c r="N106" s="7" t="str">
        <f>IF(ISNUMBER(SEARCH("World",'RawData'!C115)),"",IF(ISNUMBER(SEARCH("Other",C106)),COUNTIFS('RawData'!B:B,B106,'RawData'!C:C,"&lt;&gt;*World*"),IF(OR(K106="",K106=0),"-",SUMPRODUCT(('RawData'!B$2:B$822=B106)*('RawData'!H$2:H$822&gt;K106)*(ISERROR(SEARCH("World",'RawData'!C$2:C$822)))*(ISERROR(SEARCH("Other",'RawData'!C$2:C$822))))+1)))</f>
        <v>-</v>
      </c>
    </row>
    <row r="107" spans="1:14" x14ac:dyDescent="0.3">
      <c r="A107" s="4" t="str">
        <f>IF(ISNUMBER(SEARCH("World",'RawData'!C116)),"",'RawData'!A116)</f>
        <v>MCS2026</v>
      </c>
      <c r="B107" s="4" t="str">
        <f>IF(ISNUMBER(SEARCH("World",'RawData'!C116)),"",'RawData'!B116)</f>
        <v xml:space="preserve">Cadmium </v>
      </c>
      <c r="C107" s="4" t="str">
        <f>IF(ISNUMBER(SEARCH("World",'RawData'!C116)),"",'RawData'!C116)</f>
        <v>South Korea</v>
      </c>
      <c r="D107" s="4" t="str">
        <f>IF(ISNUMBER(SEARCH("World",'RawData'!C116)),"",'RawData'!D116)</f>
        <v>Refinery production, estimated</v>
      </c>
      <c r="E107" s="4" t="str">
        <f>IF(ISNUMBER(SEARCH("World",'RawData'!C116)),"",IF('RawData'!E116="WT001","kg",IF('RawData'!E116="WT002","ton",IF('RawData'!E116="WT003","k ton",""))))</f>
        <v>ton</v>
      </c>
      <c r="F107" s="14">
        <f>IF(ISNUMBER(SEARCH("World",'RawData'!C116)),"",'RawData'!F116)</f>
        <v>4300</v>
      </c>
      <c r="G107" s="14">
        <f>IF(ISNUMBER(SEARCH("World",'RawData'!C116)),"",'RawData'!G116)</f>
        <v>4300</v>
      </c>
      <c r="H107" s="14">
        <f>IF(ISNUMBER(SEARCH("World",'RawData'!C116)),"",SUMIFS('RawData'!G:G,'RawData'!B:B,'RawData'!B116,'RawData'!C:C,"*World*"))</f>
        <v>23000</v>
      </c>
      <c r="I107" s="15">
        <f>IF(ISNUMBER(SEARCH("World",'RawData'!C116)),"",IFERROR(G107/H107,"-"))</f>
        <v>0.18695652173913044</v>
      </c>
      <c r="J107" s="7">
        <f>IF(ISNUMBER(SEARCH("World",'RawData'!C116)),"",IF(ISNUMBER(SEARCH("Other",C107)),COUNTIFS('RawData'!B:B,B107,'RawData'!C:C,"&lt;&gt;*World*"),IF(OR(G107="",G107=0),"-",SUMPRODUCT(('RawData'!B$2:B$822=B107)*('RawData'!G$2:G$822&gt;G107)*(ISERROR(SEARCH("World",'RawData'!C$2:C$822)))*(ISERROR(SEARCH("Other",'RawData'!C$2:C$822))))+1)))</f>
        <v>2</v>
      </c>
      <c r="K107" s="14">
        <f>IF(ISNUMBER(SEARCH("World",'RawData'!C116)),"",'RawData'!H116)</f>
        <v>0</v>
      </c>
      <c r="L107" s="14">
        <f>IF(ISNUMBER(SEARCH("World",'RawData'!C116)),"",SUMIFS('RawData'!H:H,'RawData'!B:B,'RawData'!B116,'RawData'!C:C,"*World*"))</f>
        <v>0</v>
      </c>
      <c r="M107" s="15" t="str">
        <f>IF(ISNUMBER(SEARCH("World",'RawData'!C116)),"",IFERROR(K107/L107,"-"))</f>
        <v>-</v>
      </c>
      <c r="N107" s="7" t="str">
        <f>IF(ISNUMBER(SEARCH("World",'RawData'!C116)),"",IF(ISNUMBER(SEARCH("Other",C107)),COUNTIFS('RawData'!B:B,B107,'RawData'!C:C,"&lt;&gt;*World*"),IF(OR(K107="",K107=0),"-",SUMPRODUCT(('RawData'!B$2:B$822=B107)*('RawData'!H$2:H$822&gt;K107)*(ISERROR(SEARCH("World",'RawData'!C$2:C$822)))*(ISERROR(SEARCH("Other",'RawData'!C$2:C$822))))+1)))</f>
        <v>-</v>
      </c>
    </row>
    <row r="108" spans="1:14" x14ac:dyDescent="0.3">
      <c r="A108" s="4" t="str">
        <f>IF(ISNUMBER(SEARCH("World",'RawData'!C117)),"",'RawData'!A117)</f>
        <v>MCS2026</v>
      </c>
      <c r="B108" s="4" t="str">
        <f>IF(ISNUMBER(SEARCH("World",'RawData'!C117)),"",'RawData'!B117)</f>
        <v xml:space="preserve">Cadmium </v>
      </c>
      <c r="C108" s="4" t="str">
        <f>IF(ISNUMBER(SEARCH("World",'RawData'!C117)),"",'RawData'!C117)</f>
        <v>United States</v>
      </c>
      <c r="D108" s="4" t="str">
        <f>IF(ISNUMBER(SEARCH("World",'RawData'!C117)),"",'RawData'!D117)</f>
        <v>Refinery production, estimated</v>
      </c>
      <c r="E108" s="4" t="str">
        <f>IF(ISNUMBER(SEARCH("World",'RawData'!C117)),"",IF('RawData'!E117="WT001","kg",IF('RawData'!E117="WT002","ton",IF('RawData'!E117="WT003","k ton",""))))</f>
        <v>ton</v>
      </c>
      <c r="F108" s="14">
        <f>IF(ISNUMBER(SEARCH("World",'RawData'!C117)),"",'RawData'!F117)</f>
        <v>180</v>
      </c>
      <c r="G108" s="14">
        <f>IF(ISNUMBER(SEARCH("World",'RawData'!C117)),"",'RawData'!G117)</f>
        <v>200</v>
      </c>
      <c r="H108" s="14">
        <f>IF(ISNUMBER(SEARCH("World",'RawData'!C117)),"",SUMIFS('RawData'!G:G,'RawData'!B:B,'RawData'!B117,'RawData'!C:C,"*World*"))</f>
        <v>23000</v>
      </c>
      <c r="I108" s="15">
        <f>IF(ISNUMBER(SEARCH("World",'RawData'!C117)),"",IFERROR(G108/H108,"-"))</f>
        <v>8.6956521739130436E-3</v>
      </c>
      <c r="J108" s="7">
        <f>IF(ISNUMBER(SEARCH("World",'RawData'!C117)),"",IF(ISNUMBER(SEARCH("Other",C108)),COUNTIFS('RawData'!B:B,B108,'RawData'!C:C,"&lt;&gt;*World*"),IF(OR(G108="",G108=0),"-",SUMPRODUCT(('RawData'!B$2:B$822=B108)*('RawData'!G$2:G$822&gt;G108)*(ISERROR(SEARCH("World",'RawData'!C$2:C$822)))*(ISERROR(SEARCH("Other",'RawData'!C$2:C$822))))+1)))</f>
        <v>16</v>
      </c>
      <c r="K108" s="14">
        <f>IF(ISNUMBER(SEARCH("World",'RawData'!C117)),"",'RawData'!H117)</f>
        <v>0</v>
      </c>
      <c r="L108" s="14">
        <f>IF(ISNUMBER(SEARCH("World",'RawData'!C117)),"",SUMIFS('RawData'!H:H,'RawData'!B:B,'RawData'!B117,'RawData'!C:C,"*World*"))</f>
        <v>0</v>
      </c>
      <c r="M108" s="15" t="str">
        <f>IF(ISNUMBER(SEARCH("World",'RawData'!C117)),"",IFERROR(K108/L108,"-"))</f>
        <v>-</v>
      </c>
      <c r="N108" s="7" t="str">
        <f>IF(ISNUMBER(SEARCH("World",'RawData'!C117)),"",IF(ISNUMBER(SEARCH("Other",C108)),COUNTIFS('RawData'!B:B,B108,'RawData'!C:C,"&lt;&gt;*World*"),IF(OR(K108="",K108=0),"-",SUMPRODUCT(('RawData'!B$2:B$822=B108)*('RawData'!H$2:H$822&gt;K108)*(ISERROR(SEARCH("World",'RawData'!C$2:C$822)))*(ISERROR(SEARCH("Other",'RawData'!C$2:C$822))))+1)))</f>
        <v>-</v>
      </c>
    </row>
    <row r="109" spans="1:14" x14ac:dyDescent="0.3">
      <c r="A109" s="4" t="str">
        <f>IF(ISNUMBER(SEARCH("World",'RawData'!C118)),"",'RawData'!A118)</f>
        <v>MCS2026</v>
      </c>
      <c r="B109" s="4" t="str">
        <f>IF(ISNUMBER(SEARCH("World",'RawData'!C118)),"",'RawData'!B118)</f>
        <v xml:space="preserve">Cadmium </v>
      </c>
      <c r="C109" s="4" t="str">
        <f>IF(ISNUMBER(SEARCH("World",'RawData'!C118)),"",'RawData'!C118)</f>
        <v>Uzbekistan</v>
      </c>
      <c r="D109" s="4" t="str">
        <f>IF(ISNUMBER(SEARCH("World",'RawData'!C118)),"",'RawData'!D118)</f>
        <v>Refinery production, estimated</v>
      </c>
      <c r="E109" s="4" t="str">
        <f>IF(ISNUMBER(SEARCH("World",'RawData'!C118)),"",IF('RawData'!E118="WT001","kg",IF('RawData'!E118="WT002","ton",IF('RawData'!E118="WT003","k ton",""))))</f>
        <v>ton</v>
      </c>
      <c r="F109" s="14">
        <f>IF(ISNUMBER(SEARCH("World",'RawData'!C118)),"",'RawData'!F118)</f>
        <v>170</v>
      </c>
      <c r="G109" s="14">
        <f>IF(ISNUMBER(SEARCH("World",'RawData'!C118)),"",'RawData'!G118)</f>
        <v>230</v>
      </c>
      <c r="H109" s="14">
        <f>IF(ISNUMBER(SEARCH("World",'RawData'!C118)),"",SUMIFS('RawData'!G:G,'RawData'!B:B,'RawData'!B118,'RawData'!C:C,"*World*"))</f>
        <v>23000</v>
      </c>
      <c r="I109" s="15">
        <f>IF(ISNUMBER(SEARCH("World",'RawData'!C118)),"",IFERROR(G109/H109,"-"))</f>
        <v>0.01</v>
      </c>
      <c r="J109" s="7">
        <f>IF(ISNUMBER(SEARCH("World",'RawData'!C118)),"",IF(ISNUMBER(SEARCH("Other",C109)),COUNTIFS('RawData'!B:B,B109,'RawData'!C:C,"&lt;&gt;*World*"),IF(OR(G109="",G109=0),"-",SUMPRODUCT(('RawData'!B$2:B$822=B109)*('RawData'!G$2:G$822&gt;G109)*(ISERROR(SEARCH("World",'RawData'!C$2:C$822)))*(ISERROR(SEARCH("Other",'RawData'!C$2:C$822))))+1)))</f>
        <v>14</v>
      </c>
      <c r="K109" s="14">
        <f>IF(ISNUMBER(SEARCH("World",'RawData'!C118)),"",'RawData'!H118)</f>
        <v>0</v>
      </c>
      <c r="L109" s="14">
        <f>IF(ISNUMBER(SEARCH("World",'RawData'!C118)),"",SUMIFS('RawData'!H:H,'RawData'!B:B,'RawData'!B118,'RawData'!C:C,"*World*"))</f>
        <v>0</v>
      </c>
      <c r="M109" s="15" t="str">
        <f>IF(ISNUMBER(SEARCH("World",'RawData'!C118)),"",IFERROR(K109/L109,"-"))</f>
        <v>-</v>
      </c>
      <c r="N109" s="7" t="str">
        <f>IF(ISNUMBER(SEARCH("World",'RawData'!C118)),"",IF(ISNUMBER(SEARCH("Other",C109)),COUNTIFS('RawData'!B:B,B109,'RawData'!C:C,"&lt;&gt;*World*"),IF(OR(K109="",K109=0),"-",SUMPRODUCT(('RawData'!B$2:B$822=B109)*('RawData'!H$2:H$822&gt;K109)*(ISERROR(SEARCH("World",'RawData'!C$2:C$822)))*(ISERROR(SEARCH("Other",'RawData'!C$2:C$822))))+1)))</f>
        <v>-</v>
      </c>
    </row>
    <row r="110" spans="1:14" x14ac:dyDescent="0.3">
      <c r="A110" s="4" t="str">
        <f>IF(ISNUMBER(SEARCH("World",'RawData'!C120)),"",'RawData'!A120)</f>
        <v>MCS2026</v>
      </c>
      <c r="B110" s="4" t="str">
        <f>IF(ISNUMBER(SEARCH("World",'RawData'!C120)),"",'RawData'!B120)</f>
        <v>Chromium</v>
      </c>
      <c r="C110" s="4" t="str">
        <f>IF(ISNUMBER(SEARCH("World",'RawData'!C120)),"",'RawData'!C120)</f>
        <v>Brazil</v>
      </c>
      <c r="D110" s="4" t="str">
        <f>IF(ISNUMBER(SEARCH("World",'RawData'!C120)),"",'RawData'!D120)</f>
        <v>Mine production, grosss weight, marketable chromite ore</v>
      </c>
      <c r="E110" s="4" t="str">
        <f>IF(ISNUMBER(SEARCH("World",'RawData'!C120)),"",IF('RawData'!E120="WT001","kg",IF('RawData'!E120="WT002","ton",IF('RawData'!E120="WT003","k ton",""))))</f>
        <v>k ton</v>
      </c>
      <c r="F110" s="14">
        <f>IF(ISNUMBER(SEARCH("World",'RawData'!C120)),"",'RawData'!F120)</f>
        <v>1400</v>
      </c>
      <c r="G110" s="14">
        <f>IF(ISNUMBER(SEARCH("World",'RawData'!C120)),"",'RawData'!G120)</f>
        <v>2000</v>
      </c>
      <c r="H110" s="14">
        <f>IF(ISNUMBER(SEARCH("World",'RawData'!C120)),"",SUMIFS('RawData'!G:G,'RawData'!B:B,'RawData'!B120,'RawData'!C:C,"*World*"))</f>
        <v>51000</v>
      </c>
      <c r="I110" s="15">
        <f>IF(ISNUMBER(SEARCH("World",'RawData'!C120)),"",IFERROR(G110/H110,"-"))</f>
        <v>3.9215686274509803E-2</v>
      </c>
      <c r="J110" s="7">
        <f>IF(ISNUMBER(SEARCH("World",'RawData'!C120)),"",IF(ISNUMBER(SEARCH("Other",C110)),COUNTIFS('RawData'!B:B,B110,'RawData'!C:C,"&lt;&gt;*World*"),IF(OR(G110="",G110=0),"-",SUMPRODUCT(('RawData'!B$2:B$822=B110)*('RawData'!G$2:G$822&gt;G110)*(ISERROR(SEARCH("World",'RawData'!C$2:C$822)))*(ISERROR(SEARCH("Other",'RawData'!C$2:C$822))))+1)))</f>
        <v>5</v>
      </c>
      <c r="K110" s="14">
        <f>IF(ISNUMBER(SEARCH("World",'RawData'!C120)),"",'RawData'!H120)</f>
        <v>1000</v>
      </c>
      <c r="L110" s="14">
        <f>IF(ISNUMBER(SEARCH("World",'RawData'!C120)),"",SUMIFS('RawData'!H:H,'RawData'!B:B,'RawData'!B120,'RawData'!C:C,"*World*"))</f>
        <v>540000</v>
      </c>
      <c r="M110" s="15">
        <f>IF(ISNUMBER(SEARCH("World",'RawData'!C120)),"",IFERROR(K110/L110,"-"))</f>
        <v>1.8518518518518519E-3</v>
      </c>
      <c r="N110" s="7">
        <f>IF(ISNUMBER(SEARCH("World",'RawData'!C120)),"",IF(ISNUMBER(SEARCH("Other",C110)),COUNTIFS('RawData'!B:B,B110,'RawData'!C:C,"&lt;&gt;*World*"),IF(OR(K110="",K110=0),"-",SUMPRODUCT(('RawData'!B$2:B$822=B110)*('RawData'!H$2:H$822&gt;K110)*(ISERROR(SEARCH("World",'RawData'!C$2:C$822)))*(ISERROR(SEARCH("Other",'RawData'!C$2:C$822))))+1)))</f>
        <v>7</v>
      </c>
    </row>
    <row r="111" spans="1:14" x14ac:dyDescent="0.3">
      <c r="A111" s="4" t="str">
        <f>IF(ISNUMBER(SEARCH("World",'RawData'!C121)),"",'RawData'!A121)</f>
        <v>MCS2026</v>
      </c>
      <c r="B111" s="4" t="str">
        <f>IF(ISNUMBER(SEARCH("World",'RawData'!C121)),"",'RawData'!B121)</f>
        <v>Chromium</v>
      </c>
      <c r="C111" s="4" t="str">
        <f>IF(ISNUMBER(SEARCH("World",'RawData'!C121)),"",'RawData'!C121)</f>
        <v>Finland</v>
      </c>
      <c r="D111" s="4" t="str">
        <f>IF(ISNUMBER(SEARCH("World",'RawData'!C121)),"",'RawData'!D121)</f>
        <v>Mine production, grosss weight, marketable chromite ore</v>
      </c>
      <c r="E111" s="4" t="str">
        <f>IF(ISNUMBER(SEARCH("World",'RawData'!C121)),"",IF('RawData'!E121="WT001","kg",IF('RawData'!E121="WT002","ton",IF('RawData'!E121="WT003","k ton",""))))</f>
        <v>k ton</v>
      </c>
      <c r="F111" s="14">
        <f>IF(ISNUMBER(SEARCH("World",'RawData'!C121)),"",'RawData'!F121)</f>
        <v>1940</v>
      </c>
      <c r="G111" s="14">
        <f>IF(ISNUMBER(SEARCH("World",'RawData'!C121)),"",'RawData'!G121)</f>
        <v>1900</v>
      </c>
      <c r="H111" s="14">
        <f>IF(ISNUMBER(SEARCH("World",'RawData'!C121)),"",SUMIFS('RawData'!G:G,'RawData'!B:B,'RawData'!B121,'RawData'!C:C,"*World*"))</f>
        <v>51000</v>
      </c>
      <c r="I111" s="15">
        <f>IF(ISNUMBER(SEARCH("World",'RawData'!C121)),"",IFERROR(G111/H111,"-"))</f>
        <v>3.7254901960784313E-2</v>
      </c>
      <c r="J111" s="7">
        <f>IF(ISNUMBER(SEARCH("World",'RawData'!C121)),"",IF(ISNUMBER(SEARCH("Other",C111)),COUNTIFS('RawData'!B:B,B111,'RawData'!C:C,"&lt;&gt;*World*"),IF(OR(G111="",G111=0),"-",SUMPRODUCT(('RawData'!B$2:B$822=B111)*('RawData'!G$2:G$822&gt;G111)*(ISERROR(SEARCH("World",'RawData'!C$2:C$822)))*(ISERROR(SEARCH("Other",'RawData'!C$2:C$822))))+1)))</f>
        <v>7</v>
      </c>
      <c r="K111" s="14">
        <f>IF(ISNUMBER(SEARCH("World",'RawData'!C121)),"",'RawData'!H121)</f>
        <v>16000</v>
      </c>
      <c r="L111" s="14">
        <f>IF(ISNUMBER(SEARCH("World",'RawData'!C121)),"",SUMIFS('RawData'!H:H,'RawData'!B:B,'RawData'!B121,'RawData'!C:C,"*World*"))</f>
        <v>540000</v>
      </c>
      <c r="M111" s="15">
        <f>IF(ISNUMBER(SEARCH("World",'RawData'!C121)),"",IFERROR(K111/L111,"-"))</f>
        <v>2.9629629629629631E-2</v>
      </c>
      <c r="N111" s="7">
        <f>IF(ISNUMBER(SEARCH("World",'RawData'!C121)),"",IF(ISNUMBER(SEARCH("Other",C111)),COUNTIFS('RawData'!B:B,B111,'RawData'!C:C,"&lt;&gt;*World*"),IF(OR(K111="",K111=0),"-",SUMPRODUCT(('RawData'!B$2:B$822=B111)*('RawData'!H$2:H$822&gt;K111)*(ISERROR(SEARCH("World",'RawData'!C$2:C$822)))*(ISERROR(SEARCH("Other",'RawData'!C$2:C$822))))+1)))</f>
        <v>5</v>
      </c>
    </row>
    <row r="112" spans="1:14" x14ac:dyDescent="0.3">
      <c r="A112" s="4" t="str">
        <f>IF(ISNUMBER(SEARCH("World",'RawData'!C122)),"",'RawData'!A122)</f>
        <v>MCS2026</v>
      </c>
      <c r="B112" s="4" t="str">
        <f>IF(ISNUMBER(SEARCH("World",'RawData'!C122)),"",'RawData'!B122)</f>
        <v>Chromium</v>
      </c>
      <c r="C112" s="4" t="str">
        <f>IF(ISNUMBER(SEARCH("World",'RawData'!C122)),"",'RawData'!C122)</f>
        <v>India</v>
      </c>
      <c r="D112" s="4" t="str">
        <f>IF(ISNUMBER(SEARCH("World",'RawData'!C122)),"",'RawData'!D122)</f>
        <v>Mine production, grosss weight, marketable chromite ore</v>
      </c>
      <c r="E112" s="4" t="str">
        <f>IF(ISNUMBER(SEARCH("World",'RawData'!C122)),"",IF('RawData'!E122="WT001","kg",IF('RawData'!E122="WT002","ton",IF('RawData'!E122="WT003","k ton",""))))</f>
        <v>k ton</v>
      </c>
      <c r="F112" s="14">
        <f>IF(ISNUMBER(SEARCH("World",'RawData'!C122)),"",'RawData'!F122)</f>
        <v>3370</v>
      </c>
      <c r="G112" s="14">
        <f>IF(ISNUMBER(SEARCH("World",'RawData'!C122)),"",'RawData'!G122)</f>
        <v>3000</v>
      </c>
      <c r="H112" s="14">
        <f>IF(ISNUMBER(SEARCH("World",'RawData'!C122)),"",SUMIFS('RawData'!G:G,'RawData'!B:B,'RawData'!B122,'RawData'!C:C,"*World*"))</f>
        <v>51000</v>
      </c>
      <c r="I112" s="15">
        <f>IF(ISNUMBER(SEARCH("World",'RawData'!C122)),"",IFERROR(G112/H112,"-"))</f>
        <v>5.8823529411764705E-2</v>
      </c>
      <c r="J112" s="7">
        <f>IF(ISNUMBER(SEARCH("World",'RawData'!C122)),"",IF(ISNUMBER(SEARCH("Other",C112)),COUNTIFS('RawData'!B:B,B112,'RawData'!C:C,"&lt;&gt;*World*"),IF(OR(G112="",G112=0),"-",SUMPRODUCT(('RawData'!B$2:B$822=B112)*('RawData'!G$2:G$822&gt;G112)*(ISERROR(SEARCH("World",'RawData'!C$2:C$822)))*(ISERROR(SEARCH("Other",'RawData'!C$2:C$822))))+1)))</f>
        <v>4</v>
      </c>
      <c r="K112" s="14">
        <f>IF(ISNUMBER(SEARCH("World",'RawData'!C122)),"",'RawData'!H122)</f>
        <v>27000</v>
      </c>
      <c r="L112" s="14">
        <f>IF(ISNUMBER(SEARCH("World",'RawData'!C122)),"",SUMIFS('RawData'!H:H,'RawData'!B:B,'RawData'!B122,'RawData'!C:C,"*World*"))</f>
        <v>540000</v>
      </c>
      <c r="M112" s="15">
        <f>IF(ISNUMBER(SEARCH("World",'RawData'!C122)),"",IFERROR(K112/L112,"-"))</f>
        <v>0.05</v>
      </c>
      <c r="N112" s="7">
        <f>IF(ISNUMBER(SEARCH("World",'RawData'!C122)),"",IF(ISNUMBER(SEARCH("Other",C112)),COUNTIFS('RawData'!B:B,B112,'RawData'!C:C,"&lt;&gt;*World*"),IF(OR(K112="",K112=0),"-",SUMPRODUCT(('RawData'!B$2:B$822=B112)*('RawData'!H$2:H$822&gt;K112)*(ISERROR(SEARCH("World",'RawData'!C$2:C$822)))*(ISERROR(SEARCH("Other",'RawData'!C$2:C$822))))+1)))</f>
        <v>4</v>
      </c>
    </row>
    <row r="113" spans="1:14" x14ac:dyDescent="0.3">
      <c r="A113" s="4" t="str">
        <f>IF(ISNUMBER(SEARCH("World",'RawData'!C123)),"",'RawData'!A123)</f>
        <v>MCS2026</v>
      </c>
      <c r="B113" s="4" t="str">
        <f>IF(ISNUMBER(SEARCH("World",'RawData'!C123)),"",'RawData'!B123)</f>
        <v>Chromium</v>
      </c>
      <c r="C113" s="4" t="str">
        <f>IF(ISNUMBER(SEARCH("World",'RawData'!C123)),"",'RawData'!C123)</f>
        <v>Kazakhstan</v>
      </c>
      <c r="D113" s="4" t="str">
        <f>IF(ISNUMBER(SEARCH("World",'RawData'!C123)),"",'RawData'!D123)</f>
        <v>Mine production, grosss weight, marketable chromite ore</v>
      </c>
      <c r="E113" s="4" t="str">
        <f>IF(ISNUMBER(SEARCH("World",'RawData'!C123)),"",IF('RawData'!E123="WT001","kg",IF('RawData'!E123="WT002","ton",IF('RawData'!E123="WT003","k ton",""))))</f>
        <v>k ton</v>
      </c>
      <c r="F113" s="14">
        <f>IF(ISNUMBER(SEARCH("World",'RawData'!C123)),"",'RawData'!F123)</f>
        <v>6100</v>
      </c>
      <c r="G113" s="14">
        <f>IF(ISNUMBER(SEARCH("World",'RawData'!C123)),"",'RawData'!G123)</f>
        <v>7000</v>
      </c>
      <c r="H113" s="14">
        <f>IF(ISNUMBER(SEARCH("World",'RawData'!C123)),"",SUMIFS('RawData'!G:G,'RawData'!B:B,'RawData'!B123,'RawData'!C:C,"*World*"))</f>
        <v>51000</v>
      </c>
      <c r="I113" s="15">
        <f>IF(ISNUMBER(SEARCH("World",'RawData'!C123)),"",IFERROR(G113/H113,"-"))</f>
        <v>0.13725490196078433</v>
      </c>
      <c r="J113" s="7">
        <f>IF(ISNUMBER(SEARCH("World",'RawData'!C123)),"",IF(ISNUMBER(SEARCH("Other",C113)),COUNTIFS('RawData'!B:B,B113,'RawData'!C:C,"&lt;&gt;*World*"),IF(OR(G113="",G113=0),"-",SUMPRODUCT(('RawData'!B$2:B$822=B113)*('RawData'!G$2:G$822&gt;G113)*(ISERROR(SEARCH("World",'RawData'!C$2:C$822)))*(ISERROR(SEARCH("Other",'RawData'!C$2:C$822))))+1)))</f>
        <v>3</v>
      </c>
      <c r="K113" s="14">
        <f>IF(ISNUMBER(SEARCH("World",'RawData'!C123)),"",'RawData'!H123)</f>
        <v>100000</v>
      </c>
      <c r="L113" s="14">
        <f>IF(ISNUMBER(SEARCH("World",'RawData'!C123)),"",SUMIFS('RawData'!H:H,'RawData'!B:B,'RawData'!B123,'RawData'!C:C,"*World*"))</f>
        <v>540000</v>
      </c>
      <c r="M113" s="15">
        <f>IF(ISNUMBER(SEARCH("World",'RawData'!C123)),"",IFERROR(K113/L113,"-"))</f>
        <v>0.18518518518518517</v>
      </c>
      <c r="N113" s="7">
        <f>IF(ISNUMBER(SEARCH("World",'RawData'!C123)),"",IF(ISNUMBER(SEARCH("Other",C113)),COUNTIFS('RawData'!B:B,B113,'RawData'!C:C,"&lt;&gt;*World*"),IF(OR(K113="",K113=0),"-",SUMPRODUCT(('RawData'!B$2:B$822=B113)*('RawData'!H$2:H$822&gt;K113)*(ISERROR(SEARCH("World",'RawData'!C$2:C$822)))*(ISERROR(SEARCH("Other",'RawData'!C$2:C$822))))+1)))</f>
        <v>2</v>
      </c>
    </row>
    <row r="114" spans="1:14" x14ac:dyDescent="0.3">
      <c r="A114" s="4" t="str">
        <f>IF(ISNUMBER(SEARCH("World",'RawData'!C124)),"",'RawData'!A124)</f>
        <v>MCS2026</v>
      </c>
      <c r="B114" s="4" t="str">
        <f>IF(ISNUMBER(SEARCH("World",'RawData'!C124)),"",'RawData'!B124)</f>
        <v>Chromium</v>
      </c>
      <c r="C114" s="4" t="str">
        <f>IF(ISNUMBER(SEARCH("World",'RawData'!C124)),"",'RawData'!C124)</f>
        <v>Other Countries</v>
      </c>
      <c r="D114" s="4" t="str">
        <f>IF(ISNUMBER(SEARCH("World",'RawData'!C124)),"",'RawData'!D124)</f>
        <v>Mine production, grosss weight, marketable chromite ore</v>
      </c>
      <c r="E114" s="4" t="str">
        <f>IF(ISNUMBER(SEARCH("World",'RawData'!C124)),"",IF('RawData'!E124="WT001","kg",IF('RawData'!E124="WT002","ton",IF('RawData'!E124="WT003","k ton",""))))</f>
        <v>k ton</v>
      </c>
      <c r="F114" s="14">
        <f>IF(ISNUMBER(SEARCH("World",'RawData'!C124)),"",'RawData'!F124)</f>
        <v>3000</v>
      </c>
      <c r="G114" s="14">
        <f>IF(ISNUMBER(SEARCH("World",'RawData'!C124)),"",'RawData'!G124)</f>
        <v>3000</v>
      </c>
      <c r="H114" s="14">
        <f>IF(ISNUMBER(SEARCH("World",'RawData'!C124)),"",SUMIFS('RawData'!G:G,'RawData'!B:B,'RawData'!B124,'RawData'!C:C,"*World*"))</f>
        <v>51000</v>
      </c>
      <c r="I114" s="15">
        <f>IF(ISNUMBER(SEARCH("World",'RawData'!C124)),"",IFERROR(G114/H114,"-"))</f>
        <v>5.8823529411764705E-2</v>
      </c>
      <c r="J114" s="7">
        <f>IF(ISNUMBER(SEARCH("World",'RawData'!C124)),"",IF(ISNUMBER(SEARCH("Other",C114)),COUNTIFS('RawData'!B:B,B114,'RawData'!C:C,"&lt;&gt;*World*"),IF(OR(G114="",G114=0),"-",SUMPRODUCT(('RawData'!B$2:B$822=B114)*('RawData'!G$2:G$822&gt;G114)*(ISERROR(SEARCH("World",'RawData'!C$2:C$822)))*(ISERROR(SEARCH("Other",'RawData'!C$2:C$822))))+1)))</f>
        <v>9</v>
      </c>
      <c r="K114" s="14">
        <f>IF(ISNUMBER(SEARCH("World",'RawData'!C124)),"",'RawData'!H124)</f>
        <v>0</v>
      </c>
      <c r="L114" s="14">
        <f>IF(ISNUMBER(SEARCH("World",'RawData'!C124)),"",SUMIFS('RawData'!H:H,'RawData'!B:B,'RawData'!B124,'RawData'!C:C,"*World*"))</f>
        <v>540000</v>
      </c>
      <c r="M114" s="15">
        <f>IF(ISNUMBER(SEARCH("World",'RawData'!C124)),"",IFERROR(K114/L114,"-"))</f>
        <v>0</v>
      </c>
      <c r="N114" s="7">
        <f>IF(ISNUMBER(SEARCH("World",'RawData'!C124)),"",IF(ISNUMBER(SEARCH("Other",C114)),COUNTIFS('RawData'!B:B,B114,'RawData'!C:C,"&lt;&gt;*World*"),IF(OR(K114="",K114=0),"-",SUMPRODUCT(('RawData'!B$2:B$822=B114)*('RawData'!H$2:H$822&gt;K114)*(ISERROR(SEARCH("World",'RawData'!C$2:C$822)))*(ISERROR(SEARCH("Other",'RawData'!C$2:C$822))))+1)))</f>
        <v>9</v>
      </c>
    </row>
    <row r="115" spans="1:14" x14ac:dyDescent="0.3">
      <c r="A115" s="4" t="str">
        <f>IF(ISNUMBER(SEARCH("World",'RawData'!C125)),"",'RawData'!A125)</f>
        <v>MCS2026</v>
      </c>
      <c r="B115" s="4" t="str">
        <f>IF(ISNUMBER(SEARCH("World",'RawData'!C125)),"",'RawData'!B125)</f>
        <v>Chromium</v>
      </c>
      <c r="C115" s="4" t="str">
        <f>IF(ISNUMBER(SEARCH("World",'RawData'!C125)),"",'RawData'!C125)</f>
        <v>Turkiye</v>
      </c>
      <c r="D115" s="4" t="str">
        <f>IF(ISNUMBER(SEARCH("World",'RawData'!C125)),"",'RawData'!D125)</f>
        <v>Mine production, grosss weight, marketable chromite ore</v>
      </c>
      <c r="E115" s="4" t="str">
        <f>IF(ISNUMBER(SEARCH("World",'RawData'!C125)),"",IF('RawData'!E125="WT001","kg",IF('RawData'!E125="WT002","ton",IF('RawData'!E125="WT003","k ton",""))))</f>
        <v>k ton</v>
      </c>
      <c r="F115" s="14">
        <f>IF(ISNUMBER(SEARCH("World",'RawData'!C125)),"",'RawData'!F125)</f>
        <v>9300</v>
      </c>
      <c r="G115" s="14">
        <f>IF(ISNUMBER(SEARCH("World",'RawData'!C125)),"",'RawData'!G125)</f>
        <v>9000</v>
      </c>
      <c r="H115" s="14">
        <f>IF(ISNUMBER(SEARCH("World",'RawData'!C125)),"",SUMIFS('RawData'!G:G,'RawData'!B:B,'RawData'!B125,'RawData'!C:C,"*World*"))</f>
        <v>51000</v>
      </c>
      <c r="I115" s="15">
        <f>IF(ISNUMBER(SEARCH("World",'RawData'!C125)),"",IFERROR(G115/H115,"-"))</f>
        <v>0.17647058823529413</v>
      </c>
      <c r="J115" s="7">
        <f>IF(ISNUMBER(SEARCH("World",'RawData'!C125)),"",IF(ISNUMBER(SEARCH("Other",C115)),COUNTIFS('RawData'!B:B,B115,'RawData'!C:C,"&lt;&gt;*World*"),IF(OR(G115="",G115=0),"-",SUMPRODUCT(('RawData'!B$2:B$822=B115)*('RawData'!G$2:G$822&gt;G115)*(ISERROR(SEARCH("World",'RawData'!C$2:C$822)))*(ISERROR(SEARCH("Other",'RawData'!C$2:C$822))))+1)))</f>
        <v>2</v>
      </c>
      <c r="K115" s="14">
        <f>IF(ISNUMBER(SEARCH("World",'RawData'!C125)),"",'RawData'!H125)</f>
        <v>5700</v>
      </c>
      <c r="L115" s="14">
        <f>IF(ISNUMBER(SEARCH("World",'RawData'!C125)),"",SUMIFS('RawData'!H:H,'RawData'!B:B,'RawData'!B125,'RawData'!C:C,"*World*"))</f>
        <v>540000</v>
      </c>
      <c r="M115" s="15">
        <f>IF(ISNUMBER(SEARCH("World",'RawData'!C125)),"",IFERROR(K115/L115,"-"))</f>
        <v>1.0555555555555556E-2</v>
      </c>
      <c r="N115" s="7">
        <f>IF(ISNUMBER(SEARCH("World",'RawData'!C125)),"",IF(ISNUMBER(SEARCH("Other",C115)),COUNTIFS('RawData'!B:B,B115,'RawData'!C:C,"&lt;&gt;*World*"),IF(OR(K115="",K115=0),"-",SUMPRODUCT(('RawData'!B$2:B$822=B115)*('RawData'!H$2:H$822&gt;K115)*(ISERROR(SEARCH("World",'RawData'!C$2:C$822)))*(ISERROR(SEARCH("Other",'RawData'!C$2:C$822))))+1)))</f>
        <v>6</v>
      </c>
    </row>
    <row r="116" spans="1:14" x14ac:dyDescent="0.3">
      <c r="A116" s="4" t="str">
        <f>IF(ISNUMBER(SEARCH("World",'RawData'!C126)),"",'RawData'!A126)</f>
        <v>MCS2026</v>
      </c>
      <c r="B116" s="4" t="str">
        <f>IF(ISNUMBER(SEARCH("World",'RawData'!C126)),"",'RawData'!B126)</f>
        <v>Chromium</v>
      </c>
      <c r="C116" s="4" t="str">
        <f>IF(ISNUMBER(SEARCH("World",'RawData'!C126)),"",'RawData'!C126)</f>
        <v xml:space="preserve">South Africa </v>
      </c>
      <c r="D116" s="4" t="str">
        <f>IF(ISNUMBER(SEARCH("World",'RawData'!C126)),"",'RawData'!D126)</f>
        <v>Mine production, grosss weight, marketable chromite ore</v>
      </c>
      <c r="E116" s="4" t="str">
        <f>IF(ISNUMBER(SEARCH("World",'RawData'!C126)),"",IF('RawData'!E126="WT001","kg",IF('RawData'!E126="WT002","ton",IF('RawData'!E126="WT003","k ton",""))))</f>
        <v>k ton</v>
      </c>
      <c r="F116" s="14">
        <f>IF(ISNUMBER(SEARCH("World",'RawData'!C126)),"",'RawData'!F126)</f>
        <v>22900</v>
      </c>
      <c r="G116" s="14">
        <f>IF(ISNUMBER(SEARCH("World",'RawData'!C126)),"",'RawData'!G126)</f>
        <v>23000</v>
      </c>
      <c r="H116" s="14">
        <f>IF(ISNUMBER(SEARCH("World",'RawData'!C126)),"",SUMIFS('RawData'!G:G,'RawData'!B:B,'RawData'!B126,'RawData'!C:C,"*World*"))</f>
        <v>51000</v>
      </c>
      <c r="I116" s="15">
        <f>IF(ISNUMBER(SEARCH("World",'RawData'!C126)),"",IFERROR(G116/H116,"-"))</f>
        <v>0.45098039215686275</v>
      </c>
      <c r="J116" s="7">
        <f>IF(ISNUMBER(SEARCH("World",'RawData'!C126)),"",IF(ISNUMBER(SEARCH("Other",C116)),COUNTIFS('RawData'!B:B,B116,'RawData'!C:C,"&lt;&gt;*World*"),IF(OR(G116="",G116=0),"-",SUMPRODUCT(('RawData'!B$2:B$822=B116)*('RawData'!G$2:G$822&gt;G116)*(ISERROR(SEARCH("World",'RawData'!C$2:C$822)))*(ISERROR(SEARCH("Other",'RawData'!C$2:C$822))))+1)))</f>
        <v>1</v>
      </c>
      <c r="K116" s="14">
        <f>IF(ISNUMBER(SEARCH("World",'RawData'!C126)),"",'RawData'!H126)</f>
        <v>110000</v>
      </c>
      <c r="L116" s="14">
        <f>IF(ISNUMBER(SEARCH("World",'RawData'!C126)),"",SUMIFS('RawData'!H:H,'RawData'!B:B,'RawData'!B126,'RawData'!C:C,"*World*"))</f>
        <v>540000</v>
      </c>
      <c r="M116" s="15">
        <f>IF(ISNUMBER(SEARCH("World",'RawData'!C126)),"",IFERROR(K116/L116,"-"))</f>
        <v>0.20370370370370369</v>
      </c>
      <c r="N116" s="7">
        <f>IF(ISNUMBER(SEARCH("World",'RawData'!C126)),"",IF(ISNUMBER(SEARCH("Other",C116)),COUNTIFS('RawData'!B:B,B116,'RawData'!C:C,"&lt;&gt;*World*"),IF(OR(K116="",K116=0),"-",SUMPRODUCT(('RawData'!B$2:B$822=B116)*('RawData'!H$2:H$822&gt;K116)*(ISERROR(SEARCH("World",'RawData'!C$2:C$822)))*(ISERROR(SEARCH("Other",'RawData'!C$2:C$822))))+1)))</f>
        <v>1</v>
      </c>
    </row>
    <row r="117" spans="1:14" x14ac:dyDescent="0.3">
      <c r="A117" s="4" t="str">
        <f>IF(ISNUMBER(SEARCH("World",'RawData'!C127)),"",'RawData'!A127)</f>
        <v>MCS2026</v>
      </c>
      <c r="B117" s="4" t="str">
        <f>IF(ISNUMBER(SEARCH("World",'RawData'!C127)),"",'RawData'!B127)</f>
        <v>Chromium</v>
      </c>
      <c r="C117" s="4" t="str">
        <f>IF(ISNUMBER(SEARCH("World",'RawData'!C127)),"",'RawData'!C127)</f>
        <v>United States</v>
      </c>
      <c r="D117" s="4" t="str">
        <f>IF(ISNUMBER(SEARCH("World",'RawData'!C127)),"",'RawData'!D127)</f>
        <v>Mine production, grosss weight, marketable chromite ore</v>
      </c>
      <c r="E117" s="4" t="str">
        <f>IF(ISNUMBER(SEARCH("World",'RawData'!C127)),"",IF('RawData'!E127="WT001","kg",IF('RawData'!E127="WT002","ton",IF('RawData'!E127="WT003","k ton",""))))</f>
        <v>k ton</v>
      </c>
      <c r="F117" s="14">
        <f>IF(ISNUMBER(SEARCH("World",'RawData'!C127)),"",'RawData'!F127)</f>
        <v>0</v>
      </c>
      <c r="G117" s="14">
        <f>IF(ISNUMBER(SEARCH("World",'RawData'!C127)),"",'RawData'!G127)</f>
        <v>0</v>
      </c>
      <c r="H117" s="14">
        <f>IF(ISNUMBER(SEARCH("World",'RawData'!C127)),"",SUMIFS('RawData'!G:G,'RawData'!B:B,'RawData'!B127,'RawData'!C:C,"*World*"))</f>
        <v>51000</v>
      </c>
      <c r="I117" s="15">
        <f>IF(ISNUMBER(SEARCH("World",'RawData'!C127)),"",IFERROR(G117/H117,"-"))</f>
        <v>0</v>
      </c>
      <c r="J117" s="7" t="str">
        <f>IF(ISNUMBER(SEARCH("World",'RawData'!C127)),"",IF(ISNUMBER(SEARCH("Other",C117)),COUNTIFS('RawData'!B:B,B117,'RawData'!C:C,"&lt;&gt;*World*"),IF(OR(G117="",G117=0),"-",SUMPRODUCT(('RawData'!B$2:B$822=B117)*('RawData'!G$2:G$822&gt;G117)*(ISERROR(SEARCH("World",'RawData'!C$2:C$822)))*(ISERROR(SEARCH("Other",'RawData'!C$2:C$822))))+1)))</f>
        <v>-</v>
      </c>
      <c r="K117" s="14">
        <f>IF(ISNUMBER(SEARCH("World",'RawData'!C127)),"",'RawData'!H127)</f>
        <v>630</v>
      </c>
      <c r="L117" s="14">
        <f>IF(ISNUMBER(SEARCH("World",'RawData'!C127)),"",SUMIFS('RawData'!H:H,'RawData'!B:B,'RawData'!B127,'RawData'!C:C,"*World*"))</f>
        <v>540000</v>
      </c>
      <c r="M117" s="15">
        <f>IF(ISNUMBER(SEARCH("World",'RawData'!C127)),"",IFERROR(K117/L117,"-"))</f>
        <v>1.1666666666666668E-3</v>
      </c>
      <c r="N117" s="7">
        <f>IF(ISNUMBER(SEARCH("World",'RawData'!C127)),"",IF(ISNUMBER(SEARCH("Other",C117)),COUNTIFS('RawData'!B:B,B117,'RawData'!C:C,"&lt;&gt;*World*"),IF(OR(K117="",K117=0),"-",SUMPRODUCT(('RawData'!B$2:B$822=B117)*('RawData'!H$2:H$822&gt;K117)*(ISERROR(SEARCH("World",'RawData'!C$2:C$822)))*(ISERROR(SEARCH("Other",'RawData'!C$2:C$822))))+1)))</f>
        <v>8</v>
      </c>
    </row>
    <row r="118" spans="1:14" x14ac:dyDescent="0.3">
      <c r="A118" s="4" t="str">
        <f>IF(ISNUMBER(SEARCH("World",'RawData'!C129)),"",'RawData'!A129)</f>
        <v>MCS2026</v>
      </c>
      <c r="B118" s="4" t="str">
        <f>IF(ISNUMBER(SEARCH("World",'RawData'!C129)),"",'RawData'!B129)</f>
        <v>Chromium</v>
      </c>
      <c r="C118" s="4" t="str">
        <f>IF(ISNUMBER(SEARCH("World",'RawData'!C129)),"",'RawData'!C129)</f>
        <v>Zimbabwe</v>
      </c>
      <c r="D118" s="4" t="str">
        <f>IF(ISNUMBER(SEARCH("World",'RawData'!C129)),"",'RawData'!D129)</f>
        <v>Mine production, grosss weight, marketable chromite ore</v>
      </c>
      <c r="E118" s="4" t="str">
        <f>IF(ISNUMBER(SEARCH("World",'RawData'!C129)),"",IF('RawData'!E129="WT001","kg",IF('RawData'!E129="WT002","ton",IF('RawData'!E129="WT003","k ton",""))))</f>
        <v>k ton</v>
      </c>
      <c r="F118" s="14">
        <f>IF(ISNUMBER(SEARCH("World",'RawData'!C129)),"",'RawData'!F129)</f>
        <v>1600</v>
      </c>
      <c r="G118" s="14">
        <f>IF(ISNUMBER(SEARCH("World",'RawData'!C129)),"",'RawData'!G129)</f>
        <v>2000</v>
      </c>
      <c r="H118" s="14">
        <f>IF(ISNUMBER(SEARCH("World",'RawData'!C129)),"",SUMIFS('RawData'!G:G,'RawData'!B:B,'RawData'!B129,'RawData'!C:C,"*World*"))</f>
        <v>51000</v>
      </c>
      <c r="I118" s="15">
        <f>IF(ISNUMBER(SEARCH("World",'RawData'!C129)),"",IFERROR(G118/H118,"-"))</f>
        <v>3.9215686274509803E-2</v>
      </c>
      <c r="J118" s="7">
        <f>IF(ISNUMBER(SEARCH("World",'RawData'!C129)),"",IF(ISNUMBER(SEARCH("Other",C118)),COUNTIFS('RawData'!B:B,B118,'RawData'!C:C,"&lt;&gt;*World*"),IF(OR(G118="",G118=0),"-",SUMPRODUCT(('RawData'!B$2:B$822=B118)*('RawData'!G$2:G$822&gt;G118)*(ISERROR(SEARCH("World",'RawData'!C$2:C$822)))*(ISERROR(SEARCH("Other",'RawData'!C$2:C$822))))+1)))</f>
        <v>5</v>
      </c>
      <c r="K118" s="14">
        <f>IF(ISNUMBER(SEARCH("World",'RawData'!C129)),"",'RawData'!H129)</f>
        <v>78000</v>
      </c>
      <c r="L118" s="14">
        <f>IF(ISNUMBER(SEARCH("World",'RawData'!C129)),"",SUMIFS('RawData'!H:H,'RawData'!B:B,'RawData'!B129,'RawData'!C:C,"*World*"))</f>
        <v>540000</v>
      </c>
      <c r="M118" s="15">
        <f>IF(ISNUMBER(SEARCH("World",'RawData'!C129)),"",IFERROR(K118/L118,"-"))</f>
        <v>0.14444444444444443</v>
      </c>
      <c r="N118" s="7">
        <f>IF(ISNUMBER(SEARCH("World",'RawData'!C129)),"",IF(ISNUMBER(SEARCH("Other",C118)),COUNTIFS('RawData'!B:B,B118,'RawData'!C:C,"&lt;&gt;*World*"),IF(OR(K118="",K118=0),"-",SUMPRODUCT(('RawData'!B$2:B$822=B118)*('RawData'!H$2:H$822&gt;K118)*(ISERROR(SEARCH("World",'RawData'!C$2:C$822)))*(ISERROR(SEARCH("Other",'RawData'!C$2:C$822))))+1)))</f>
        <v>3</v>
      </c>
    </row>
    <row r="119" spans="1:14" x14ac:dyDescent="0.3">
      <c r="A119" s="4" t="str">
        <f>IF(ISNUMBER(SEARCH("World",'RawData'!C130)),"",'RawData'!A130)</f>
        <v>MCS2026</v>
      </c>
      <c r="B119" s="4" t="str">
        <f>IF(ISNUMBER(SEARCH("World",'RawData'!C130)),"",'RawData'!B130)</f>
        <v>Cobalt</v>
      </c>
      <c r="C119" s="4" t="str">
        <f>IF(ISNUMBER(SEARCH("World",'RawData'!C130)),"",'RawData'!C130)</f>
        <v>Australia</v>
      </c>
      <c r="D119" s="4" t="str">
        <f>IF(ISNUMBER(SEARCH("World",'RawData'!C130)),"",'RawData'!D130)</f>
        <v>Mine production, cobalt content, estimated</v>
      </c>
      <c r="E119" s="4" t="str">
        <f>IF(ISNUMBER(SEARCH("World",'RawData'!C130)),"",IF('RawData'!E130="WT001","kg",IF('RawData'!E130="WT002","ton",IF('RawData'!E130="WT003","k ton",""))))</f>
        <v>ton</v>
      </c>
      <c r="F119" s="14">
        <f>IF(ISNUMBER(SEARCH("World",'RawData'!C130)),"",'RawData'!F130)</f>
        <v>4780</v>
      </c>
      <c r="G119" s="14">
        <f>IF(ISNUMBER(SEARCH("World",'RawData'!C130)),"",'RawData'!G130)</f>
        <v>3700</v>
      </c>
      <c r="H119" s="14">
        <f>IF(ISNUMBER(SEARCH("World",'RawData'!C130)),"",SUMIFS('RawData'!G:G,'RawData'!B:B,'RawData'!B130,'RawData'!C:C,"*World*"))</f>
        <v>310000</v>
      </c>
      <c r="I119" s="15">
        <f>IF(ISNUMBER(SEARCH("World",'RawData'!C130)),"",IFERROR(G119/H119,"-"))</f>
        <v>1.1935483870967743E-2</v>
      </c>
      <c r="J119" s="7">
        <f>IF(ISNUMBER(SEARCH("World",'RawData'!C130)),"",IF(ISNUMBER(SEARCH("Other",C119)),COUNTIFS('RawData'!B:B,B119,'RawData'!C:C,"&lt;&gt;*World*"),IF(OR(G119="",G119=0),"-",SUMPRODUCT(('RawData'!B$2:B$822=B119)*('RawData'!G$2:G$822&gt;G119)*(ISERROR(SEARCH("World",'RawData'!C$2:C$822)))*(ISERROR(SEARCH("Other",'RawData'!C$2:C$822))))+1)))</f>
        <v>5</v>
      </c>
      <c r="K119" s="14">
        <f>IF(ISNUMBER(SEARCH("World",'RawData'!C130)),"",'RawData'!H130)</f>
        <v>1700000</v>
      </c>
      <c r="L119" s="14">
        <f>IF(ISNUMBER(SEARCH("World",'RawData'!C130)),"",SUMIFS('RawData'!H:H,'RawData'!B:B,'RawData'!B130,'RawData'!C:C,"*World*"))</f>
        <v>12000000</v>
      </c>
      <c r="M119" s="15">
        <f>IF(ISNUMBER(SEARCH("World",'RawData'!C130)),"",IFERROR(K119/L119,"-"))</f>
        <v>0.14166666666666666</v>
      </c>
      <c r="N119" s="7">
        <f>IF(ISNUMBER(SEARCH("World",'RawData'!C130)),"",IF(ISNUMBER(SEARCH("Other",C119)),COUNTIFS('RawData'!B:B,B119,'RawData'!C:C,"&lt;&gt;*World*"),IF(OR(K119="",K119=0),"-",SUMPRODUCT(('RawData'!B$2:B$822=B119)*('RawData'!H$2:H$822&gt;K119)*(ISERROR(SEARCH("World",'RawData'!C$2:C$822)))*(ISERROR(SEARCH("Other",'RawData'!C$2:C$822))))+1)))</f>
        <v>2</v>
      </c>
    </row>
    <row r="120" spans="1:14" x14ac:dyDescent="0.3">
      <c r="A120" s="4" t="str">
        <f>IF(ISNUMBER(SEARCH("World",'RawData'!C131)),"",'RawData'!A131)</f>
        <v>MCS2026</v>
      </c>
      <c r="B120" s="4" t="str">
        <f>IF(ISNUMBER(SEARCH("World",'RawData'!C131)),"",'RawData'!B131)</f>
        <v>Cobalt</v>
      </c>
      <c r="C120" s="4" t="str">
        <f>IF(ISNUMBER(SEARCH("World",'RawData'!C131)),"",'RawData'!C131)</f>
        <v xml:space="preserve">Canada </v>
      </c>
      <c r="D120" s="4" t="str">
        <f>IF(ISNUMBER(SEARCH("World",'RawData'!C131)),"",'RawData'!D131)</f>
        <v>Mine production, cobalt content, estimated</v>
      </c>
      <c r="E120" s="4" t="str">
        <f>IF(ISNUMBER(SEARCH("World",'RawData'!C131)),"",IF('RawData'!E131="WT001","kg",IF('RawData'!E131="WT002","ton",IF('RawData'!E131="WT003","k ton",""))))</f>
        <v>ton</v>
      </c>
      <c r="F120" s="14">
        <f>IF(ISNUMBER(SEARCH("World",'RawData'!C131)),"",'RawData'!F131)</f>
        <v>3350</v>
      </c>
      <c r="G120" s="14">
        <f>IF(ISNUMBER(SEARCH("World",'RawData'!C131)),"",'RawData'!G131)</f>
        <v>3500</v>
      </c>
      <c r="H120" s="14">
        <f>IF(ISNUMBER(SEARCH("World",'RawData'!C131)),"",SUMIFS('RawData'!G:G,'RawData'!B:B,'RawData'!B131,'RawData'!C:C,"*World*"))</f>
        <v>310000</v>
      </c>
      <c r="I120" s="15">
        <f>IF(ISNUMBER(SEARCH("World",'RawData'!C131)),"",IFERROR(G120/H120,"-"))</f>
        <v>1.1290322580645161E-2</v>
      </c>
      <c r="J120" s="7">
        <f>IF(ISNUMBER(SEARCH("World",'RawData'!C131)),"",IF(ISNUMBER(SEARCH("Other",C120)),COUNTIFS('RawData'!B:B,B120,'RawData'!C:C,"&lt;&gt;*World*"),IF(OR(G120="",G120=0),"-",SUMPRODUCT(('RawData'!B$2:B$822=B120)*('RawData'!G$2:G$822&gt;G120)*(ISERROR(SEARCH("World",'RawData'!C$2:C$822)))*(ISERROR(SEARCH("Other",'RawData'!C$2:C$822))))+1)))</f>
        <v>7</v>
      </c>
      <c r="K120" s="14">
        <f>IF(ISNUMBER(SEARCH("World",'RawData'!C131)),"",'RawData'!H131)</f>
        <v>220000</v>
      </c>
      <c r="L120" s="14">
        <f>IF(ISNUMBER(SEARCH("World",'RawData'!C131)),"",SUMIFS('RawData'!H:H,'RawData'!B:B,'RawData'!B131,'RawData'!C:C,"*World*"))</f>
        <v>12000000</v>
      </c>
      <c r="M120" s="15">
        <f>IF(ISNUMBER(SEARCH("World",'RawData'!C131)),"",IFERROR(K120/L120,"-"))</f>
        <v>1.8333333333333333E-2</v>
      </c>
      <c r="N120" s="7">
        <f>IF(ISNUMBER(SEARCH("World",'RawData'!C131)),"",IF(ISNUMBER(SEARCH("Other",C120)),COUNTIFS('RawData'!B:B,B120,'RawData'!C:C,"&lt;&gt;*World*"),IF(OR(K120="",K120=0),"-",SUMPRODUCT(('RawData'!B$2:B$822=B120)*('RawData'!H$2:H$822&gt;K120)*(ISERROR(SEARCH("World",'RawData'!C$2:C$822)))*(ISERROR(SEARCH("Other",'RawData'!C$2:C$822))))+1)))</f>
        <v>7</v>
      </c>
    </row>
    <row r="121" spans="1:14" x14ac:dyDescent="0.3">
      <c r="A121" s="4" t="str">
        <f>IF(ISNUMBER(SEARCH("World",'RawData'!C132)),"",'RawData'!A132)</f>
        <v>MCS2026</v>
      </c>
      <c r="B121" s="4" t="str">
        <f>IF(ISNUMBER(SEARCH("World",'RawData'!C132)),"",'RawData'!B132)</f>
        <v>Cobalt</v>
      </c>
      <c r="C121" s="4" t="str">
        <f>IF(ISNUMBER(SEARCH("World",'RawData'!C132)),"",'RawData'!C132)</f>
        <v>China</v>
      </c>
      <c r="D121" s="4" t="str">
        <f>IF(ISNUMBER(SEARCH("World",'RawData'!C132)),"",'RawData'!D132)</f>
        <v>Mine production, cobalt content, estimated</v>
      </c>
      <c r="E121" s="4" t="str">
        <f>IF(ISNUMBER(SEARCH("World",'RawData'!C132)),"",IF('RawData'!E132="WT001","kg",IF('RawData'!E132="WT002","ton",IF('RawData'!E132="WT003","k ton",""))))</f>
        <v>ton</v>
      </c>
      <c r="F121" s="14">
        <f>IF(ISNUMBER(SEARCH("World",'RawData'!C132)),"",'RawData'!F132)</f>
        <v>2000</v>
      </c>
      <c r="G121" s="14">
        <f>IF(ISNUMBER(SEARCH("World",'RawData'!C132)),"",'RawData'!G132)</f>
        <v>2000</v>
      </c>
      <c r="H121" s="14">
        <f>IF(ISNUMBER(SEARCH("World",'RawData'!C132)),"",SUMIFS('RawData'!G:G,'RawData'!B:B,'RawData'!B132,'RawData'!C:C,"*World*"))</f>
        <v>310000</v>
      </c>
      <c r="I121" s="15">
        <f>IF(ISNUMBER(SEARCH("World",'RawData'!C132)),"",IFERROR(G121/H121,"-"))</f>
        <v>6.4516129032258064E-3</v>
      </c>
      <c r="J121" s="7">
        <f>IF(ISNUMBER(SEARCH("World",'RawData'!C132)),"",IF(ISNUMBER(SEARCH("Other",C121)),COUNTIFS('RawData'!B:B,B121,'RawData'!C:C,"&lt;&gt;*World*"),IF(OR(G121="",G121=0),"-",SUMPRODUCT(('RawData'!B$2:B$822=B121)*('RawData'!G$2:G$822&gt;G121)*(ISERROR(SEARCH("World",'RawData'!C$2:C$822)))*(ISERROR(SEARCH("Other",'RawData'!C$2:C$822))))+1)))</f>
        <v>9</v>
      </c>
      <c r="K121" s="14">
        <f>IF(ISNUMBER(SEARCH("World",'RawData'!C132)),"",'RawData'!H132)</f>
        <v>160000</v>
      </c>
      <c r="L121" s="14">
        <f>IF(ISNUMBER(SEARCH("World",'RawData'!C132)),"",SUMIFS('RawData'!H:H,'RawData'!B:B,'RawData'!B132,'RawData'!C:C,"*World*"))</f>
        <v>12000000</v>
      </c>
      <c r="M121" s="15">
        <f>IF(ISNUMBER(SEARCH("World",'RawData'!C132)),"",IFERROR(K121/L121,"-"))</f>
        <v>1.3333333333333334E-2</v>
      </c>
      <c r="N121" s="7">
        <f>IF(ISNUMBER(SEARCH("World",'RawData'!C132)),"",IF(ISNUMBER(SEARCH("Other",C121)),COUNTIFS('RawData'!B:B,B121,'RawData'!C:C,"&lt;&gt;*World*"),IF(OR(K121="",K121=0),"-",SUMPRODUCT(('RawData'!B$2:B$822=B121)*('RawData'!H$2:H$822&gt;K121)*(ISERROR(SEARCH("World",'RawData'!C$2:C$822)))*(ISERROR(SEARCH("Other",'RawData'!C$2:C$822))))+1)))</f>
        <v>8</v>
      </c>
    </row>
    <row r="122" spans="1:14" x14ac:dyDescent="0.3">
      <c r="A122" s="4" t="str">
        <f>IF(ISNUMBER(SEARCH("World",'RawData'!C133)),"",'RawData'!A133)</f>
        <v>MCS2026</v>
      </c>
      <c r="B122" s="4" t="str">
        <f>IF(ISNUMBER(SEARCH("World",'RawData'!C133)),"",'RawData'!B133)</f>
        <v>Cobalt</v>
      </c>
      <c r="C122" s="4" t="str">
        <f>IF(ISNUMBER(SEARCH("World",'RawData'!C133)),"",'RawData'!C133)</f>
        <v>Cuba</v>
      </c>
      <c r="D122" s="4" t="str">
        <f>IF(ISNUMBER(SEARCH("World",'RawData'!C133)),"",'RawData'!D133)</f>
        <v>Mine production, cobalt content, estimated</v>
      </c>
      <c r="E122" s="4" t="str">
        <f>IF(ISNUMBER(SEARCH("World",'RawData'!C133)),"",IF('RawData'!E133="WT001","kg",IF('RawData'!E133="WT002","ton",IF('RawData'!E133="WT003","k ton",""))))</f>
        <v>ton</v>
      </c>
      <c r="F122" s="14">
        <f>IF(ISNUMBER(SEARCH("World",'RawData'!C133)),"",'RawData'!F133)</f>
        <v>3450</v>
      </c>
      <c r="G122" s="14">
        <f>IF(ISNUMBER(SEARCH("World",'RawData'!C133)),"",'RawData'!G133)</f>
        <v>2000</v>
      </c>
      <c r="H122" s="14">
        <f>IF(ISNUMBER(SEARCH("World",'RawData'!C133)),"",SUMIFS('RawData'!G:G,'RawData'!B:B,'RawData'!B133,'RawData'!C:C,"*World*"))</f>
        <v>310000</v>
      </c>
      <c r="I122" s="15">
        <f>IF(ISNUMBER(SEARCH("World",'RawData'!C133)),"",IFERROR(G122/H122,"-"))</f>
        <v>6.4516129032258064E-3</v>
      </c>
      <c r="J122" s="7">
        <f>IF(ISNUMBER(SEARCH("World",'RawData'!C133)),"",IF(ISNUMBER(SEARCH("Other",C122)),COUNTIFS('RawData'!B:B,B122,'RawData'!C:C,"&lt;&gt;*World*"),IF(OR(G122="",G122=0),"-",SUMPRODUCT(('RawData'!B$2:B$822=B122)*('RawData'!G$2:G$822&gt;G122)*(ISERROR(SEARCH("World",'RawData'!C$2:C$822)))*(ISERROR(SEARCH("Other",'RawData'!C$2:C$822))))+1)))</f>
        <v>9</v>
      </c>
      <c r="K122" s="14">
        <f>IF(ISNUMBER(SEARCH("World",'RawData'!C133)),"",'RawData'!H133)</f>
        <v>500000</v>
      </c>
      <c r="L122" s="14">
        <f>IF(ISNUMBER(SEARCH("World",'RawData'!C133)),"",SUMIFS('RawData'!H:H,'RawData'!B:B,'RawData'!B133,'RawData'!C:C,"*World*"))</f>
        <v>12000000</v>
      </c>
      <c r="M122" s="15">
        <f>IF(ISNUMBER(SEARCH("World",'RawData'!C133)),"",IFERROR(K122/L122,"-"))</f>
        <v>4.1666666666666664E-2</v>
      </c>
      <c r="N122" s="7">
        <f>IF(ISNUMBER(SEARCH("World",'RawData'!C133)),"",IF(ISNUMBER(SEARCH("Other",C122)),COUNTIFS('RawData'!B:B,B122,'RawData'!C:C,"&lt;&gt;*World*"),IF(OR(K122="",K122=0),"-",SUMPRODUCT(('RawData'!B$2:B$822=B122)*('RawData'!H$2:H$822&gt;K122)*(ISERROR(SEARCH("World",'RawData'!C$2:C$822)))*(ISERROR(SEARCH("Other",'RawData'!C$2:C$822))))+1)))</f>
        <v>5</v>
      </c>
    </row>
    <row r="123" spans="1:14" x14ac:dyDescent="0.3">
      <c r="A123" s="4" t="str">
        <f>IF(ISNUMBER(SEARCH("World",'RawData'!C134)),"",'RawData'!A134)</f>
        <v>MCS2026</v>
      </c>
      <c r="B123" s="4" t="str">
        <f>IF(ISNUMBER(SEARCH("World",'RawData'!C134)),"",'RawData'!B134)</f>
        <v>Cobalt</v>
      </c>
      <c r="C123" s="4" t="str">
        <f>IF(ISNUMBER(SEARCH("World",'RawData'!C134)),"",'RawData'!C134)</f>
        <v>DRCongo</v>
      </c>
      <c r="D123" s="4" t="str">
        <f>IF(ISNUMBER(SEARCH("World",'RawData'!C134)),"",'RawData'!D134)</f>
        <v>Mine production, cobalt content, estimated</v>
      </c>
      <c r="E123" s="4" t="str">
        <f>IF(ISNUMBER(SEARCH("World",'RawData'!C134)),"",IF('RawData'!E134="WT001","kg",IF('RawData'!E134="WT002","ton",IF('RawData'!E134="WT003","k ton",""))))</f>
        <v>ton</v>
      </c>
      <c r="F123" s="14">
        <f>IF(ISNUMBER(SEARCH("World",'RawData'!C134)),"",'RawData'!F134)</f>
        <v>226000</v>
      </c>
      <c r="G123" s="14">
        <f>IF(ISNUMBER(SEARCH("World",'RawData'!C134)),"",'RawData'!G134)</f>
        <v>230000</v>
      </c>
      <c r="H123" s="14">
        <f>IF(ISNUMBER(SEARCH("World",'RawData'!C134)),"",SUMIFS('RawData'!G:G,'RawData'!B:B,'RawData'!B134,'RawData'!C:C,"*World*"))</f>
        <v>310000</v>
      </c>
      <c r="I123" s="15">
        <f>IF(ISNUMBER(SEARCH("World",'RawData'!C134)),"",IFERROR(G123/H123,"-"))</f>
        <v>0.74193548387096775</v>
      </c>
      <c r="J123" s="7">
        <f>IF(ISNUMBER(SEARCH("World",'RawData'!C134)),"",IF(ISNUMBER(SEARCH("Other",C123)),COUNTIFS('RawData'!B:B,B123,'RawData'!C:C,"&lt;&gt;*World*"),IF(OR(G123="",G123=0),"-",SUMPRODUCT(('RawData'!B$2:B$822=B123)*('RawData'!G$2:G$822&gt;G123)*(ISERROR(SEARCH("World",'RawData'!C$2:C$822)))*(ISERROR(SEARCH("Other",'RawData'!C$2:C$822))))+1)))</f>
        <v>1</v>
      </c>
      <c r="K123" s="14">
        <f>IF(ISNUMBER(SEARCH("World",'RawData'!C134)),"",'RawData'!H134)</f>
        <v>6000000</v>
      </c>
      <c r="L123" s="14">
        <f>IF(ISNUMBER(SEARCH("World",'RawData'!C134)),"",SUMIFS('RawData'!H:H,'RawData'!B:B,'RawData'!B134,'RawData'!C:C,"*World*"))</f>
        <v>12000000</v>
      </c>
      <c r="M123" s="15">
        <f>IF(ISNUMBER(SEARCH("World",'RawData'!C134)),"",IFERROR(K123/L123,"-"))</f>
        <v>0.5</v>
      </c>
      <c r="N123" s="7">
        <f>IF(ISNUMBER(SEARCH("World",'RawData'!C134)),"",IF(ISNUMBER(SEARCH("Other",C123)),COUNTIFS('RawData'!B:B,B123,'RawData'!C:C,"&lt;&gt;*World*"),IF(OR(K123="",K123=0),"-",SUMPRODUCT(('RawData'!B$2:B$822=B123)*('RawData'!H$2:H$822&gt;K123)*(ISERROR(SEARCH("World",'RawData'!C$2:C$822)))*(ISERROR(SEARCH("Other",'RawData'!C$2:C$822))))+1)))</f>
        <v>1</v>
      </c>
    </row>
    <row r="124" spans="1:14" x14ac:dyDescent="0.3">
      <c r="A124" s="4" t="str">
        <f>IF(ISNUMBER(SEARCH("World",'RawData'!C135)),"",'RawData'!A135)</f>
        <v>MCS2026</v>
      </c>
      <c r="B124" s="4" t="str">
        <f>IF(ISNUMBER(SEARCH("World",'RawData'!C135)),"",'RawData'!B135)</f>
        <v>Cobalt</v>
      </c>
      <c r="C124" s="4" t="str">
        <f>IF(ISNUMBER(SEARCH("World",'RawData'!C135)),"",'RawData'!C135)</f>
        <v>Indonesia</v>
      </c>
      <c r="D124" s="4" t="str">
        <f>IF(ISNUMBER(SEARCH("World",'RawData'!C135)),"",'RawData'!D135)</f>
        <v>Mine production, cobalt content, estimated</v>
      </c>
      <c r="E124" s="4" t="str">
        <f>IF(ISNUMBER(SEARCH("World",'RawData'!C135)),"",IF('RawData'!E135="WT001","kg",IF('RawData'!E135="WT002","ton",IF('RawData'!E135="WT003","k ton",""))))</f>
        <v>ton</v>
      </c>
      <c r="F124" s="14">
        <f>IF(ISNUMBER(SEARCH("World",'RawData'!C135)),"",'RawData'!F135)</f>
        <v>35000</v>
      </c>
      <c r="G124" s="14">
        <f>IF(ISNUMBER(SEARCH("World",'RawData'!C135)),"",'RawData'!G135)</f>
        <v>44000</v>
      </c>
      <c r="H124" s="14">
        <f>IF(ISNUMBER(SEARCH("World",'RawData'!C135)),"",SUMIFS('RawData'!G:G,'RawData'!B:B,'RawData'!B135,'RawData'!C:C,"*World*"))</f>
        <v>310000</v>
      </c>
      <c r="I124" s="15">
        <f>IF(ISNUMBER(SEARCH("World",'RawData'!C135)),"",IFERROR(G124/H124,"-"))</f>
        <v>0.14193548387096774</v>
      </c>
      <c r="J124" s="7">
        <f>IF(ISNUMBER(SEARCH("World",'RawData'!C135)),"",IF(ISNUMBER(SEARCH("Other",C124)),COUNTIFS('RawData'!B:B,B124,'RawData'!C:C,"&lt;&gt;*World*"),IF(OR(G124="",G124=0),"-",SUMPRODUCT(('RawData'!B$2:B$822=B124)*('RawData'!G$2:G$822&gt;G124)*(ISERROR(SEARCH("World",'RawData'!C$2:C$822)))*(ISERROR(SEARCH("Other",'RawData'!C$2:C$822))))+1)))</f>
        <v>2</v>
      </c>
      <c r="K124" s="14">
        <f>IF(ISNUMBER(SEARCH("World",'RawData'!C135)),"",'RawData'!H135)</f>
        <v>760000</v>
      </c>
      <c r="L124" s="14">
        <f>IF(ISNUMBER(SEARCH("World",'RawData'!C135)),"",SUMIFS('RawData'!H:H,'RawData'!B:B,'RawData'!B135,'RawData'!C:C,"*World*"))</f>
        <v>12000000</v>
      </c>
      <c r="M124" s="15">
        <f>IF(ISNUMBER(SEARCH("World",'RawData'!C135)),"",IFERROR(K124/L124,"-"))</f>
        <v>6.3333333333333339E-2</v>
      </c>
      <c r="N124" s="7">
        <f>IF(ISNUMBER(SEARCH("World",'RawData'!C135)),"",IF(ISNUMBER(SEARCH("Other",C124)),COUNTIFS('RawData'!B:B,B124,'RawData'!C:C,"&lt;&gt;*World*"),IF(OR(K124="",K124=0),"-",SUMPRODUCT(('RawData'!B$2:B$822=B124)*('RawData'!H$2:H$822&gt;K124)*(ISERROR(SEARCH("World",'RawData'!C$2:C$822)))*(ISERROR(SEARCH("Other",'RawData'!C$2:C$822))))+1)))</f>
        <v>4</v>
      </c>
    </row>
    <row r="125" spans="1:14" x14ac:dyDescent="0.3">
      <c r="A125" s="4" t="str">
        <f>IF(ISNUMBER(SEARCH("World",'RawData'!C136)),"",'RawData'!A136)</f>
        <v>MCS2026</v>
      </c>
      <c r="B125" s="4" t="str">
        <f>IF(ISNUMBER(SEARCH("World",'RawData'!C136)),"",'RawData'!B136)</f>
        <v>Cobalt</v>
      </c>
      <c r="C125" s="4" t="str">
        <f>IF(ISNUMBER(SEARCH("World",'RawData'!C136)),"",'RawData'!C136)</f>
        <v>Madagascar</v>
      </c>
      <c r="D125" s="4" t="str">
        <f>IF(ISNUMBER(SEARCH("World",'RawData'!C136)),"",'RawData'!D136)</f>
        <v>Mine production, cobalt content, estimated</v>
      </c>
      <c r="E125" s="4" t="str">
        <f>IF(ISNUMBER(SEARCH("World",'RawData'!C136)),"",IF('RawData'!E136="WT001","kg",IF('RawData'!E136="WT002","ton",IF('RawData'!E136="WT003","k ton",""))))</f>
        <v>ton</v>
      </c>
      <c r="F125" s="14">
        <f>IF(ISNUMBER(SEARCH("World",'RawData'!C136)),"",'RawData'!F136)</f>
        <v>3100</v>
      </c>
      <c r="G125" s="14">
        <f>IF(ISNUMBER(SEARCH("World",'RawData'!C136)),"",'RawData'!G136)</f>
        <v>3900</v>
      </c>
      <c r="H125" s="14">
        <f>IF(ISNUMBER(SEARCH("World",'RawData'!C136)),"",SUMIFS('RawData'!G:G,'RawData'!B:B,'RawData'!B136,'RawData'!C:C,"*World*"))</f>
        <v>310000</v>
      </c>
      <c r="I125" s="15">
        <f>IF(ISNUMBER(SEARCH("World",'RawData'!C136)),"",IFERROR(G125/H125,"-"))</f>
        <v>1.2580645161290323E-2</v>
      </c>
      <c r="J125" s="7">
        <f>IF(ISNUMBER(SEARCH("World",'RawData'!C136)),"",IF(ISNUMBER(SEARCH("Other",C125)),COUNTIFS('RawData'!B:B,B125,'RawData'!C:C,"&lt;&gt;*World*"),IF(OR(G125="",G125=0),"-",SUMPRODUCT(('RawData'!B$2:B$822=B125)*('RawData'!G$2:G$822&gt;G125)*(ISERROR(SEARCH("World",'RawData'!C$2:C$822)))*(ISERROR(SEARCH("Other",'RawData'!C$2:C$822))))+1)))</f>
        <v>4</v>
      </c>
      <c r="K125" s="14">
        <f>IF(ISNUMBER(SEARCH("World",'RawData'!C136)),"",'RawData'!H136)</f>
        <v>100000</v>
      </c>
      <c r="L125" s="14">
        <f>IF(ISNUMBER(SEARCH("World",'RawData'!C136)),"",SUMIFS('RawData'!H:H,'RawData'!B:B,'RawData'!B136,'RawData'!C:C,"*World*"))</f>
        <v>12000000</v>
      </c>
      <c r="M125" s="15">
        <f>IF(ISNUMBER(SEARCH("World",'RawData'!C136)),"",IFERROR(K125/L125,"-"))</f>
        <v>8.3333333333333332E-3</v>
      </c>
      <c r="N125" s="7">
        <f>IF(ISNUMBER(SEARCH("World",'RawData'!C136)),"",IF(ISNUMBER(SEARCH("Other",C125)),COUNTIFS('RawData'!B:B,B125,'RawData'!C:C,"&lt;&gt;*World*"),IF(OR(K125="",K125=0),"-",SUMPRODUCT(('RawData'!B$2:B$822=B125)*('RawData'!H$2:H$822&gt;K125)*(ISERROR(SEARCH("World",'RawData'!C$2:C$822)))*(ISERROR(SEARCH("Other",'RawData'!C$2:C$822))))+1)))</f>
        <v>9</v>
      </c>
    </row>
    <row r="126" spans="1:14" x14ac:dyDescent="0.3">
      <c r="A126" s="4" t="str">
        <f>IF(ISNUMBER(SEARCH("World",'RawData'!C137)),"",'RawData'!A137)</f>
        <v>MCS2026</v>
      </c>
      <c r="B126" s="4" t="str">
        <f>IF(ISNUMBER(SEARCH("World",'RawData'!C137)),"",'RawData'!B137)</f>
        <v>Cobalt</v>
      </c>
      <c r="C126" s="4" t="str">
        <f>IF(ISNUMBER(SEARCH("World",'RawData'!C137)),"",'RawData'!C137)</f>
        <v>Other Countries</v>
      </c>
      <c r="D126" s="4" t="str">
        <f>IF(ISNUMBER(SEARCH("World",'RawData'!C137)),"",'RawData'!D137)</f>
        <v>Mine production, cobalt content, estimated</v>
      </c>
      <c r="E126" s="4" t="str">
        <f>IF(ISNUMBER(SEARCH("World",'RawData'!C137)),"",IF('RawData'!E137="WT001","kg",IF('RawData'!E137="WT002","ton",IF('RawData'!E137="WT003","k ton",""))))</f>
        <v>ton</v>
      </c>
      <c r="F126" s="14">
        <f>IF(ISNUMBER(SEARCH("World",'RawData'!C137)),"",'RawData'!F137)</f>
        <v>7780</v>
      </c>
      <c r="G126" s="14">
        <f>IF(ISNUMBER(SEARCH("World",'RawData'!C137)),"",'RawData'!G137)</f>
        <v>9100</v>
      </c>
      <c r="H126" s="14">
        <f>IF(ISNUMBER(SEARCH("World",'RawData'!C137)),"",SUMIFS('RawData'!G:G,'RawData'!B:B,'RawData'!B137,'RawData'!C:C,"*World*"))</f>
        <v>310000</v>
      </c>
      <c r="I126" s="15">
        <f>IF(ISNUMBER(SEARCH("World",'RawData'!C137)),"",IFERROR(G126/H126,"-"))</f>
        <v>2.9354838709677419E-2</v>
      </c>
      <c r="J126" s="7">
        <f>IF(ISNUMBER(SEARCH("World",'RawData'!C137)),"",IF(ISNUMBER(SEARCH("Other",C126)),COUNTIFS('RawData'!B:B,B126,'RawData'!C:C,"&lt;&gt;*World*"),IF(OR(G126="",G126=0),"-",SUMPRODUCT(('RawData'!B$2:B$822=B126)*('RawData'!G$2:G$822&gt;G126)*(ISERROR(SEARCH("World",'RawData'!C$2:C$822)))*(ISERROR(SEARCH("Other",'RawData'!C$2:C$822))))+1)))</f>
        <v>13</v>
      </c>
      <c r="K126" s="14">
        <f>IF(ISNUMBER(SEARCH("World",'RawData'!C137)),"",'RawData'!H137)</f>
        <v>780000</v>
      </c>
      <c r="L126" s="14">
        <f>IF(ISNUMBER(SEARCH("World",'RawData'!C137)),"",SUMIFS('RawData'!H:H,'RawData'!B:B,'RawData'!B137,'RawData'!C:C,"*World*"))</f>
        <v>12000000</v>
      </c>
      <c r="M126" s="15">
        <f>IF(ISNUMBER(SEARCH("World",'RawData'!C137)),"",IFERROR(K126/L126,"-"))</f>
        <v>6.5000000000000002E-2</v>
      </c>
      <c r="N126" s="7">
        <f>IF(ISNUMBER(SEARCH("World",'RawData'!C137)),"",IF(ISNUMBER(SEARCH("Other",C126)),COUNTIFS('RawData'!B:B,B126,'RawData'!C:C,"&lt;&gt;*World*"),IF(OR(K126="",K126=0),"-",SUMPRODUCT(('RawData'!B$2:B$822=B126)*('RawData'!H$2:H$822&gt;K126)*(ISERROR(SEARCH("World",'RawData'!C$2:C$822)))*(ISERROR(SEARCH("Other",'RawData'!C$2:C$822))))+1)))</f>
        <v>13</v>
      </c>
    </row>
    <row r="127" spans="1:14" x14ac:dyDescent="0.3">
      <c r="A127" s="4" t="str">
        <f>IF(ISNUMBER(SEARCH("World",'RawData'!C138)),"",'RawData'!A138)</f>
        <v>MCS2026</v>
      </c>
      <c r="B127" s="4" t="str">
        <f>IF(ISNUMBER(SEARCH("World",'RawData'!C138)),"",'RawData'!B138)</f>
        <v>Cobalt</v>
      </c>
      <c r="C127" s="4" t="str">
        <f>IF(ISNUMBER(SEARCH("World",'RawData'!C138)),"",'RawData'!C138)</f>
        <v>Papua New Guinea</v>
      </c>
      <c r="D127" s="4" t="str">
        <f>IF(ISNUMBER(SEARCH("World",'RawData'!C138)),"",'RawData'!D138)</f>
        <v>Mine production, cobalt content, estimated</v>
      </c>
      <c r="E127" s="4" t="str">
        <f>IF(ISNUMBER(SEARCH("World",'RawData'!C138)),"",IF('RawData'!E138="WT001","kg",IF('RawData'!E138="WT002","ton",IF('RawData'!E138="WT003","k ton",""))))</f>
        <v>ton</v>
      </c>
      <c r="F127" s="14">
        <f>IF(ISNUMBER(SEARCH("World",'RawData'!C138)),"",'RawData'!F138)</f>
        <v>2630</v>
      </c>
      <c r="G127" s="14">
        <f>IF(ISNUMBER(SEARCH("World",'RawData'!C138)),"",'RawData'!G138)</f>
        <v>2800</v>
      </c>
      <c r="H127" s="14">
        <f>IF(ISNUMBER(SEARCH("World",'RawData'!C138)),"",SUMIFS('RawData'!G:G,'RawData'!B:B,'RawData'!B138,'RawData'!C:C,"*World*"))</f>
        <v>310000</v>
      </c>
      <c r="I127" s="15">
        <f>IF(ISNUMBER(SEARCH("World",'RawData'!C138)),"",IFERROR(G127/H127,"-"))</f>
        <v>9.0322580645161299E-3</v>
      </c>
      <c r="J127" s="7">
        <f>IF(ISNUMBER(SEARCH("World",'RawData'!C138)),"",IF(ISNUMBER(SEARCH("Other",C127)),COUNTIFS('RawData'!B:B,B127,'RawData'!C:C,"&lt;&gt;*World*"),IF(OR(G127="",G127=0),"-",SUMPRODUCT(('RawData'!B$2:B$822=B127)*('RawData'!G$2:G$822&gt;G127)*(ISERROR(SEARCH("World",'RawData'!C$2:C$822)))*(ISERROR(SEARCH("Other",'RawData'!C$2:C$822))))+1)))</f>
        <v>8</v>
      </c>
      <c r="K127" s="14">
        <f>IF(ISNUMBER(SEARCH("World",'RawData'!C138)),"",'RawData'!H138)</f>
        <v>84000</v>
      </c>
      <c r="L127" s="14">
        <f>IF(ISNUMBER(SEARCH("World",'RawData'!C138)),"",SUMIFS('RawData'!H:H,'RawData'!B:B,'RawData'!B138,'RawData'!C:C,"*World*"))</f>
        <v>12000000</v>
      </c>
      <c r="M127" s="15">
        <f>IF(ISNUMBER(SEARCH("World",'RawData'!C138)),"",IFERROR(K127/L127,"-"))</f>
        <v>7.0000000000000001E-3</v>
      </c>
      <c r="N127" s="7">
        <f>IF(ISNUMBER(SEARCH("World",'RawData'!C138)),"",IF(ISNUMBER(SEARCH("Other",C127)),COUNTIFS('RawData'!B:B,B127,'RawData'!C:C,"&lt;&gt;*World*"),IF(OR(K127="",K127=0),"-",SUMPRODUCT(('RawData'!B$2:B$822=B127)*('RawData'!H$2:H$822&gt;K127)*(ISERROR(SEARCH("World",'RawData'!C$2:C$822)))*(ISERROR(SEARCH("Other",'RawData'!C$2:C$822))))+1)))</f>
        <v>11</v>
      </c>
    </row>
    <row r="128" spans="1:14" x14ac:dyDescent="0.3">
      <c r="A128" s="4" t="str">
        <f>IF(ISNUMBER(SEARCH("World",'RawData'!C139)),"",'RawData'!A139)</f>
        <v>MCS2026</v>
      </c>
      <c r="B128" s="4" t="str">
        <f>IF(ISNUMBER(SEARCH("World",'RawData'!C139)),"",'RawData'!B139)</f>
        <v>Cobalt</v>
      </c>
      <c r="C128" s="4" t="str">
        <f>IF(ISNUMBER(SEARCH("World",'RawData'!C139)),"",'RawData'!C139)</f>
        <v>Philippines</v>
      </c>
      <c r="D128" s="4" t="str">
        <f>IF(ISNUMBER(SEARCH("World",'RawData'!C139)),"",'RawData'!D139)</f>
        <v>Mine production, cobalt content, estimated</v>
      </c>
      <c r="E128" s="4" t="str">
        <f>IF(ISNUMBER(SEARCH("World",'RawData'!C139)),"",IF('RawData'!E139="WT001","kg",IF('RawData'!E139="WT002","ton",IF('RawData'!E139="WT003","k ton",""))))</f>
        <v>ton</v>
      </c>
      <c r="F128" s="14">
        <f>IF(ISNUMBER(SEARCH("World",'RawData'!C139)),"",'RawData'!F139)</f>
        <v>3100</v>
      </c>
      <c r="G128" s="14">
        <f>IF(ISNUMBER(SEARCH("World",'RawData'!C139)),"",'RawData'!G139)</f>
        <v>3700</v>
      </c>
      <c r="H128" s="14">
        <f>IF(ISNUMBER(SEARCH("World",'RawData'!C139)),"",SUMIFS('RawData'!G:G,'RawData'!B:B,'RawData'!B139,'RawData'!C:C,"*World*"))</f>
        <v>310000</v>
      </c>
      <c r="I128" s="15">
        <f>IF(ISNUMBER(SEARCH("World",'RawData'!C139)),"",IFERROR(G128/H128,"-"))</f>
        <v>1.1935483870967743E-2</v>
      </c>
      <c r="J128" s="7">
        <f>IF(ISNUMBER(SEARCH("World",'RawData'!C139)),"",IF(ISNUMBER(SEARCH("Other",C128)),COUNTIFS('RawData'!B:B,B128,'RawData'!C:C,"&lt;&gt;*World*"),IF(OR(G128="",G128=0),"-",SUMPRODUCT(('RawData'!B$2:B$822=B128)*('RawData'!G$2:G$822&gt;G128)*(ISERROR(SEARCH("World",'RawData'!C$2:C$822)))*(ISERROR(SEARCH("Other",'RawData'!C$2:C$822))))+1)))</f>
        <v>5</v>
      </c>
      <c r="K128" s="14">
        <f>IF(ISNUMBER(SEARCH("World",'RawData'!C139)),"",'RawData'!H139)</f>
        <v>260000</v>
      </c>
      <c r="L128" s="14">
        <f>IF(ISNUMBER(SEARCH("World",'RawData'!C139)),"",SUMIFS('RawData'!H:H,'RawData'!B:B,'RawData'!B139,'RawData'!C:C,"*World*"))</f>
        <v>12000000</v>
      </c>
      <c r="M128" s="15">
        <f>IF(ISNUMBER(SEARCH("World",'RawData'!C139)),"",IFERROR(K128/L128,"-"))</f>
        <v>2.1666666666666667E-2</v>
      </c>
      <c r="N128" s="7">
        <f>IF(ISNUMBER(SEARCH("World",'RawData'!C139)),"",IF(ISNUMBER(SEARCH("Other",C128)),COUNTIFS('RawData'!B:B,B128,'RawData'!C:C,"&lt;&gt;*World*"),IF(OR(K128="",K128=0),"-",SUMPRODUCT(('RawData'!B$2:B$822=B128)*('RawData'!H$2:H$822&gt;K128)*(ISERROR(SEARCH("World",'RawData'!C$2:C$822)))*(ISERROR(SEARCH("Other",'RawData'!C$2:C$822))))+1)))</f>
        <v>6</v>
      </c>
    </row>
    <row r="129" spans="1:14" x14ac:dyDescent="0.3">
      <c r="A129" s="4" t="str">
        <f>IF(ISNUMBER(SEARCH("World",'RawData'!C140)),"",'RawData'!A140)</f>
        <v>MCS2026</v>
      </c>
      <c r="B129" s="4" t="str">
        <f>IF(ISNUMBER(SEARCH("World",'RawData'!C140)),"",'RawData'!B140)</f>
        <v>Cobalt</v>
      </c>
      <c r="C129" s="4" t="str">
        <f>IF(ISNUMBER(SEARCH("World",'RawData'!C140)),"",'RawData'!C140)</f>
        <v>Turkiye</v>
      </c>
      <c r="D129" s="4" t="str">
        <f>IF(ISNUMBER(SEARCH("World",'RawData'!C140)),"",'RawData'!D140)</f>
        <v>Mine production, cobalt content, estimated</v>
      </c>
      <c r="E129" s="4" t="str">
        <f>IF(ISNUMBER(SEARCH("World",'RawData'!C140)),"",IF('RawData'!E140="WT001","kg",IF('RawData'!E140="WT002","ton",IF('RawData'!E140="WT003","k ton",""))))</f>
        <v>ton</v>
      </c>
      <c r="F129" s="14">
        <f>IF(ISNUMBER(SEARCH("World",'RawData'!C140)),"",'RawData'!F140)</f>
        <v>2200</v>
      </c>
      <c r="G129" s="14">
        <f>IF(ISNUMBER(SEARCH("World",'RawData'!C140)),"",'RawData'!G140)</f>
        <v>1900</v>
      </c>
      <c r="H129" s="14">
        <f>IF(ISNUMBER(SEARCH("World",'RawData'!C140)),"",SUMIFS('RawData'!G:G,'RawData'!B:B,'RawData'!B140,'RawData'!C:C,"*World*"))</f>
        <v>310000</v>
      </c>
      <c r="I129" s="15">
        <f>IF(ISNUMBER(SEARCH("World",'RawData'!C140)),"",IFERROR(G129/H129,"-"))</f>
        <v>6.1290322580645163E-3</v>
      </c>
      <c r="J129" s="7">
        <f>IF(ISNUMBER(SEARCH("World",'RawData'!C140)),"",IF(ISNUMBER(SEARCH("Other",C129)),COUNTIFS('RawData'!B:B,B129,'RawData'!C:C,"&lt;&gt;*World*"),IF(OR(G129="",G129=0),"-",SUMPRODUCT(('RawData'!B$2:B$822=B129)*('RawData'!G$2:G$822&gt;G129)*(ISERROR(SEARCH("World",'RawData'!C$2:C$822)))*(ISERROR(SEARCH("Other",'RawData'!C$2:C$822))))+1)))</f>
        <v>11</v>
      </c>
      <c r="K129" s="14">
        <f>IF(ISNUMBER(SEARCH("World",'RawData'!C140)),"",'RawData'!H140)</f>
        <v>91000</v>
      </c>
      <c r="L129" s="14">
        <f>IF(ISNUMBER(SEARCH("World",'RawData'!C140)),"",SUMIFS('RawData'!H:H,'RawData'!B:B,'RawData'!B140,'RawData'!C:C,"*World*"))</f>
        <v>12000000</v>
      </c>
      <c r="M129" s="15">
        <f>IF(ISNUMBER(SEARCH("World",'RawData'!C140)),"",IFERROR(K129/L129,"-"))</f>
        <v>7.5833333333333334E-3</v>
      </c>
      <c r="N129" s="7">
        <f>IF(ISNUMBER(SEARCH("World",'RawData'!C140)),"",IF(ISNUMBER(SEARCH("Other",C129)),COUNTIFS('RawData'!B:B,B129,'RawData'!C:C,"&lt;&gt;*World*"),IF(OR(K129="",K129=0),"-",SUMPRODUCT(('RawData'!B$2:B$822=B129)*('RawData'!H$2:H$822&gt;K129)*(ISERROR(SEARCH("World",'RawData'!C$2:C$822)))*(ISERROR(SEARCH("Other",'RawData'!C$2:C$822))))+1)))</f>
        <v>10</v>
      </c>
    </row>
    <row r="130" spans="1:14" x14ac:dyDescent="0.3">
      <c r="A130" s="4" t="str">
        <f>IF(ISNUMBER(SEARCH("World",'RawData'!C141)),"",'RawData'!A141)</f>
        <v>MCS2026</v>
      </c>
      <c r="B130" s="4" t="str">
        <f>IF(ISNUMBER(SEARCH("World",'RawData'!C141)),"",'RawData'!B141)</f>
        <v>Cobalt</v>
      </c>
      <c r="C130" s="4" t="str">
        <f>IF(ISNUMBER(SEARCH("World",'RawData'!C141)),"",'RawData'!C141)</f>
        <v xml:space="preserve">Russia </v>
      </c>
      <c r="D130" s="4" t="str">
        <f>IF(ISNUMBER(SEARCH("World",'RawData'!C141)),"",'RawData'!D141)</f>
        <v>Mine production, cobalt content, estimated</v>
      </c>
      <c r="E130" s="4" t="str">
        <f>IF(ISNUMBER(SEARCH("World",'RawData'!C141)),"",IF('RawData'!E141="WT001","kg",IF('RawData'!E141="WT002","ton",IF('RawData'!E141="WT003","k ton",""))))</f>
        <v>ton</v>
      </c>
      <c r="F130" s="14">
        <f>IF(ISNUMBER(SEARCH("World",'RawData'!C141)),"",'RawData'!F141)</f>
        <v>8000</v>
      </c>
      <c r="G130" s="14">
        <f>IF(ISNUMBER(SEARCH("World",'RawData'!C141)),"",'RawData'!G141)</f>
        <v>7700</v>
      </c>
      <c r="H130" s="14">
        <f>IF(ISNUMBER(SEARCH("World",'RawData'!C141)),"",SUMIFS('RawData'!G:G,'RawData'!B:B,'RawData'!B141,'RawData'!C:C,"*World*"))</f>
        <v>310000</v>
      </c>
      <c r="I130" s="15">
        <f>IF(ISNUMBER(SEARCH("World",'RawData'!C141)),"",IFERROR(G130/H130,"-"))</f>
        <v>2.4838709677419354E-2</v>
      </c>
      <c r="J130" s="7">
        <f>IF(ISNUMBER(SEARCH("World",'RawData'!C141)),"",IF(ISNUMBER(SEARCH("Other",C130)),COUNTIFS('RawData'!B:B,B130,'RawData'!C:C,"&lt;&gt;*World*"),IF(OR(G130="",G130=0),"-",SUMPRODUCT(('RawData'!B$2:B$822=B130)*('RawData'!G$2:G$822&gt;G130)*(ISERROR(SEARCH("World",'RawData'!C$2:C$822)))*(ISERROR(SEARCH("Other",'RawData'!C$2:C$822))))+1)))</f>
        <v>3</v>
      </c>
      <c r="K130" s="14">
        <f>IF(ISNUMBER(SEARCH("World",'RawData'!C141)),"",'RawData'!H141)</f>
        <v>800000</v>
      </c>
      <c r="L130" s="14">
        <f>IF(ISNUMBER(SEARCH("World",'RawData'!C141)),"",SUMIFS('RawData'!H:H,'RawData'!B:B,'RawData'!B141,'RawData'!C:C,"*World*"))</f>
        <v>12000000</v>
      </c>
      <c r="M130" s="15">
        <f>IF(ISNUMBER(SEARCH("World",'RawData'!C141)),"",IFERROR(K130/L130,"-"))</f>
        <v>6.6666666666666666E-2</v>
      </c>
      <c r="N130" s="7">
        <f>IF(ISNUMBER(SEARCH("World",'RawData'!C141)),"",IF(ISNUMBER(SEARCH("Other",C130)),COUNTIFS('RawData'!B:B,B130,'RawData'!C:C,"&lt;&gt;*World*"),IF(OR(K130="",K130=0),"-",SUMPRODUCT(('RawData'!B$2:B$822=B130)*('RawData'!H$2:H$822&gt;K130)*(ISERROR(SEARCH("World",'RawData'!C$2:C$822)))*(ISERROR(SEARCH("Other",'RawData'!C$2:C$822))))+1)))</f>
        <v>3</v>
      </c>
    </row>
    <row r="131" spans="1:14" x14ac:dyDescent="0.3">
      <c r="A131" s="4" t="str">
        <f>IF(ISNUMBER(SEARCH("World",'RawData'!C142)),"",'RawData'!A142)</f>
        <v>MCS2026</v>
      </c>
      <c r="B131" s="4" t="str">
        <f>IF(ISNUMBER(SEARCH("World",'RawData'!C142)),"",'RawData'!B142)</f>
        <v>Cobalt</v>
      </c>
      <c r="C131" s="4" t="str">
        <f>IF(ISNUMBER(SEARCH("World",'RawData'!C142)),"",'RawData'!C142)</f>
        <v>United States</v>
      </c>
      <c r="D131" s="4" t="str">
        <f>IF(ISNUMBER(SEARCH("World",'RawData'!C142)),"",'RawData'!D142)</f>
        <v>Mine production, estimated</v>
      </c>
      <c r="E131" s="4" t="str">
        <f>IF(ISNUMBER(SEARCH("World",'RawData'!C142)),"",IF('RawData'!E142="WT001","kg",IF('RawData'!E142="WT002","ton",IF('RawData'!E142="WT003","k ton",""))))</f>
        <v>ton</v>
      </c>
      <c r="F131" s="14">
        <f>IF(ISNUMBER(SEARCH("World",'RawData'!C142)),"",'RawData'!F142)</f>
        <v>200</v>
      </c>
      <c r="G131" s="14">
        <f>IF(ISNUMBER(SEARCH("World",'RawData'!C142)),"",'RawData'!G142)</f>
        <v>300</v>
      </c>
      <c r="H131" s="14">
        <f>IF(ISNUMBER(SEARCH("World",'RawData'!C142)),"",SUMIFS('RawData'!G:G,'RawData'!B:B,'RawData'!B142,'RawData'!C:C,"*World*"))</f>
        <v>310000</v>
      </c>
      <c r="I131" s="15">
        <f>IF(ISNUMBER(SEARCH("World",'RawData'!C142)),"",IFERROR(G131/H131,"-"))</f>
        <v>9.6774193548387097E-4</v>
      </c>
      <c r="J131" s="7">
        <f>IF(ISNUMBER(SEARCH("World",'RawData'!C142)),"",IF(ISNUMBER(SEARCH("Other",C131)),COUNTIFS('RawData'!B:B,B131,'RawData'!C:C,"&lt;&gt;*World*"),IF(OR(G131="",G131=0),"-",SUMPRODUCT(('RawData'!B$2:B$822=B131)*('RawData'!G$2:G$822&gt;G131)*(ISERROR(SEARCH("World",'RawData'!C$2:C$822)))*(ISERROR(SEARCH("Other",'RawData'!C$2:C$822))))+1)))</f>
        <v>12</v>
      </c>
      <c r="K131" s="14">
        <f>IF(ISNUMBER(SEARCH("World",'RawData'!C142)),"",'RawData'!H142)</f>
        <v>70000</v>
      </c>
      <c r="L131" s="14">
        <f>IF(ISNUMBER(SEARCH("World",'RawData'!C142)),"",SUMIFS('RawData'!H:H,'RawData'!B:B,'RawData'!B142,'RawData'!C:C,"*World*"))</f>
        <v>12000000</v>
      </c>
      <c r="M131" s="15">
        <f>IF(ISNUMBER(SEARCH("World",'RawData'!C142)),"",IFERROR(K131/L131,"-"))</f>
        <v>5.8333333333333336E-3</v>
      </c>
      <c r="N131" s="7">
        <f>IF(ISNUMBER(SEARCH("World",'RawData'!C142)),"",IF(ISNUMBER(SEARCH("Other",C131)),COUNTIFS('RawData'!B:B,B131,'RawData'!C:C,"&lt;&gt;*World*"),IF(OR(K131="",K131=0),"-",SUMPRODUCT(('RawData'!B$2:B$822=B131)*('RawData'!H$2:H$822&gt;K131)*(ISERROR(SEARCH("World",'RawData'!C$2:C$822)))*(ISERROR(SEARCH("Other",'RawData'!C$2:C$822))))+1)))</f>
        <v>12</v>
      </c>
    </row>
    <row r="132" spans="1:14" x14ac:dyDescent="0.3">
      <c r="A132" s="4" t="str">
        <f>IF(ISNUMBER(SEARCH("World",'RawData'!C144)),"",'RawData'!A144)</f>
        <v>MCS2026</v>
      </c>
      <c r="B132" s="4" t="str">
        <f>IF(ISNUMBER(SEARCH("World",'RawData'!C144)),"",'RawData'!B144)</f>
        <v xml:space="preserve">Copper </v>
      </c>
      <c r="C132" s="4" t="str">
        <f>IF(ISNUMBER(SEARCH("World",'RawData'!C144)),"",'RawData'!C144)</f>
        <v>Australia</v>
      </c>
      <c r="D132" s="4" t="str">
        <f>IF(ISNUMBER(SEARCH("World",'RawData'!C144)),"",'RawData'!D144)</f>
        <v>Mine production, recoverable copper content</v>
      </c>
      <c r="E132" s="4" t="str">
        <f>IF(ISNUMBER(SEARCH("World",'RawData'!C144)),"",IF('RawData'!E144="WT001","kg",IF('RawData'!E144="WT002","ton",IF('RawData'!E144="WT003","k ton",""))))</f>
        <v>k ton</v>
      </c>
      <c r="F132" s="14">
        <f>IF(ISNUMBER(SEARCH("World",'RawData'!C144)),"",'RawData'!F144)</f>
        <v>765</v>
      </c>
      <c r="G132" s="14">
        <f>IF(ISNUMBER(SEARCH("World",'RawData'!C144)),"",'RawData'!G144)</f>
        <v>730</v>
      </c>
      <c r="H132" s="14">
        <f>IF(ISNUMBER(SEARCH("World",'RawData'!C144)),"",SUMIFS('RawData'!G:G,'RawData'!B:B,'RawData'!B144,'RawData'!C:C,"*World*"))</f>
        <v>23000</v>
      </c>
      <c r="I132" s="15">
        <f>IF(ISNUMBER(SEARCH("World",'RawData'!C144)),"",IFERROR(G132/H132,"-"))</f>
        <v>3.173913043478261E-2</v>
      </c>
      <c r="J132" s="7">
        <f>IF(ISNUMBER(SEARCH("World",'RawData'!C144)),"",IF(ISNUMBER(SEARCH("Other",C132)),COUNTIFS('RawData'!B:B,B132,'RawData'!C:C,"&lt;&gt;*World*"),IF(OR(G132="",G132=0),"-",SUMPRODUCT(('RawData'!B$2:B$822=B132)*('RawData'!G$2:G$822&gt;G132)*(ISERROR(SEARCH("World",'RawData'!C$2:C$822)))*(ISERROR(SEARCH("Other",'RawData'!C$2:C$822))))+1)))</f>
        <v>8</v>
      </c>
      <c r="K132" s="14">
        <f>IF(ISNUMBER(SEARCH("World",'RawData'!C144)),"",'RawData'!H144)</f>
        <v>100000</v>
      </c>
      <c r="L132" s="14">
        <f>IF(ISNUMBER(SEARCH("World",'RawData'!C144)),"",SUMIFS('RawData'!H:H,'RawData'!B:B,'RawData'!B144,'RawData'!C:C,"*World*"))</f>
        <v>980000</v>
      </c>
      <c r="M132" s="15">
        <f>IF(ISNUMBER(SEARCH("World",'RawData'!C144)),"",IFERROR(K132/L132,"-"))</f>
        <v>0.10204081632653061</v>
      </c>
      <c r="N132" s="7">
        <f>IF(ISNUMBER(SEARCH("World",'RawData'!C144)),"",IF(ISNUMBER(SEARCH("Other",C132)),COUNTIFS('RawData'!B:B,B132,'RawData'!C:C,"&lt;&gt;*World*"),IF(OR(K132="",K132=0),"-",SUMPRODUCT(('RawData'!B$2:B$822=B132)*('RawData'!H$2:H$822&gt;K132)*(ISERROR(SEARCH("World",'RawData'!C$2:C$822)))*(ISERROR(SEARCH("Other",'RawData'!C$2:C$822))))+1)))</f>
        <v>2</v>
      </c>
    </row>
    <row r="133" spans="1:14" x14ac:dyDescent="0.3">
      <c r="A133" s="4" t="str">
        <f>IF(ISNUMBER(SEARCH("World",'RawData'!C145)),"",'RawData'!A145)</f>
        <v>MCS2026</v>
      </c>
      <c r="B133" s="4" t="str">
        <f>IF(ISNUMBER(SEARCH("World",'RawData'!C145)),"",'RawData'!B145)</f>
        <v xml:space="preserve">Copper </v>
      </c>
      <c r="C133" s="4" t="str">
        <f>IF(ISNUMBER(SEARCH("World",'RawData'!C145)),"",'RawData'!C145)</f>
        <v xml:space="preserve">Canada </v>
      </c>
      <c r="D133" s="4" t="str">
        <f>IF(ISNUMBER(SEARCH("World",'RawData'!C145)),"",'RawData'!D145)</f>
        <v>Mine production, recoverable copper content</v>
      </c>
      <c r="E133" s="4" t="str">
        <f>IF(ISNUMBER(SEARCH("World",'RawData'!C145)),"",IF('RawData'!E145="WT001","kg",IF('RawData'!E145="WT002","ton",IF('RawData'!E145="WT003","k ton",""))))</f>
        <v>k ton</v>
      </c>
      <c r="F133" s="14">
        <f>IF(ISNUMBER(SEARCH("World",'RawData'!C145)),"",'RawData'!F145)</f>
        <v>515</v>
      </c>
      <c r="G133" s="14">
        <f>IF(ISNUMBER(SEARCH("World",'RawData'!C145)),"",'RawData'!G145)</f>
        <v>500</v>
      </c>
      <c r="H133" s="14">
        <f>IF(ISNUMBER(SEARCH("World",'RawData'!C145)),"",SUMIFS('RawData'!G:G,'RawData'!B:B,'RawData'!B145,'RawData'!C:C,"*World*"))</f>
        <v>23000</v>
      </c>
      <c r="I133" s="15">
        <f>IF(ISNUMBER(SEARCH("World",'RawData'!C145)),"",IFERROR(G133/H133,"-"))</f>
        <v>2.1739130434782608E-2</v>
      </c>
      <c r="J133" s="7">
        <f>IF(ISNUMBER(SEARCH("World",'RawData'!C145)),"",IF(ISNUMBER(SEARCH("Other",C133)),COUNTIFS('RawData'!B:B,B133,'RawData'!C:C,"&lt;&gt;*World*"),IF(OR(G133="",G133=0),"-",SUMPRODUCT(('RawData'!B$2:B$822=B133)*('RawData'!G$2:G$822&gt;G133)*(ISERROR(SEARCH("World",'RawData'!C$2:C$822)))*(ISERROR(SEARCH("Other",'RawData'!C$2:C$822))))+1)))</f>
        <v>12</v>
      </c>
      <c r="K133" s="14">
        <f>IF(ISNUMBER(SEARCH("World",'RawData'!C145)),"",'RawData'!H145)</f>
        <v>7000</v>
      </c>
      <c r="L133" s="14">
        <f>IF(ISNUMBER(SEARCH("World",'RawData'!C145)),"",SUMIFS('RawData'!H:H,'RawData'!B:B,'RawData'!B145,'RawData'!C:C,"*World*"))</f>
        <v>980000</v>
      </c>
      <c r="M133" s="15">
        <f>IF(ISNUMBER(SEARCH("World",'RawData'!C145)),"",IFERROR(K133/L133,"-"))</f>
        <v>7.1428571428571426E-3</v>
      </c>
      <c r="N133" s="7">
        <f>IF(ISNUMBER(SEARCH("World",'RawData'!C145)),"",IF(ISNUMBER(SEARCH("Other",C133)),COUNTIFS('RawData'!B:B,B133,'RawData'!C:C,"&lt;&gt;*World*"),IF(OR(K133="",K133=0),"-",SUMPRODUCT(('RawData'!B$2:B$822=B133)*('RawData'!H$2:H$822&gt;K133)*(ISERROR(SEARCH("World",'RawData'!C$2:C$822)))*(ISERROR(SEARCH("Other",'RawData'!C$2:C$822))))+1)))</f>
        <v>13</v>
      </c>
    </row>
    <row r="134" spans="1:14" x14ac:dyDescent="0.3">
      <c r="A134" s="4" t="str">
        <f>IF(ISNUMBER(SEARCH("World",'RawData'!C146)),"",'RawData'!A146)</f>
        <v>MCS2026</v>
      </c>
      <c r="B134" s="4" t="str">
        <f>IF(ISNUMBER(SEARCH("World",'RawData'!C146)),"",'RawData'!B146)</f>
        <v xml:space="preserve">Copper </v>
      </c>
      <c r="C134" s="4" t="str">
        <f>IF(ISNUMBER(SEARCH("World",'RawData'!C146)),"",'RawData'!C146)</f>
        <v>Chile</v>
      </c>
      <c r="D134" s="4" t="str">
        <f>IF(ISNUMBER(SEARCH("World",'RawData'!C146)),"",'RawData'!D146)</f>
        <v>Mine production, recoverable copper content</v>
      </c>
      <c r="E134" s="4" t="str">
        <f>IF(ISNUMBER(SEARCH("World",'RawData'!C146)),"",IF('RawData'!E146="WT001","kg",IF('RawData'!E146="WT002","ton",IF('RawData'!E146="WT003","k ton",""))))</f>
        <v>k ton</v>
      </c>
      <c r="F134" s="14">
        <f>IF(ISNUMBER(SEARCH("World",'RawData'!C146)),"",'RawData'!F146)</f>
        <v>5510</v>
      </c>
      <c r="G134" s="14">
        <f>IF(ISNUMBER(SEARCH("World",'RawData'!C146)),"",'RawData'!G146)</f>
        <v>5300</v>
      </c>
      <c r="H134" s="14">
        <f>IF(ISNUMBER(SEARCH("World",'RawData'!C146)),"",SUMIFS('RawData'!G:G,'RawData'!B:B,'RawData'!B146,'RawData'!C:C,"*World*"))</f>
        <v>23000</v>
      </c>
      <c r="I134" s="15">
        <f>IF(ISNUMBER(SEARCH("World",'RawData'!C146)),"",IFERROR(G134/H134,"-"))</f>
        <v>0.23043478260869565</v>
      </c>
      <c r="J134" s="7">
        <f>IF(ISNUMBER(SEARCH("World",'RawData'!C146)),"",IF(ISNUMBER(SEARCH("Other",C134)),COUNTIFS('RawData'!B:B,B134,'RawData'!C:C,"&lt;&gt;*World*"),IF(OR(G134="",G134=0),"-",SUMPRODUCT(('RawData'!B$2:B$822=B134)*('RawData'!G$2:G$822&gt;G134)*(ISERROR(SEARCH("World",'RawData'!C$2:C$822)))*(ISERROR(SEARCH("Other",'RawData'!C$2:C$822))))+1)))</f>
        <v>1</v>
      </c>
      <c r="K134" s="14">
        <f>IF(ISNUMBER(SEARCH("World",'RawData'!C146)),"",'RawData'!H146)</f>
        <v>180000</v>
      </c>
      <c r="L134" s="14">
        <f>IF(ISNUMBER(SEARCH("World",'RawData'!C146)),"",SUMIFS('RawData'!H:H,'RawData'!B:B,'RawData'!B146,'RawData'!C:C,"*World*"))</f>
        <v>980000</v>
      </c>
      <c r="M134" s="15">
        <f>IF(ISNUMBER(SEARCH("World",'RawData'!C146)),"",IFERROR(K134/L134,"-"))</f>
        <v>0.18367346938775511</v>
      </c>
      <c r="N134" s="7">
        <f>IF(ISNUMBER(SEARCH("World",'RawData'!C146)),"",IF(ISNUMBER(SEARCH("Other",C134)),COUNTIFS('RawData'!B:B,B134,'RawData'!C:C,"&lt;&gt;*World*"),IF(OR(K134="",K134=0),"-",SUMPRODUCT(('RawData'!B$2:B$822=B134)*('RawData'!H$2:H$822&gt;K134)*(ISERROR(SEARCH("World",'RawData'!C$2:C$822)))*(ISERROR(SEARCH("Other",'RawData'!C$2:C$822))))+1)))</f>
        <v>1</v>
      </c>
    </row>
    <row r="135" spans="1:14" x14ac:dyDescent="0.3">
      <c r="A135" s="4" t="str">
        <f>IF(ISNUMBER(SEARCH("World",'RawData'!C147)),"",'RawData'!A147)</f>
        <v>MCS2026</v>
      </c>
      <c r="B135" s="4" t="str">
        <f>IF(ISNUMBER(SEARCH("World",'RawData'!C147)),"",'RawData'!B147)</f>
        <v xml:space="preserve">Copper </v>
      </c>
      <c r="C135" s="4" t="str">
        <f>IF(ISNUMBER(SEARCH("World",'RawData'!C147)),"",'RawData'!C147)</f>
        <v>China</v>
      </c>
      <c r="D135" s="4" t="str">
        <f>IF(ISNUMBER(SEARCH("World",'RawData'!C147)),"",'RawData'!D147)</f>
        <v>Mine production, recoverable copper content</v>
      </c>
      <c r="E135" s="4" t="str">
        <f>IF(ISNUMBER(SEARCH("World",'RawData'!C147)),"",IF('RawData'!E147="WT001","kg",IF('RawData'!E147="WT002","ton",IF('RawData'!E147="WT003","k ton",""))))</f>
        <v>k ton</v>
      </c>
      <c r="F135" s="14">
        <f>IF(ISNUMBER(SEARCH("World",'RawData'!C147)),"",'RawData'!F147)</f>
        <v>1840</v>
      </c>
      <c r="G135" s="14">
        <f>IF(ISNUMBER(SEARCH("World",'RawData'!C147)),"",'RawData'!G147)</f>
        <v>1800</v>
      </c>
      <c r="H135" s="14">
        <f>IF(ISNUMBER(SEARCH("World",'RawData'!C147)),"",SUMIFS('RawData'!G:G,'RawData'!B:B,'RawData'!B147,'RawData'!C:C,"*World*"))</f>
        <v>23000</v>
      </c>
      <c r="I135" s="15">
        <f>IF(ISNUMBER(SEARCH("World",'RawData'!C147)),"",IFERROR(G135/H135,"-"))</f>
        <v>7.8260869565217397E-2</v>
      </c>
      <c r="J135" s="7">
        <f>IF(ISNUMBER(SEARCH("World",'RawData'!C147)),"",IF(ISNUMBER(SEARCH("Other",C135)),COUNTIFS('RawData'!B:B,B135,'RawData'!C:C,"&lt;&gt;*World*"),IF(OR(G135="",G135=0),"-",SUMPRODUCT(('RawData'!B$2:B$822=B135)*('RawData'!G$2:G$822&gt;G135)*(ISERROR(SEARCH("World",'RawData'!C$2:C$822)))*(ISERROR(SEARCH("Other",'RawData'!C$2:C$822))))+1)))</f>
        <v>4</v>
      </c>
      <c r="K135" s="14">
        <f>IF(ISNUMBER(SEARCH("World",'RawData'!C147)),"",'RawData'!H147)</f>
        <v>41000</v>
      </c>
      <c r="L135" s="14">
        <f>IF(ISNUMBER(SEARCH("World",'RawData'!C147)),"",SUMIFS('RawData'!H:H,'RawData'!B:B,'RawData'!B147,'RawData'!C:C,"*World*"))</f>
        <v>980000</v>
      </c>
      <c r="M135" s="15">
        <f>IF(ISNUMBER(SEARCH("World",'RawData'!C147)),"",IFERROR(K135/L135,"-"))</f>
        <v>4.1836734693877553E-2</v>
      </c>
      <c r="N135" s="7">
        <f>IF(ISNUMBER(SEARCH("World",'RawData'!C147)),"",IF(ISNUMBER(SEARCH("Other",C135)),COUNTIFS('RawData'!B:B,B135,'RawData'!C:C,"&lt;&gt;*World*"),IF(OR(K135="",K135=0),"-",SUMPRODUCT(('RawData'!B$2:B$822=B135)*('RawData'!H$2:H$822&gt;K135)*(ISERROR(SEARCH("World",'RawData'!C$2:C$822)))*(ISERROR(SEARCH("Other",'RawData'!C$2:C$822))))+1)))</f>
        <v>8</v>
      </c>
    </row>
    <row r="136" spans="1:14" x14ac:dyDescent="0.3">
      <c r="A136" s="4" t="str">
        <f>IF(ISNUMBER(SEARCH("World",'RawData'!C148)),"",'RawData'!A148)</f>
        <v>MCS2026</v>
      </c>
      <c r="B136" s="4" t="str">
        <f>IF(ISNUMBER(SEARCH("World",'RawData'!C148)),"",'RawData'!B148)</f>
        <v xml:space="preserve">Copper </v>
      </c>
      <c r="C136" s="4" t="str">
        <f>IF(ISNUMBER(SEARCH("World",'RawData'!C148)),"",'RawData'!C148)</f>
        <v>DRCongo</v>
      </c>
      <c r="D136" s="4" t="str">
        <f>IF(ISNUMBER(SEARCH("World",'RawData'!C148)),"",'RawData'!D148)</f>
        <v>Mine production, recoverable copper content</v>
      </c>
      <c r="E136" s="4" t="str">
        <f>IF(ISNUMBER(SEARCH("World",'RawData'!C148)),"",IF('RawData'!E148="WT001","kg",IF('RawData'!E148="WT002","ton",IF('RawData'!E148="WT003","k ton",""))))</f>
        <v>k ton</v>
      </c>
      <c r="F136" s="14">
        <f>IF(ISNUMBER(SEARCH("World",'RawData'!C148)),"",'RawData'!F148)</f>
        <v>2990</v>
      </c>
      <c r="G136" s="14">
        <f>IF(ISNUMBER(SEARCH("World",'RawData'!C148)),"",'RawData'!G148)</f>
        <v>3200</v>
      </c>
      <c r="H136" s="14">
        <f>IF(ISNUMBER(SEARCH("World",'RawData'!C148)),"",SUMIFS('RawData'!G:G,'RawData'!B:B,'RawData'!B148,'RawData'!C:C,"*World*"))</f>
        <v>23000</v>
      </c>
      <c r="I136" s="15">
        <f>IF(ISNUMBER(SEARCH("World",'RawData'!C148)),"",IFERROR(G136/H136,"-"))</f>
        <v>0.1391304347826087</v>
      </c>
      <c r="J136" s="7">
        <f>IF(ISNUMBER(SEARCH("World",'RawData'!C148)),"",IF(ISNUMBER(SEARCH("Other",C136)),COUNTIFS('RawData'!B:B,B136,'RawData'!C:C,"&lt;&gt;*World*"),IF(OR(G136="",G136=0),"-",SUMPRODUCT(('RawData'!B$2:B$822=B136)*('RawData'!G$2:G$822&gt;G136)*(ISERROR(SEARCH("World",'RawData'!C$2:C$822)))*(ISERROR(SEARCH("Other",'RawData'!C$2:C$822))))+1)))</f>
        <v>2</v>
      </c>
      <c r="K136" s="14">
        <f>IF(ISNUMBER(SEARCH("World",'RawData'!C148)),"",'RawData'!H148)</f>
        <v>80000</v>
      </c>
      <c r="L136" s="14">
        <f>IF(ISNUMBER(SEARCH("World",'RawData'!C148)),"",SUMIFS('RawData'!H:H,'RawData'!B:B,'RawData'!B148,'RawData'!C:C,"*World*"))</f>
        <v>980000</v>
      </c>
      <c r="M136" s="15">
        <f>IF(ISNUMBER(SEARCH("World",'RawData'!C148)),"",IFERROR(K136/L136,"-"))</f>
        <v>8.1632653061224483E-2</v>
      </c>
      <c r="N136" s="7">
        <f>IF(ISNUMBER(SEARCH("World",'RawData'!C148)),"",IF(ISNUMBER(SEARCH("Other",C136)),COUNTIFS('RawData'!B:B,B136,'RawData'!C:C,"&lt;&gt;*World*"),IF(OR(K136="",K136=0),"-",SUMPRODUCT(('RawData'!B$2:B$822=B136)*('RawData'!H$2:H$822&gt;K136)*(ISERROR(SEARCH("World",'RawData'!C$2:C$822)))*(ISERROR(SEARCH("Other",'RawData'!C$2:C$822))))+1)))</f>
        <v>4</v>
      </c>
    </row>
    <row r="137" spans="1:14" x14ac:dyDescent="0.3">
      <c r="A137" s="4" t="str">
        <f>IF(ISNUMBER(SEARCH("World",'RawData'!C149)),"",'RawData'!A149)</f>
        <v>MCS2026</v>
      </c>
      <c r="B137" s="4" t="str">
        <f>IF(ISNUMBER(SEARCH("World",'RawData'!C149)),"",'RawData'!B149)</f>
        <v xml:space="preserve">Copper </v>
      </c>
      <c r="C137" s="4" t="str">
        <f>IF(ISNUMBER(SEARCH("World",'RawData'!C149)),"",'RawData'!C149)</f>
        <v>Germany</v>
      </c>
      <c r="D137" s="4" t="str">
        <f>IF(ISNUMBER(SEARCH("World",'RawData'!C149)),"",'RawData'!D149)</f>
        <v>Mine production, recoverable copper content</v>
      </c>
      <c r="E137" s="4" t="str">
        <f>IF(ISNUMBER(SEARCH("World",'RawData'!C149)),"",IF('RawData'!E149="WT001","kg",IF('RawData'!E149="WT002","ton",IF('RawData'!E149="WT003","k ton",""))))</f>
        <v>k ton</v>
      </c>
      <c r="F137" s="14">
        <f>IF(ISNUMBER(SEARCH("World",'RawData'!C149)),"",'RawData'!F149)</f>
        <v>0</v>
      </c>
      <c r="G137" s="14">
        <f>IF(ISNUMBER(SEARCH("World",'RawData'!C149)),"",'RawData'!G149)</f>
        <v>0</v>
      </c>
      <c r="H137" s="14">
        <f>IF(ISNUMBER(SEARCH("World",'RawData'!C149)),"",SUMIFS('RawData'!G:G,'RawData'!B:B,'RawData'!B149,'RawData'!C:C,"*World*"))</f>
        <v>23000</v>
      </c>
      <c r="I137" s="15">
        <f>IF(ISNUMBER(SEARCH("World",'RawData'!C149)),"",IFERROR(G137/H137,"-"))</f>
        <v>0</v>
      </c>
      <c r="J137" s="7" t="str">
        <f>IF(ISNUMBER(SEARCH("World",'RawData'!C149)),"",IF(ISNUMBER(SEARCH("Other",C137)),COUNTIFS('RawData'!B:B,B137,'RawData'!C:C,"&lt;&gt;*World*"),IF(OR(G137="",G137=0),"-",SUMPRODUCT(('RawData'!B$2:B$822=B137)*('RawData'!G$2:G$822&gt;G137)*(ISERROR(SEARCH("World",'RawData'!C$2:C$822)))*(ISERROR(SEARCH("Other",'RawData'!C$2:C$822))))+1)))</f>
        <v>-</v>
      </c>
      <c r="K137" s="14">
        <f>IF(ISNUMBER(SEARCH("World",'RawData'!C149)),"",'RawData'!H149)</f>
        <v>0</v>
      </c>
      <c r="L137" s="14">
        <f>IF(ISNUMBER(SEARCH("World",'RawData'!C149)),"",SUMIFS('RawData'!H:H,'RawData'!B:B,'RawData'!B149,'RawData'!C:C,"*World*"))</f>
        <v>980000</v>
      </c>
      <c r="M137" s="15">
        <f>IF(ISNUMBER(SEARCH("World",'RawData'!C149)),"",IFERROR(K137/L137,"-"))</f>
        <v>0</v>
      </c>
      <c r="N137" s="7" t="str">
        <f>IF(ISNUMBER(SEARCH("World",'RawData'!C149)),"",IF(ISNUMBER(SEARCH("Other",C137)),COUNTIFS('RawData'!B:B,B137,'RawData'!C:C,"&lt;&gt;*World*"),IF(OR(K137="",K137=0),"-",SUMPRODUCT(('RawData'!B$2:B$822=B137)*('RawData'!H$2:H$822&gt;K137)*(ISERROR(SEARCH("World",'RawData'!C$2:C$822)))*(ISERROR(SEARCH("Other",'RawData'!C$2:C$822))))+1)))</f>
        <v>-</v>
      </c>
    </row>
    <row r="138" spans="1:14" x14ac:dyDescent="0.3">
      <c r="A138" s="4" t="str">
        <f>IF(ISNUMBER(SEARCH("World",'RawData'!C150)),"",'RawData'!A150)</f>
        <v>MCS2026</v>
      </c>
      <c r="B138" s="4" t="str">
        <f>IF(ISNUMBER(SEARCH("World",'RawData'!C150)),"",'RawData'!B150)</f>
        <v xml:space="preserve">Copper </v>
      </c>
      <c r="C138" s="4" t="str">
        <f>IF(ISNUMBER(SEARCH("World",'RawData'!C150)),"",'RawData'!C150)</f>
        <v>India</v>
      </c>
      <c r="D138" s="4" t="str">
        <f>IF(ISNUMBER(SEARCH("World",'RawData'!C150)),"",'RawData'!D150)</f>
        <v>Mine production, recoverable copper content</v>
      </c>
      <c r="E138" s="4" t="str">
        <f>IF(ISNUMBER(SEARCH("World",'RawData'!C150)),"",IF('RawData'!E150="WT001","kg",IF('RawData'!E150="WT002","ton",IF('RawData'!E150="WT003","k ton",""))))</f>
        <v>k ton</v>
      </c>
      <c r="F138" s="14">
        <f>IF(ISNUMBER(SEARCH("World",'RawData'!C150)),"",'RawData'!F150)</f>
        <v>27</v>
      </c>
      <c r="G138" s="14">
        <f>IF(ISNUMBER(SEARCH("World",'RawData'!C150)),"",'RawData'!G150)</f>
        <v>23</v>
      </c>
      <c r="H138" s="14">
        <f>IF(ISNUMBER(SEARCH("World",'RawData'!C150)),"",SUMIFS('RawData'!G:G,'RawData'!B:B,'RawData'!B150,'RawData'!C:C,"*World*"))</f>
        <v>23000</v>
      </c>
      <c r="I138" s="15">
        <f>IF(ISNUMBER(SEARCH("World",'RawData'!C150)),"",IFERROR(G138/H138,"-"))</f>
        <v>1E-3</v>
      </c>
      <c r="J138" s="7">
        <f>IF(ISNUMBER(SEARCH("World",'RawData'!C150)),"",IF(ISNUMBER(SEARCH("Other",C138)),COUNTIFS('RawData'!B:B,B138,'RawData'!C:C,"&lt;&gt;*World*"),IF(OR(G138="",G138=0),"-",SUMPRODUCT(('RawData'!B$2:B$822=B138)*('RawData'!G$2:G$822&gt;G138)*(ISERROR(SEARCH("World",'RawData'!C$2:C$822)))*(ISERROR(SEARCH("Other",'RawData'!C$2:C$822))))+1)))</f>
        <v>14</v>
      </c>
      <c r="K138" s="14">
        <f>IF(ISNUMBER(SEARCH("World",'RawData'!C150)),"",'RawData'!H150)</f>
        <v>2200</v>
      </c>
      <c r="L138" s="14">
        <f>IF(ISNUMBER(SEARCH("World",'RawData'!C150)),"",SUMIFS('RawData'!H:H,'RawData'!B:B,'RawData'!B150,'RawData'!C:C,"*World*"))</f>
        <v>980000</v>
      </c>
      <c r="M138" s="15">
        <f>IF(ISNUMBER(SEARCH("World",'RawData'!C150)),"",IFERROR(K138/L138,"-"))</f>
        <v>2.2448979591836735E-3</v>
      </c>
      <c r="N138" s="7">
        <f>IF(ISNUMBER(SEARCH("World",'RawData'!C150)),"",IF(ISNUMBER(SEARCH("Other",C138)),COUNTIFS('RawData'!B:B,B138,'RawData'!C:C,"&lt;&gt;*World*"),IF(OR(K138="",K138=0),"-",SUMPRODUCT(('RawData'!B$2:B$822=B138)*('RawData'!H$2:H$822&gt;K138)*(ISERROR(SEARCH("World",'RawData'!C$2:C$822)))*(ISERROR(SEARCH("Other",'RawData'!C$2:C$822))))+1)))</f>
        <v>14</v>
      </c>
    </row>
    <row r="139" spans="1:14" x14ac:dyDescent="0.3">
      <c r="A139" s="4" t="str">
        <f>IF(ISNUMBER(SEARCH("World",'RawData'!C151)),"",'RawData'!A151)</f>
        <v>MCS2026</v>
      </c>
      <c r="B139" s="4" t="str">
        <f>IF(ISNUMBER(SEARCH("World",'RawData'!C151)),"",'RawData'!B151)</f>
        <v xml:space="preserve">Copper </v>
      </c>
      <c r="C139" s="4" t="str">
        <f>IF(ISNUMBER(SEARCH("World",'RawData'!C151)),"",'RawData'!C151)</f>
        <v>Indonesia</v>
      </c>
      <c r="D139" s="4" t="str">
        <f>IF(ISNUMBER(SEARCH("World",'RawData'!C151)),"",'RawData'!D151)</f>
        <v>Mine production, recoverable copper content</v>
      </c>
      <c r="E139" s="4" t="str">
        <f>IF(ISNUMBER(SEARCH("World",'RawData'!C151)),"",IF('RawData'!E151="WT001","kg",IF('RawData'!E151="WT002","ton",IF('RawData'!E151="WT003","k ton",""))))</f>
        <v>k ton</v>
      </c>
      <c r="F139" s="14">
        <f>IF(ISNUMBER(SEARCH("World",'RawData'!C151)),"",'RawData'!F151)</f>
        <v>1010</v>
      </c>
      <c r="G139" s="14">
        <f>IF(ISNUMBER(SEARCH("World",'RawData'!C151)),"",'RawData'!G151)</f>
        <v>710</v>
      </c>
      <c r="H139" s="14">
        <f>IF(ISNUMBER(SEARCH("World",'RawData'!C151)),"",SUMIFS('RawData'!G:G,'RawData'!B:B,'RawData'!B151,'RawData'!C:C,"*World*"))</f>
        <v>23000</v>
      </c>
      <c r="I139" s="15">
        <f>IF(ISNUMBER(SEARCH("World",'RawData'!C151)),"",IFERROR(G139/H139,"-"))</f>
        <v>3.0869565217391304E-2</v>
      </c>
      <c r="J139" s="7">
        <f>IF(ISNUMBER(SEARCH("World",'RawData'!C151)),"",IF(ISNUMBER(SEARCH("Other",C139)),COUNTIFS('RawData'!B:B,B139,'RawData'!C:C,"&lt;&gt;*World*"),IF(OR(G139="",G139=0),"-",SUMPRODUCT(('RawData'!B$2:B$822=B139)*('RawData'!G$2:G$822&gt;G139)*(ISERROR(SEARCH("World",'RawData'!C$2:C$822)))*(ISERROR(SEARCH("Other",'RawData'!C$2:C$822))))+1)))</f>
        <v>9</v>
      </c>
      <c r="K139" s="14">
        <f>IF(ISNUMBER(SEARCH("World",'RawData'!C151)),"",'RawData'!H151)</f>
        <v>21000</v>
      </c>
      <c r="L139" s="14">
        <f>IF(ISNUMBER(SEARCH("World",'RawData'!C151)),"",SUMIFS('RawData'!H:H,'RawData'!B:B,'RawData'!B151,'RawData'!C:C,"*World*"))</f>
        <v>980000</v>
      </c>
      <c r="M139" s="15">
        <f>IF(ISNUMBER(SEARCH("World",'RawData'!C151)),"",IFERROR(K139/L139,"-"))</f>
        <v>2.1428571428571429E-2</v>
      </c>
      <c r="N139" s="7">
        <f>IF(ISNUMBER(SEARCH("World",'RawData'!C151)),"",IF(ISNUMBER(SEARCH("Other",C139)),COUNTIFS('RawData'!B:B,B139,'RawData'!C:C,"&lt;&gt;*World*"),IF(OR(K139="",K139=0),"-",SUMPRODUCT(('RawData'!B$2:B$822=B139)*('RawData'!H$2:H$822&gt;K139)*(ISERROR(SEARCH("World",'RawData'!C$2:C$822)))*(ISERROR(SEARCH("Other",'RawData'!C$2:C$822))))+1)))</f>
        <v>10</v>
      </c>
    </row>
    <row r="140" spans="1:14" x14ac:dyDescent="0.3">
      <c r="A140" s="4" t="str">
        <f>IF(ISNUMBER(SEARCH("World",'RawData'!C152)),"",'RawData'!A152)</f>
        <v>MCS2026</v>
      </c>
      <c r="B140" s="4" t="str">
        <f>IF(ISNUMBER(SEARCH("World",'RawData'!C152)),"",'RawData'!B152)</f>
        <v xml:space="preserve">Copper </v>
      </c>
      <c r="C140" s="4" t="str">
        <f>IF(ISNUMBER(SEARCH("World",'RawData'!C152)),"",'RawData'!C152)</f>
        <v>Japan</v>
      </c>
      <c r="D140" s="4" t="str">
        <f>IF(ISNUMBER(SEARCH("World",'RawData'!C152)),"",'RawData'!D152)</f>
        <v>Mine production, recoverable copper content</v>
      </c>
      <c r="E140" s="4" t="str">
        <f>IF(ISNUMBER(SEARCH("World",'RawData'!C152)),"",IF('RawData'!E152="WT001","kg",IF('RawData'!E152="WT002","ton",IF('RawData'!E152="WT003","k ton",""))))</f>
        <v>k ton</v>
      </c>
      <c r="F140" s="14">
        <f>IF(ISNUMBER(SEARCH("World",'RawData'!C152)),"",'RawData'!F152)</f>
        <v>0</v>
      </c>
      <c r="G140" s="14">
        <f>IF(ISNUMBER(SEARCH("World",'RawData'!C152)),"",'RawData'!G152)</f>
        <v>0</v>
      </c>
      <c r="H140" s="14">
        <f>IF(ISNUMBER(SEARCH("World",'RawData'!C152)),"",SUMIFS('RawData'!G:G,'RawData'!B:B,'RawData'!B152,'RawData'!C:C,"*World*"))</f>
        <v>23000</v>
      </c>
      <c r="I140" s="15">
        <f>IF(ISNUMBER(SEARCH("World",'RawData'!C152)),"",IFERROR(G140/H140,"-"))</f>
        <v>0</v>
      </c>
      <c r="J140" s="7" t="str">
        <f>IF(ISNUMBER(SEARCH("World",'RawData'!C152)),"",IF(ISNUMBER(SEARCH("Other",C140)),COUNTIFS('RawData'!B:B,B140,'RawData'!C:C,"&lt;&gt;*World*"),IF(OR(G140="",G140=0),"-",SUMPRODUCT(('RawData'!B$2:B$822=B140)*('RawData'!G$2:G$822&gt;G140)*(ISERROR(SEARCH("World",'RawData'!C$2:C$822)))*(ISERROR(SEARCH("Other",'RawData'!C$2:C$822))))+1)))</f>
        <v>-</v>
      </c>
      <c r="K140" s="14">
        <f>IF(ISNUMBER(SEARCH("World",'RawData'!C152)),"",'RawData'!H152)</f>
        <v>0</v>
      </c>
      <c r="L140" s="14">
        <f>IF(ISNUMBER(SEARCH("World",'RawData'!C152)),"",SUMIFS('RawData'!H:H,'RawData'!B:B,'RawData'!B152,'RawData'!C:C,"*World*"))</f>
        <v>980000</v>
      </c>
      <c r="M140" s="15">
        <f>IF(ISNUMBER(SEARCH("World",'RawData'!C152)),"",IFERROR(K140/L140,"-"))</f>
        <v>0</v>
      </c>
      <c r="N140" s="7" t="str">
        <f>IF(ISNUMBER(SEARCH("World",'RawData'!C152)),"",IF(ISNUMBER(SEARCH("Other",C140)),COUNTIFS('RawData'!B:B,B140,'RawData'!C:C,"&lt;&gt;*World*"),IF(OR(K140="",K140=0),"-",SUMPRODUCT(('RawData'!B$2:B$822=B140)*('RawData'!H$2:H$822&gt;K140)*(ISERROR(SEARCH("World",'RawData'!C$2:C$822)))*(ISERROR(SEARCH("Other",'RawData'!C$2:C$822))))+1)))</f>
        <v>-</v>
      </c>
    </row>
    <row r="141" spans="1:14" x14ac:dyDescent="0.3">
      <c r="A141" s="4" t="str">
        <f>IF(ISNUMBER(SEARCH("World",'RawData'!C153)),"",'RawData'!A153)</f>
        <v>MCS2026</v>
      </c>
      <c r="B141" s="4" t="str">
        <f>IF(ISNUMBER(SEARCH("World",'RawData'!C153)),"",'RawData'!B153)</f>
        <v xml:space="preserve">Copper </v>
      </c>
      <c r="C141" s="4" t="str">
        <f>IF(ISNUMBER(SEARCH("World",'RawData'!C153)),"",'RawData'!C153)</f>
        <v>Kazakhstan</v>
      </c>
      <c r="D141" s="4" t="str">
        <f>IF(ISNUMBER(SEARCH("World",'RawData'!C153)),"",'RawData'!D153)</f>
        <v>Mine production, recoverable copper content</v>
      </c>
      <c r="E141" s="4" t="str">
        <f>IF(ISNUMBER(SEARCH("World",'RawData'!C153)),"",IF('RawData'!E153="WT001","kg",IF('RawData'!E153="WT002","ton",IF('RawData'!E153="WT003","k ton",""))))</f>
        <v>k ton</v>
      </c>
      <c r="F141" s="14">
        <f>IF(ISNUMBER(SEARCH("World",'RawData'!C153)),"",'RawData'!F153)</f>
        <v>724</v>
      </c>
      <c r="G141" s="14">
        <f>IF(ISNUMBER(SEARCH("World",'RawData'!C153)),"",'RawData'!G153)</f>
        <v>710</v>
      </c>
      <c r="H141" s="14">
        <f>IF(ISNUMBER(SEARCH("World",'RawData'!C153)),"",SUMIFS('RawData'!G:G,'RawData'!B:B,'RawData'!B153,'RawData'!C:C,"*World*"))</f>
        <v>23000</v>
      </c>
      <c r="I141" s="15">
        <f>IF(ISNUMBER(SEARCH("World",'RawData'!C153)),"",IFERROR(G141/H141,"-"))</f>
        <v>3.0869565217391304E-2</v>
      </c>
      <c r="J141" s="7">
        <f>IF(ISNUMBER(SEARCH("World",'RawData'!C153)),"",IF(ISNUMBER(SEARCH("Other",C141)),COUNTIFS('RawData'!B:B,B141,'RawData'!C:C,"&lt;&gt;*World*"),IF(OR(G141="",G141=0),"-",SUMPRODUCT(('RawData'!B$2:B$822=B141)*('RawData'!G$2:G$822&gt;G141)*(ISERROR(SEARCH("World",'RawData'!C$2:C$822)))*(ISERROR(SEARCH("Other",'RawData'!C$2:C$822))))+1)))</f>
        <v>9</v>
      </c>
      <c r="K141" s="14">
        <f>IF(ISNUMBER(SEARCH("World",'RawData'!C153)),"",'RawData'!H153)</f>
        <v>20000</v>
      </c>
      <c r="L141" s="14">
        <f>IF(ISNUMBER(SEARCH("World",'RawData'!C153)),"",SUMIFS('RawData'!H:H,'RawData'!B:B,'RawData'!B153,'RawData'!C:C,"*World*"))</f>
        <v>980000</v>
      </c>
      <c r="M141" s="15">
        <f>IF(ISNUMBER(SEARCH("World",'RawData'!C153)),"",IFERROR(K141/L141,"-"))</f>
        <v>2.0408163265306121E-2</v>
      </c>
      <c r="N141" s="7">
        <f>IF(ISNUMBER(SEARCH("World",'RawData'!C153)),"",IF(ISNUMBER(SEARCH("Other",C141)),COUNTIFS('RawData'!B:B,B141,'RawData'!C:C,"&lt;&gt;*World*"),IF(OR(K141="",K141=0),"-",SUMPRODUCT(('RawData'!B$2:B$822=B141)*('RawData'!H$2:H$822&gt;K141)*(ISERROR(SEARCH("World",'RawData'!C$2:C$822)))*(ISERROR(SEARCH("Other",'RawData'!C$2:C$822))))+1)))</f>
        <v>12</v>
      </c>
    </row>
    <row r="142" spans="1:14" x14ac:dyDescent="0.3">
      <c r="A142" s="4" t="str">
        <f>IF(ISNUMBER(SEARCH("World",'RawData'!C154)),"",'RawData'!A154)</f>
        <v>MCS2026</v>
      </c>
      <c r="B142" s="4" t="str">
        <f>IF(ISNUMBER(SEARCH("World",'RawData'!C154)),"",'RawData'!B154)</f>
        <v xml:space="preserve">Copper </v>
      </c>
      <c r="C142" s="4" t="str">
        <f>IF(ISNUMBER(SEARCH("World",'RawData'!C154)),"",'RawData'!C154)</f>
        <v>Mexico</v>
      </c>
      <c r="D142" s="4" t="str">
        <f>IF(ISNUMBER(SEARCH("World",'RawData'!C154)),"",'RawData'!D154)</f>
        <v>Mine production, recoverable copper content</v>
      </c>
      <c r="E142" s="4" t="str">
        <f>IF(ISNUMBER(SEARCH("World",'RawData'!C154)),"",IF('RawData'!E154="WT001","kg",IF('RawData'!E154="WT002","ton",IF('RawData'!E154="WT003","k ton",""))))</f>
        <v>k ton</v>
      </c>
      <c r="F142" s="14">
        <f>IF(ISNUMBER(SEARCH("World",'RawData'!C154)),"",'RawData'!F154)</f>
        <v>717</v>
      </c>
      <c r="G142" s="14">
        <f>IF(ISNUMBER(SEARCH("World",'RawData'!C154)),"",'RawData'!G154)</f>
        <v>690</v>
      </c>
      <c r="H142" s="14">
        <f>IF(ISNUMBER(SEARCH("World",'RawData'!C154)),"",SUMIFS('RawData'!G:G,'RawData'!B:B,'RawData'!B154,'RawData'!C:C,"*World*"))</f>
        <v>23000</v>
      </c>
      <c r="I142" s="15">
        <f>IF(ISNUMBER(SEARCH("World",'RawData'!C154)),"",IFERROR(G142/H142,"-"))</f>
        <v>0.03</v>
      </c>
      <c r="J142" s="7">
        <f>IF(ISNUMBER(SEARCH("World",'RawData'!C154)),"",IF(ISNUMBER(SEARCH("Other",C142)),COUNTIFS('RawData'!B:B,B142,'RawData'!C:C,"&lt;&gt;*World*"),IF(OR(G142="",G142=0),"-",SUMPRODUCT(('RawData'!B$2:B$822=B142)*('RawData'!G$2:G$822&gt;G142)*(ISERROR(SEARCH("World",'RawData'!C$2:C$822)))*(ISERROR(SEARCH("Other",'RawData'!C$2:C$822))))+1)))</f>
        <v>11</v>
      </c>
      <c r="K142" s="14">
        <f>IF(ISNUMBER(SEARCH("World",'RawData'!C154)),"",'RawData'!H154)</f>
        <v>53000</v>
      </c>
      <c r="L142" s="14">
        <f>IF(ISNUMBER(SEARCH("World",'RawData'!C154)),"",SUMIFS('RawData'!H:H,'RawData'!B:B,'RawData'!B154,'RawData'!C:C,"*World*"))</f>
        <v>980000</v>
      </c>
      <c r="M142" s="15">
        <f>IF(ISNUMBER(SEARCH("World",'RawData'!C154)),"",IFERROR(K142/L142,"-"))</f>
        <v>5.4081632653061228E-2</v>
      </c>
      <c r="N142" s="7">
        <f>IF(ISNUMBER(SEARCH("World",'RawData'!C154)),"",IF(ISNUMBER(SEARCH("Other",C142)),COUNTIFS('RawData'!B:B,B142,'RawData'!C:C,"&lt;&gt;*World*"),IF(OR(K142="",K142=0),"-",SUMPRODUCT(('RawData'!B$2:B$822=B142)*('RawData'!H$2:H$822&gt;K142)*(ISERROR(SEARCH("World",'RawData'!C$2:C$822)))*(ISERROR(SEARCH("Other",'RawData'!C$2:C$822))))+1)))</f>
        <v>6</v>
      </c>
    </row>
    <row r="143" spans="1:14" x14ac:dyDescent="0.3">
      <c r="A143" s="4" t="str">
        <f>IF(ISNUMBER(SEARCH("World",'RawData'!C155)),"",'RawData'!A155)</f>
        <v>MCS2026</v>
      </c>
      <c r="B143" s="4" t="str">
        <f>IF(ISNUMBER(SEARCH("World",'RawData'!C155)),"",'RawData'!B155)</f>
        <v xml:space="preserve">Copper </v>
      </c>
      <c r="C143" s="4" t="str">
        <f>IF(ISNUMBER(SEARCH("World",'RawData'!C155)),"",'RawData'!C155)</f>
        <v>Other Countries</v>
      </c>
      <c r="D143" s="4" t="str">
        <f>IF(ISNUMBER(SEARCH("World",'RawData'!C155)),"",'RawData'!D155)</f>
        <v>Mine production, recoverable copper content</v>
      </c>
      <c r="E143" s="4" t="str">
        <f>IF(ISNUMBER(SEARCH("World",'RawData'!C155)),"",IF('RawData'!E155="WT001","kg",IF('RawData'!E155="WT002","ton",IF('RawData'!E155="WT003","k ton",""))))</f>
        <v>k ton</v>
      </c>
      <c r="F143" s="14">
        <f>IF(ISNUMBER(SEARCH("World",'RawData'!C155)),"",'RawData'!F155)</f>
        <v>2850</v>
      </c>
      <c r="G143" s="14">
        <f>IF(ISNUMBER(SEARCH("World",'RawData'!C155)),"",'RawData'!G155)</f>
        <v>3000</v>
      </c>
      <c r="H143" s="14">
        <f>IF(ISNUMBER(SEARCH("World",'RawData'!C155)),"",SUMIFS('RawData'!G:G,'RawData'!B:B,'RawData'!B155,'RawData'!C:C,"*World*"))</f>
        <v>23000</v>
      </c>
      <c r="I143" s="15">
        <f>IF(ISNUMBER(SEARCH("World",'RawData'!C155)),"",IFERROR(G143/H143,"-"))</f>
        <v>0.13043478260869565</v>
      </c>
      <c r="J143" s="7">
        <f>IF(ISNUMBER(SEARCH("World",'RawData'!C155)),"",IF(ISNUMBER(SEARCH("Other",C143)),COUNTIFS('RawData'!B:B,B143,'RawData'!C:C,"&lt;&gt;*World*"),IF(OR(G143="",G143=0),"-",SUMPRODUCT(('RawData'!B$2:B$822=B143)*('RawData'!G$2:G$822&gt;G143)*(ISERROR(SEARCH("World",'RawData'!C$2:C$822)))*(ISERROR(SEARCH("Other",'RawData'!C$2:C$822))))+1)))</f>
        <v>18</v>
      </c>
      <c r="K143" s="14">
        <f>IF(ISNUMBER(SEARCH("World",'RawData'!C155)),"",'RawData'!H155)</f>
        <v>210000</v>
      </c>
      <c r="L143" s="14">
        <f>IF(ISNUMBER(SEARCH("World",'RawData'!C155)),"",SUMIFS('RawData'!H:H,'RawData'!B:B,'RawData'!B155,'RawData'!C:C,"*World*"))</f>
        <v>980000</v>
      </c>
      <c r="M143" s="15">
        <f>IF(ISNUMBER(SEARCH("World",'RawData'!C155)),"",IFERROR(K143/L143,"-"))</f>
        <v>0.21428571428571427</v>
      </c>
      <c r="N143" s="7">
        <f>IF(ISNUMBER(SEARCH("World",'RawData'!C155)),"",IF(ISNUMBER(SEARCH("Other",C143)),COUNTIFS('RawData'!B:B,B143,'RawData'!C:C,"&lt;&gt;*World*"),IF(OR(K143="",K143=0),"-",SUMPRODUCT(('RawData'!B$2:B$822=B143)*('RawData'!H$2:H$822&gt;K143)*(ISERROR(SEARCH("World",'RawData'!C$2:C$822)))*(ISERROR(SEARCH("Other",'RawData'!C$2:C$822))))+1)))</f>
        <v>18</v>
      </c>
    </row>
    <row r="144" spans="1:14" x14ac:dyDescent="0.3">
      <c r="A144" s="4" t="str">
        <f>IF(ISNUMBER(SEARCH("World",'RawData'!C156)),"",'RawData'!A156)</f>
        <v>MCS2026</v>
      </c>
      <c r="B144" s="4" t="str">
        <f>IF(ISNUMBER(SEARCH("World",'RawData'!C156)),"",'RawData'!B156)</f>
        <v xml:space="preserve">Copper </v>
      </c>
      <c r="C144" s="4" t="str">
        <f>IF(ISNUMBER(SEARCH("World",'RawData'!C156)),"",'RawData'!C156)</f>
        <v>Peru</v>
      </c>
      <c r="D144" s="4" t="str">
        <f>IF(ISNUMBER(SEARCH("World",'RawData'!C156)),"",'RawData'!D156)</f>
        <v>Mine production, recoverable copper content</v>
      </c>
      <c r="E144" s="4" t="str">
        <f>IF(ISNUMBER(SEARCH("World",'RawData'!C156)),"",IF('RawData'!E156="WT001","kg",IF('RawData'!E156="WT002","ton",IF('RawData'!E156="WT003","k ton",""))))</f>
        <v>k ton</v>
      </c>
      <c r="F144" s="14">
        <f>IF(ISNUMBER(SEARCH("World",'RawData'!C156)),"",'RawData'!F156)</f>
        <v>2740</v>
      </c>
      <c r="G144" s="14">
        <f>IF(ISNUMBER(SEARCH("World",'RawData'!C156)),"",'RawData'!G156)</f>
        <v>2700</v>
      </c>
      <c r="H144" s="14">
        <f>IF(ISNUMBER(SEARCH("World",'RawData'!C156)),"",SUMIFS('RawData'!G:G,'RawData'!B:B,'RawData'!B156,'RawData'!C:C,"*World*"))</f>
        <v>23000</v>
      </c>
      <c r="I144" s="15">
        <f>IF(ISNUMBER(SEARCH("World",'RawData'!C156)),"",IFERROR(G144/H144,"-"))</f>
        <v>0.11739130434782609</v>
      </c>
      <c r="J144" s="7">
        <f>IF(ISNUMBER(SEARCH("World",'RawData'!C156)),"",IF(ISNUMBER(SEARCH("Other",C144)),COUNTIFS('RawData'!B:B,B144,'RawData'!C:C,"&lt;&gt;*World*"),IF(OR(G144="",G144=0),"-",SUMPRODUCT(('RawData'!B$2:B$822=B144)*('RawData'!G$2:G$822&gt;G144)*(ISERROR(SEARCH("World",'RawData'!C$2:C$822)))*(ISERROR(SEARCH("Other",'RawData'!C$2:C$822))))+1)))</f>
        <v>3</v>
      </c>
      <c r="K144" s="14">
        <f>IF(ISNUMBER(SEARCH("World",'RawData'!C156)),"",'RawData'!H156)</f>
        <v>85000</v>
      </c>
      <c r="L144" s="14">
        <f>IF(ISNUMBER(SEARCH("World",'RawData'!C156)),"",SUMIFS('RawData'!H:H,'RawData'!B:B,'RawData'!B156,'RawData'!C:C,"*World*"))</f>
        <v>980000</v>
      </c>
      <c r="M144" s="15">
        <f>IF(ISNUMBER(SEARCH("World",'RawData'!C156)),"",IFERROR(K144/L144,"-"))</f>
        <v>8.673469387755102E-2</v>
      </c>
      <c r="N144" s="7">
        <f>IF(ISNUMBER(SEARCH("World",'RawData'!C156)),"",IF(ISNUMBER(SEARCH("Other",C144)),COUNTIFS('RawData'!B:B,B144,'RawData'!C:C,"&lt;&gt;*World*"),IF(OR(K144="",K144=0),"-",SUMPRODUCT(('RawData'!B$2:B$822=B144)*('RawData'!H$2:H$822&gt;K144)*(ISERROR(SEARCH("World",'RawData'!C$2:C$822)))*(ISERROR(SEARCH("Other",'RawData'!C$2:C$822))))+1)))</f>
        <v>3</v>
      </c>
    </row>
    <row r="145" spans="1:14" x14ac:dyDescent="0.3">
      <c r="A145" s="4" t="str">
        <f>IF(ISNUMBER(SEARCH("World",'RawData'!C157)),"",'RawData'!A157)</f>
        <v>MCS2026</v>
      </c>
      <c r="B145" s="4" t="str">
        <f>IF(ISNUMBER(SEARCH("World",'RawData'!C157)),"",'RawData'!B157)</f>
        <v xml:space="preserve">Copper </v>
      </c>
      <c r="C145" s="4" t="str">
        <f>IF(ISNUMBER(SEARCH("World",'RawData'!C157)),"",'RawData'!C157)</f>
        <v>Poland</v>
      </c>
      <c r="D145" s="4" t="str">
        <f>IF(ISNUMBER(SEARCH("World",'RawData'!C157)),"",'RawData'!D157)</f>
        <v>Mine production, recoverable copper content</v>
      </c>
      <c r="E145" s="4" t="str">
        <f>IF(ISNUMBER(SEARCH("World",'RawData'!C157)),"",IF('RawData'!E157="WT001","kg",IF('RawData'!E157="WT002","ton",IF('RawData'!E157="WT003","k ton",""))))</f>
        <v>k ton</v>
      </c>
      <c r="F145" s="14">
        <f>IF(ISNUMBER(SEARCH("World",'RawData'!C157)),"",'RawData'!F157)</f>
        <v>400</v>
      </c>
      <c r="G145" s="14">
        <f>IF(ISNUMBER(SEARCH("World",'RawData'!C157)),"",'RawData'!G157)</f>
        <v>410</v>
      </c>
      <c r="H145" s="14">
        <f>IF(ISNUMBER(SEARCH("World",'RawData'!C157)),"",SUMIFS('RawData'!G:G,'RawData'!B:B,'RawData'!B157,'RawData'!C:C,"*World*"))</f>
        <v>23000</v>
      </c>
      <c r="I145" s="15">
        <f>IF(ISNUMBER(SEARCH("World",'RawData'!C157)),"",IFERROR(G145/H145,"-"))</f>
        <v>1.7826086956521738E-2</v>
      </c>
      <c r="J145" s="7">
        <f>IF(ISNUMBER(SEARCH("World",'RawData'!C157)),"",IF(ISNUMBER(SEARCH("Other",C145)),COUNTIFS('RawData'!B:B,B145,'RawData'!C:C,"&lt;&gt;*World*"),IF(OR(G145="",G145=0),"-",SUMPRODUCT(('RawData'!B$2:B$822=B145)*('RawData'!G$2:G$822&gt;G145)*(ISERROR(SEARCH("World",'RawData'!C$2:C$822)))*(ISERROR(SEARCH("Other",'RawData'!C$2:C$822))))+1)))</f>
        <v>13</v>
      </c>
      <c r="K145" s="14">
        <f>IF(ISNUMBER(SEARCH("World",'RawData'!C157)),"",'RawData'!H157)</f>
        <v>33000</v>
      </c>
      <c r="L145" s="14">
        <f>IF(ISNUMBER(SEARCH("World",'RawData'!C157)),"",SUMIFS('RawData'!H:H,'RawData'!B:B,'RawData'!B157,'RawData'!C:C,"*World*"))</f>
        <v>980000</v>
      </c>
      <c r="M145" s="15">
        <f>IF(ISNUMBER(SEARCH("World",'RawData'!C157)),"",IFERROR(K145/L145,"-"))</f>
        <v>3.3673469387755103E-2</v>
      </c>
      <c r="N145" s="7">
        <f>IF(ISNUMBER(SEARCH("World",'RawData'!C157)),"",IF(ISNUMBER(SEARCH("Other",C145)),COUNTIFS('RawData'!B:B,B145,'RawData'!C:C,"&lt;&gt;*World*"),IF(OR(K145="",K145=0),"-",SUMPRODUCT(('RawData'!B$2:B$822=B145)*('RawData'!H$2:H$822&gt;K145)*(ISERROR(SEARCH("World",'RawData'!C$2:C$822)))*(ISERROR(SEARCH("Other",'RawData'!C$2:C$822))))+1)))</f>
        <v>9</v>
      </c>
    </row>
    <row r="146" spans="1:14" x14ac:dyDescent="0.3">
      <c r="A146" s="4" t="str">
        <f>IF(ISNUMBER(SEARCH("World",'RawData'!C158)),"",'RawData'!A158)</f>
        <v>MCS2026</v>
      </c>
      <c r="B146" s="4" t="str">
        <f>IF(ISNUMBER(SEARCH("World",'RawData'!C158)),"",'RawData'!B158)</f>
        <v xml:space="preserve">Copper </v>
      </c>
      <c r="C146" s="4" t="str">
        <f>IF(ISNUMBER(SEARCH("World",'RawData'!C158)),"",'RawData'!C158)</f>
        <v xml:space="preserve">Russia </v>
      </c>
      <c r="D146" s="4" t="str">
        <f>IF(ISNUMBER(SEARCH("World",'RawData'!C158)),"",'RawData'!D158)</f>
        <v>Mine production, recoverable copper content</v>
      </c>
      <c r="E146" s="4" t="str">
        <f>IF(ISNUMBER(SEARCH("World",'RawData'!C158)),"",IF('RawData'!E158="WT001","kg",IF('RawData'!E158="WT002","ton",IF('RawData'!E158="WT003","k ton",""))))</f>
        <v>k ton</v>
      </c>
      <c r="F146" s="14">
        <f>IF(ISNUMBER(SEARCH("World",'RawData'!C158)),"",'RawData'!F158)</f>
        <v>1020</v>
      </c>
      <c r="G146" s="14">
        <f>IF(ISNUMBER(SEARCH("World",'RawData'!C158)),"",'RawData'!G158)</f>
        <v>1300</v>
      </c>
      <c r="H146" s="14">
        <f>IF(ISNUMBER(SEARCH("World",'RawData'!C158)),"",SUMIFS('RawData'!G:G,'RawData'!B:B,'RawData'!B158,'RawData'!C:C,"*World*"))</f>
        <v>23000</v>
      </c>
      <c r="I146" s="15">
        <f>IF(ISNUMBER(SEARCH("World",'RawData'!C158)),"",IFERROR(G146/H146,"-"))</f>
        <v>5.6521739130434782E-2</v>
      </c>
      <c r="J146" s="7">
        <f>IF(ISNUMBER(SEARCH("World",'RawData'!C158)),"",IF(ISNUMBER(SEARCH("Other",C146)),COUNTIFS('RawData'!B:B,B146,'RawData'!C:C,"&lt;&gt;*World*"),IF(OR(G146="",G146=0),"-",SUMPRODUCT(('RawData'!B$2:B$822=B146)*('RawData'!G$2:G$822&gt;G146)*(ISERROR(SEARCH("World",'RawData'!C$2:C$822)))*(ISERROR(SEARCH("Other",'RawData'!C$2:C$822))))+1)))</f>
        <v>5</v>
      </c>
      <c r="K146" s="14">
        <f>IF(ISNUMBER(SEARCH("World",'RawData'!C158)),"",'RawData'!H158)</f>
        <v>80000</v>
      </c>
      <c r="L146" s="14">
        <f>IF(ISNUMBER(SEARCH("World",'RawData'!C158)),"",SUMIFS('RawData'!H:H,'RawData'!B:B,'RawData'!B158,'RawData'!C:C,"*World*"))</f>
        <v>980000</v>
      </c>
      <c r="M146" s="15">
        <f>IF(ISNUMBER(SEARCH("World",'RawData'!C158)),"",IFERROR(K146/L146,"-"))</f>
        <v>8.1632653061224483E-2</v>
      </c>
      <c r="N146" s="7">
        <f>IF(ISNUMBER(SEARCH("World",'RawData'!C158)),"",IF(ISNUMBER(SEARCH("Other",C146)),COUNTIFS('RawData'!B:B,B146,'RawData'!C:C,"&lt;&gt;*World*"),IF(OR(K146="",K146=0),"-",SUMPRODUCT(('RawData'!B$2:B$822=B146)*('RawData'!H$2:H$822&gt;K146)*(ISERROR(SEARCH("World",'RawData'!C$2:C$822)))*(ISERROR(SEARCH("Other",'RawData'!C$2:C$822))))+1)))</f>
        <v>4</v>
      </c>
    </row>
    <row r="147" spans="1:14" x14ac:dyDescent="0.3">
      <c r="A147" s="4" t="str">
        <f>IF(ISNUMBER(SEARCH("World",'RawData'!C159)),"",'RawData'!A159)</f>
        <v>MCS2026</v>
      </c>
      <c r="B147" s="4" t="str">
        <f>IF(ISNUMBER(SEARCH("World",'RawData'!C159)),"",'RawData'!B159)</f>
        <v xml:space="preserve">Copper </v>
      </c>
      <c r="C147" s="4" t="str">
        <f>IF(ISNUMBER(SEARCH("World",'RawData'!C159)),"",'RawData'!C159)</f>
        <v>South Korea</v>
      </c>
      <c r="D147" s="4" t="str">
        <f>IF(ISNUMBER(SEARCH("World",'RawData'!C159)),"",'RawData'!D159)</f>
        <v>Mine production, recoverable copper content</v>
      </c>
      <c r="E147" s="4" t="str">
        <f>IF(ISNUMBER(SEARCH("World",'RawData'!C159)),"",IF('RawData'!E159="WT001","kg",IF('RawData'!E159="WT002","ton",IF('RawData'!E159="WT003","k ton",""))))</f>
        <v>k ton</v>
      </c>
      <c r="F147" s="14">
        <f>IF(ISNUMBER(SEARCH("World",'RawData'!C159)),"",'RawData'!F159)</f>
        <v>0</v>
      </c>
      <c r="G147" s="14">
        <f>IF(ISNUMBER(SEARCH("World",'RawData'!C159)),"",'RawData'!G159)</f>
        <v>0</v>
      </c>
      <c r="H147" s="14">
        <f>IF(ISNUMBER(SEARCH("World",'RawData'!C159)),"",SUMIFS('RawData'!G:G,'RawData'!B:B,'RawData'!B159,'RawData'!C:C,"*World*"))</f>
        <v>23000</v>
      </c>
      <c r="I147" s="15">
        <f>IF(ISNUMBER(SEARCH("World",'RawData'!C159)),"",IFERROR(G147/H147,"-"))</f>
        <v>0</v>
      </c>
      <c r="J147" s="7" t="str">
        <f>IF(ISNUMBER(SEARCH("World",'RawData'!C159)),"",IF(ISNUMBER(SEARCH("Other",C147)),COUNTIFS('RawData'!B:B,B147,'RawData'!C:C,"&lt;&gt;*World*"),IF(OR(G147="",G147=0),"-",SUMPRODUCT(('RawData'!B$2:B$822=B147)*('RawData'!G$2:G$822&gt;G147)*(ISERROR(SEARCH("World",'RawData'!C$2:C$822)))*(ISERROR(SEARCH("Other",'RawData'!C$2:C$822))))+1)))</f>
        <v>-</v>
      </c>
      <c r="K147" s="14">
        <f>IF(ISNUMBER(SEARCH("World",'RawData'!C159)),"",'RawData'!H159)</f>
        <v>0</v>
      </c>
      <c r="L147" s="14">
        <f>IF(ISNUMBER(SEARCH("World",'RawData'!C159)),"",SUMIFS('RawData'!H:H,'RawData'!B:B,'RawData'!B159,'RawData'!C:C,"*World*"))</f>
        <v>980000</v>
      </c>
      <c r="M147" s="15">
        <f>IF(ISNUMBER(SEARCH("World",'RawData'!C159)),"",IFERROR(K147/L147,"-"))</f>
        <v>0</v>
      </c>
      <c r="N147" s="7" t="str">
        <f>IF(ISNUMBER(SEARCH("World",'RawData'!C159)),"",IF(ISNUMBER(SEARCH("Other",C147)),COUNTIFS('RawData'!B:B,B147,'RawData'!C:C,"&lt;&gt;*World*"),IF(OR(K147="",K147=0),"-",SUMPRODUCT(('RawData'!B$2:B$822=B147)*('RawData'!H$2:H$822&gt;K147)*(ISERROR(SEARCH("World",'RawData'!C$2:C$822)))*(ISERROR(SEARCH("Other",'RawData'!C$2:C$822))))+1)))</f>
        <v>-</v>
      </c>
    </row>
    <row r="148" spans="1:14" x14ac:dyDescent="0.3">
      <c r="A148" s="4" t="str">
        <f>IF(ISNUMBER(SEARCH("World",'RawData'!C160)),"",'RawData'!A160)</f>
        <v>MCS2026</v>
      </c>
      <c r="B148" s="4" t="str">
        <f>IF(ISNUMBER(SEARCH("World",'RawData'!C160)),"",'RawData'!B160)</f>
        <v xml:space="preserve">Copper </v>
      </c>
      <c r="C148" s="4" t="str">
        <f>IF(ISNUMBER(SEARCH("World",'RawData'!C160)),"",'RawData'!C160)</f>
        <v>United States</v>
      </c>
      <c r="D148" s="4" t="str">
        <f>IF(ISNUMBER(SEARCH("World",'RawData'!C160)),"",'RawData'!D160)</f>
        <v>Mine production, recoverable copper content</v>
      </c>
      <c r="E148" s="4" t="str">
        <f>IF(ISNUMBER(SEARCH("World",'RawData'!C160)),"",IF('RawData'!E160="WT001","kg",IF('RawData'!E160="WT002","ton",IF('RawData'!E160="WT003","k ton",""))))</f>
        <v>k ton</v>
      </c>
      <c r="F148" s="14">
        <f>IF(ISNUMBER(SEARCH("World",'RawData'!C160)),"",'RawData'!F160)</f>
        <v>1050</v>
      </c>
      <c r="G148" s="14">
        <f>IF(ISNUMBER(SEARCH("World",'RawData'!C160)),"",'RawData'!G160)</f>
        <v>1000</v>
      </c>
      <c r="H148" s="14">
        <f>IF(ISNUMBER(SEARCH("World",'RawData'!C160)),"",SUMIFS('RawData'!G:G,'RawData'!B:B,'RawData'!B160,'RawData'!C:C,"*World*"))</f>
        <v>23000</v>
      </c>
      <c r="I148" s="15">
        <f>IF(ISNUMBER(SEARCH("World",'RawData'!C160)),"",IFERROR(G148/H148,"-"))</f>
        <v>4.3478260869565216E-2</v>
      </c>
      <c r="J148" s="7">
        <f>IF(ISNUMBER(SEARCH("World",'RawData'!C160)),"",IF(ISNUMBER(SEARCH("Other",C148)),COUNTIFS('RawData'!B:B,B148,'RawData'!C:C,"&lt;&gt;*World*"),IF(OR(G148="",G148=0),"-",SUMPRODUCT(('RawData'!B$2:B$822=B148)*('RawData'!G$2:G$822&gt;G148)*(ISERROR(SEARCH("World",'RawData'!C$2:C$822)))*(ISERROR(SEARCH("Other",'RawData'!C$2:C$822))))+1)))</f>
        <v>6</v>
      </c>
      <c r="K148" s="14">
        <f>IF(ISNUMBER(SEARCH("World",'RawData'!C160)),"",'RawData'!H160)</f>
        <v>47000</v>
      </c>
      <c r="L148" s="14">
        <f>IF(ISNUMBER(SEARCH("World",'RawData'!C160)),"",SUMIFS('RawData'!H:H,'RawData'!B:B,'RawData'!B160,'RawData'!C:C,"*World*"))</f>
        <v>980000</v>
      </c>
      <c r="M148" s="15">
        <f>IF(ISNUMBER(SEARCH("World",'RawData'!C160)),"",IFERROR(K148/L148,"-"))</f>
        <v>4.7959183673469387E-2</v>
      </c>
      <c r="N148" s="7">
        <f>IF(ISNUMBER(SEARCH("World",'RawData'!C160)),"",IF(ISNUMBER(SEARCH("Other",C148)),COUNTIFS('RawData'!B:B,B148,'RawData'!C:C,"&lt;&gt;*World*"),IF(OR(K148="",K148=0),"-",SUMPRODUCT(('RawData'!B$2:B$822=B148)*('RawData'!H$2:H$822&gt;K148)*(ISERROR(SEARCH("World",'RawData'!C$2:C$822)))*(ISERROR(SEARCH("Other",'RawData'!C$2:C$822))))+1)))</f>
        <v>7</v>
      </c>
    </row>
    <row r="149" spans="1:14" x14ac:dyDescent="0.3">
      <c r="A149" s="4" t="str">
        <f>IF(ISNUMBER(SEARCH("World",'RawData'!C162)),"",'RawData'!A162)</f>
        <v>MCS2026</v>
      </c>
      <c r="B149" s="4" t="str">
        <f>IF(ISNUMBER(SEARCH("World",'RawData'!C162)),"",'RawData'!B162)</f>
        <v xml:space="preserve">Copper </v>
      </c>
      <c r="C149" s="4" t="str">
        <f>IF(ISNUMBER(SEARCH("World",'RawData'!C162)),"",'RawData'!C162)</f>
        <v>Zambia</v>
      </c>
      <c r="D149" s="4" t="str">
        <f>IF(ISNUMBER(SEARCH("World",'RawData'!C162)),"",'RawData'!D162)</f>
        <v>Mine production, recoverable copper content</v>
      </c>
      <c r="E149" s="4" t="str">
        <f>IF(ISNUMBER(SEARCH("World",'RawData'!C162)),"",IF('RawData'!E162="WT001","kg",IF('RawData'!E162="WT002","ton",IF('RawData'!E162="WT003","k ton",""))))</f>
        <v>k ton</v>
      </c>
      <c r="F149" s="14">
        <f>IF(ISNUMBER(SEARCH("World",'RawData'!C162)),"",'RawData'!F162)</f>
        <v>823</v>
      </c>
      <c r="G149" s="14">
        <f>IF(ISNUMBER(SEARCH("World",'RawData'!C162)),"",'RawData'!G162)</f>
        <v>940</v>
      </c>
      <c r="H149" s="14">
        <f>IF(ISNUMBER(SEARCH("World",'RawData'!C162)),"",SUMIFS('RawData'!G:G,'RawData'!B:B,'RawData'!B162,'RawData'!C:C,"*World*"))</f>
        <v>23000</v>
      </c>
      <c r="I149" s="15">
        <f>IF(ISNUMBER(SEARCH("World",'RawData'!C162)),"",IFERROR(G149/H149,"-"))</f>
        <v>4.0869565217391303E-2</v>
      </c>
      <c r="J149" s="7">
        <f>IF(ISNUMBER(SEARCH("World",'RawData'!C162)),"",IF(ISNUMBER(SEARCH("Other",C149)),COUNTIFS('RawData'!B:B,B149,'RawData'!C:C,"&lt;&gt;*World*"),IF(OR(G149="",G149=0),"-",SUMPRODUCT(('RawData'!B$2:B$822=B149)*('RawData'!G$2:G$822&gt;G149)*(ISERROR(SEARCH("World",'RawData'!C$2:C$822)))*(ISERROR(SEARCH("Other",'RawData'!C$2:C$822))))+1)))</f>
        <v>7</v>
      </c>
      <c r="K149" s="14">
        <f>IF(ISNUMBER(SEARCH("World",'RawData'!C162)),"",'RawData'!H162)</f>
        <v>21000</v>
      </c>
      <c r="L149" s="14">
        <f>IF(ISNUMBER(SEARCH("World",'RawData'!C162)),"",SUMIFS('RawData'!H:H,'RawData'!B:B,'RawData'!B162,'RawData'!C:C,"*World*"))</f>
        <v>980000</v>
      </c>
      <c r="M149" s="15">
        <f>IF(ISNUMBER(SEARCH("World",'RawData'!C162)),"",IFERROR(K149/L149,"-"))</f>
        <v>2.1428571428571429E-2</v>
      </c>
      <c r="N149" s="7">
        <f>IF(ISNUMBER(SEARCH("World",'RawData'!C162)),"",IF(ISNUMBER(SEARCH("Other",C149)),COUNTIFS('RawData'!B:B,B149,'RawData'!C:C,"&lt;&gt;*World*"),IF(OR(K149="",K149=0),"-",SUMPRODUCT(('RawData'!B$2:B$822=B149)*('RawData'!H$2:H$822&gt;K149)*(ISERROR(SEARCH("World",'RawData'!C$2:C$822)))*(ISERROR(SEARCH("Other",'RawData'!C$2:C$822))))+1)))</f>
        <v>10</v>
      </c>
    </row>
    <row r="150" spans="1:14" x14ac:dyDescent="0.3">
      <c r="A150" s="4" t="str">
        <f>IF(ISNUMBER(SEARCH("World",'RawData'!C163)),"",'RawData'!A163)</f>
        <v>MCS2026</v>
      </c>
      <c r="B150" s="4" t="str">
        <f>IF(ISNUMBER(SEARCH("World",'RawData'!C163)),"",'RawData'!B163)</f>
        <v>Diatomite</v>
      </c>
      <c r="C150" s="4" t="str">
        <f>IF(ISNUMBER(SEARCH("World",'RawData'!C163)),"",'RawData'!C163)</f>
        <v>Argentina</v>
      </c>
      <c r="D150" s="4" t="str">
        <f>IF(ISNUMBER(SEARCH("World",'RawData'!C163)),"",'RawData'!D163)</f>
        <v>Mine production, estimated</v>
      </c>
      <c r="E150" s="4" t="str">
        <f>IF(ISNUMBER(SEARCH("World",'RawData'!C163)),"",IF('RawData'!E163="WT001","kg",IF('RawData'!E163="WT002","ton",IF('RawData'!E163="WT003","k ton",""))))</f>
        <v>k ton</v>
      </c>
      <c r="F150" s="14">
        <f>IF(ISNUMBER(SEARCH("World",'RawData'!C163)),"",'RawData'!F163)</f>
        <v>185</v>
      </c>
      <c r="G150" s="14">
        <f>IF(ISNUMBER(SEARCH("World",'RawData'!C163)),"",'RawData'!G163)</f>
        <v>190</v>
      </c>
      <c r="H150" s="14">
        <f>IF(ISNUMBER(SEARCH("World",'RawData'!C163)),"",SUMIFS('RawData'!G:G,'RawData'!B:B,'RawData'!B163,'RawData'!C:C,"*World*"))</f>
        <v>2500</v>
      </c>
      <c r="I150" s="15">
        <f>IF(ISNUMBER(SEARCH("World",'RawData'!C163)),"",IFERROR(G150/H150,"-"))</f>
        <v>7.5999999999999998E-2</v>
      </c>
      <c r="J150" s="7">
        <f>IF(ISNUMBER(SEARCH("World",'RawData'!C163)),"",IF(ISNUMBER(SEARCH("Other",C150)),COUNTIFS('RawData'!B:B,B150,'RawData'!C:C,"&lt;&gt;*World*"),IF(OR(G150="",G150=0),"-",SUMPRODUCT(('RawData'!B$2:B$822=B150)*('RawData'!G$2:G$822&gt;G150)*(ISERROR(SEARCH("World",'RawData'!C$2:C$822)))*(ISERROR(SEARCH("Other",'RawData'!C$2:C$822))))+1)))</f>
        <v>4</v>
      </c>
      <c r="K150" s="14">
        <f>IF(ISNUMBER(SEARCH("World",'RawData'!C163)),"",'RawData'!H163)</f>
        <v>0</v>
      </c>
      <c r="L150" s="14">
        <f>IF(ISNUMBER(SEARCH("World",'RawData'!C163)),"",SUMIFS('RawData'!H:H,'RawData'!B:B,'RawData'!B163,'RawData'!C:C,"*World*"))</f>
        <v>0</v>
      </c>
      <c r="M150" s="15" t="str">
        <f>IF(ISNUMBER(SEARCH("World",'RawData'!C163)),"",IFERROR(K150/L150,"-"))</f>
        <v>-</v>
      </c>
      <c r="N150" s="7" t="str">
        <f>IF(ISNUMBER(SEARCH("World",'RawData'!C163)),"",IF(ISNUMBER(SEARCH("Other",C150)),COUNTIFS('RawData'!B:B,B150,'RawData'!C:C,"&lt;&gt;*World*"),IF(OR(K150="",K150=0),"-",SUMPRODUCT(('RawData'!B$2:B$822=B150)*('RawData'!H$2:H$822&gt;K150)*(ISERROR(SEARCH("World",'RawData'!C$2:C$822)))*(ISERROR(SEARCH("Other",'RawData'!C$2:C$822))))+1)))</f>
        <v>-</v>
      </c>
    </row>
    <row r="151" spans="1:14" x14ac:dyDescent="0.3">
      <c r="A151" s="4" t="str">
        <f>IF(ISNUMBER(SEARCH("World",'RawData'!C164)),"",'RawData'!A164)</f>
        <v>MCS2026</v>
      </c>
      <c r="B151" s="4" t="str">
        <f>IF(ISNUMBER(SEARCH("World",'RawData'!C164)),"",'RawData'!B164)</f>
        <v>Diatomite</v>
      </c>
      <c r="C151" s="4" t="str">
        <f>IF(ISNUMBER(SEARCH("World",'RawData'!C164)),"",'RawData'!C164)</f>
        <v>China</v>
      </c>
      <c r="D151" s="4" t="str">
        <f>IF(ISNUMBER(SEARCH("World",'RawData'!C164)),"",'RawData'!D164)</f>
        <v>Mine production, estimated</v>
      </c>
      <c r="E151" s="4" t="str">
        <f>IF(ISNUMBER(SEARCH("World",'RawData'!C164)),"",IF('RawData'!E164="WT001","kg",IF('RawData'!E164="WT002","ton",IF('RawData'!E164="WT003","k ton",""))))</f>
        <v>k ton</v>
      </c>
      <c r="F151" s="14">
        <f>IF(ISNUMBER(SEARCH("World",'RawData'!C164)),"",'RawData'!F164)</f>
        <v>140</v>
      </c>
      <c r="G151" s="14">
        <f>IF(ISNUMBER(SEARCH("World",'RawData'!C164)),"",'RawData'!G164)</f>
        <v>140</v>
      </c>
      <c r="H151" s="14">
        <f>IF(ISNUMBER(SEARCH("World",'RawData'!C164)),"",SUMIFS('RawData'!G:G,'RawData'!B:B,'RawData'!B164,'RawData'!C:C,"*World*"))</f>
        <v>2500</v>
      </c>
      <c r="I151" s="15">
        <f>IF(ISNUMBER(SEARCH("World",'RawData'!C164)),"",IFERROR(G151/H151,"-"))</f>
        <v>5.6000000000000001E-2</v>
      </c>
      <c r="J151" s="7">
        <f>IF(ISNUMBER(SEARCH("World",'RawData'!C164)),"",IF(ISNUMBER(SEARCH("Other",C151)),COUNTIFS('RawData'!B:B,B151,'RawData'!C:C,"&lt;&gt;*World*"),IF(OR(G151="",G151=0),"-",SUMPRODUCT(('RawData'!B$2:B$822=B151)*('RawData'!G$2:G$822&gt;G151)*(ISERROR(SEARCH("World",'RawData'!C$2:C$822)))*(ISERROR(SEARCH("Other",'RawData'!C$2:C$822))))+1)))</f>
        <v>6</v>
      </c>
      <c r="K151" s="14">
        <f>IF(ISNUMBER(SEARCH("World",'RawData'!C164)),"",'RawData'!H164)</f>
        <v>120000</v>
      </c>
      <c r="L151" s="14">
        <f>IF(ISNUMBER(SEARCH("World",'RawData'!C164)),"",SUMIFS('RawData'!H:H,'RawData'!B:B,'RawData'!B164,'RawData'!C:C,"*World*"))</f>
        <v>0</v>
      </c>
      <c r="M151" s="15" t="str">
        <f>IF(ISNUMBER(SEARCH("World",'RawData'!C164)),"",IFERROR(K151/L151,"-"))</f>
        <v>-</v>
      </c>
      <c r="N151" s="7">
        <f>IF(ISNUMBER(SEARCH("World",'RawData'!C164)),"",IF(ISNUMBER(SEARCH("Other",C151)),COUNTIFS('RawData'!B:B,B151,'RawData'!C:C,"&lt;&gt;*World*"),IF(OR(K151="",K151=0),"-",SUMPRODUCT(('RawData'!B$2:B$822=B151)*('RawData'!H$2:H$822&gt;K151)*(ISERROR(SEARCH("World",'RawData'!C$2:C$822)))*(ISERROR(SEARCH("Other",'RawData'!C$2:C$822))))+1)))</f>
        <v>2</v>
      </c>
    </row>
    <row r="152" spans="1:14" x14ac:dyDescent="0.3">
      <c r="A152" s="4" t="str">
        <f>IF(ISNUMBER(SEARCH("World",'RawData'!C165)),"",'RawData'!A165)</f>
        <v>MCS2026</v>
      </c>
      <c r="B152" s="4" t="str">
        <f>IF(ISNUMBER(SEARCH("World",'RawData'!C165)),"",'RawData'!B165)</f>
        <v>Diatomite</v>
      </c>
      <c r="C152" s="4" t="str">
        <f>IF(ISNUMBER(SEARCH("World",'RawData'!C165)),"",'RawData'!C165)</f>
        <v>Denmark</v>
      </c>
      <c r="D152" s="4" t="str">
        <f>IF(ISNUMBER(SEARCH("World",'RawData'!C165)),"",'RawData'!D165)</f>
        <v>Mine production, estimated</v>
      </c>
      <c r="E152" s="4" t="str">
        <f>IF(ISNUMBER(SEARCH("World",'RawData'!C165)),"",IF('RawData'!E165="WT001","kg",IF('RawData'!E165="WT002","ton",IF('RawData'!E165="WT003","k ton",""))))</f>
        <v>k ton</v>
      </c>
      <c r="F152" s="14">
        <f>IF(ISNUMBER(SEARCH("World",'RawData'!C165)),"",'RawData'!F165)</f>
        <v>380</v>
      </c>
      <c r="G152" s="14">
        <f>IF(ISNUMBER(SEARCH("World",'RawData'!C165)),"",'RawData'!G165)</f>
        <v>380</v>
      </c>
      <c r="H152" s="14">
        <f>IF(ISNUMBER(SEARCH("World",'RawData'!C165)),"",SUMIFS('RawData'!G:G,'RawData'!B:B,'RawData'!B165,'RawData'!C:C,"*World*"))</f>
        <v>2500</v>
      </c>
      <c r="I152" s="15">
        <f>IF(ISNUMBER(SEARCH("World",'RawData'!C165)),"",IFERROR(G152/H152,"-"))</f>
        <v>0.152</v>
      </c>
      <c r="J152" s="7">
        <f>IF(ISNUMBER(SEARCH("World",'RawData'!C165)),"",IF(ISNUMBER(SEARCH("Other",C152)),COUNTIFS('RawData'!B:B,B152,'RawData'!C:C,"&lt;&gt;*World*"),IF(OR(G152="",G152=0),"-",SUMPRODUCT(('RawData'!B$2:B$822=B152)*('RawData'!G$2:G$822&gt;G152)*(ISERROR(SEARCH("World",'RawData'!C$2:C$822)))*(ISERROR(SEARCH("Other",'RawData'!C$2:C$822))))+1)))</f>
        <v>2</v>
      </c>
      <c r="K152" s="14">
        <f>IF(ISNUMBER(SEARCH("World",'RawData'!C165)),"",'RawData'!H165)</f>
        <v>0</v>
      </c>
      <c r="L152" s="14">
        <f>IF(ISNUMBER(SEARCH("World",'RawData'!C165)),"",SUMIFS('RawData'!H:H,'RawData'!B:B,'RawData'!B165,'RawData'!C:C,"*World*"))</f>
        <v>0</v>
      </c>
      <c r="M152" s="15" t="str">
        <f>IF(ISNUMBER(SEARCH("World",'RawData'!C165)),"",IFERROR(K152/L152,"-"))</f>
        <v>-</v>
      </c>
      <c r="N152" s="7" t="str">
        <f>IF(ISNUMBER(SEARCH("World",'RawData'!C165)),"",IF(ISNUMBER(SEARCH("Other",C152)),COUNTIFS('RawData'!B:B,B152,'RawData'!C:C,"&lt;&gt;*World*"),IF(OR(K152="",K152=0),"-",SUMPRODUCT(('RawData'!B$2:B$822=B152)*('RawData'!H$2:H$822&gt;K152)*(ISERROR(SEARCH("World",'RawData'!C$2:C$822)))*(ISERROR(SEARCH("Other",'RawData'!C$2:C$822))))+1)))</f>
        <v>-</v>
      </c>
    </row>
    <row r="153" spans="1:14" x14ac:dyDescent="0.3">
      <c r="A153" s="4" t="str">
        <f>IF(ISNUMBER(SEARCH("World",'RawData'!C166)),"",'RawData'!A166)</f>
        <v>MCS2026</v>
      </c>
      <c r="B153" s="4" t="str">
        <f>IF(ISNUMBER(SEARCH("World",'RawData'!C166)),"",'RawData'!B166)</f>
        <v>Diatomite</v>
      </c>
      <c r="C153" s="4" t="str">
        <f>IF(ISNUMBER(SEARCH("World",'RawData'!C166)),"",'RawData'!C166)</f>
        <v>France</v>
      </c>
      <c r="D153" s="4" t="str">
        <f>IF(ISNUMBER(SEARCH("World",'RawData'!C166)),"",'RawData'!D166)</f>
        <v>Mine production, estimated</v>
      </c>
      <c r="E153" s="4" t="str">
        <f>IF(ISNUMBER(SEARCH("World",'RawData'!C166)),"",IF('RawData'!E166="WT001","kg",IF('RawData'!E166="WT002","ton",IF('RawData'!E166="WT003","k ton",""))))</f>
        <v>k ton</v>
      </c>
      <c r="F153" s="14">
        <f>IF(ISNUMBER(SEARCH("World",'RawData'!C166)),"",'RawData'!F166)</f>
        <v>250</v>
      </c>
      <c r="G153" s="14">
        <f>IF(ISNUMBER(SEARCH("World",'RawData'!C166)),"",'RawData'!G166)</f>
        <v>250</v>
      </c>
      <c r="H153" s="14">
        <f>IF(ISNUMBER(SEARCH("World",'RawData'!C166)),"",SUMIFS('RawData'!G:G,'RawData'!B:B,'RawData'!B166,'RawData'!C:C,"*World*"))</f>
        <v>2500</v>
      </c>
      <c r="I153" s="15">
        <f>IF(ISNUMBER(SEARCH("World",'RawData'!C166)),"",IFERROR(G153/H153,"-"))</f>
        <v>0.1</v>
      </c>
      <c r="J153" s="7">
        <f>IF(ISNUMBER(SEARCH("World",'RawData'!C166)),"",IF(ISNUMBER(SEARCH("Other",C153)),COUNTIFS('RawData'!B:B,B153,'RawData'!C:C,"&lt;&gt;*World*"),IF(OR(G153="",G153=0),"-",SUMPRODUCT(('RawData'!B$2:B$822=B153)*('RawData'!G$2:G$822&gt;G153)*(ISERROR(SEARCH("World",'RawData'!C$2:C$822)))*(ISERROR(SEARCH("Other",'RawData'!C$2:C$822))))+1)))</f>
        <v>3</v>
      </c>
      <c r="K153" s="14">
        <f>IF(ISNUMBER(SEARCH("World",'RawData'!C166)),"",'RawData'!H166)</f>
        <v>0</v>
      </c>
      <c r="L153" s="14">
        <f>IF(ISNUMBER(SEARCH("World",'RawData'!C166)),"",SUMIFS('RawData'!H:H,'RawData'!B:B,'RawData'!B166,'RawData'!C:C,"*World*"))</f>
        <v>0</v>
      </c>
      <c r="M153" s="15" t="str">
        <f>IF(ISNUMBER(SEARCH("World",'RawData'!C166)),"",IFERROR(K153/L153,"-"))</f>
        <v>-</v>
      </c>
      <c r="N153" s="7" t="str">
        <f>IF(ISNUMBER(SEARCH("World",'RawData'!C166)),"",IF(ISNUMBER(SEARCH("Other",C153)),COUNTIFS('RawData'!B:B,B153,'RawData'!C:C,"&lt;&gt;*World*"),IF(OR(K153="",K153=0),"-",SUMPRODUCT(('RawData'!B$2:B$822=B153)*('RawData'!H$2:H$822&gt;K153)*(ISERROR(SEARCH("World",'RawData'!C$2:C$822)))*(ISERROR(SEARCH("Other",'RawData'!C$2:C$822))))+1)))</f>
        <v>-</v>
      </c>
    </row>
    <row r="154" spans="1:14" x14ac:dyDescent="0.3">
      <c r="A154" s="4" t="str">
        <f>IF(ISNUMBER(SEARCH("World",'RawData'!C167)),"",'RawData'!A167)</f>
        <v>MCS2026</v>
      </c>
      <c r="B154" s="4" t="str">
        <f>IF(ISNUMBER(SEARCH("World",'RawData'!C167)),"",'RawData'!B167)</f>
        <v>Diatomite</v>
      </c>
      <c r="C154" s="4" t="str">
        <f>IF(ISNUMBER(SEARCH("World",'RawData'!C167)),"",'RawData'!C167)</f>
        <v>Germany</v>
      </c>
      <c r="D154" s="4" t="str">
        <f>IF(ISNUMBER(SEARCH("World",'RawData'!C167)),"",'RawData'!D167)</f>
        <v>Mine production, estimated</v>
      </c>
      <c r="E154" s="4" t="str">
        <f>IF(ISNUMBER(SEARCH("World",'RawData'!C167)),"",IF('RawData'!E167="WT001","kg",IF('RawData'!E167="WT002","ton",IF('RawData'!E167="WT003","k ton",""))))</f>
        <v>k ton</v>
      </c>
      <c r="F154" s="14">
        <f>IF(ISNUMBER(SEARCH("World",'RawData'!C167)),"",'RawData'!F167)</f>
        <v>50</v>
      </c>
      <c r="G154" s="14">
        <f>IF(ISNUMBER(SEARCH("World",'RawData'!C167)),"",'RawData'!G167)</f>
        <v>50</v>
      </c>
      <c r="H154" s="14">
        <f>IF(ISNUMBER(SEARCH("World",'RawData'!C167)),"",SUMIFS('RawData'!G:G,'RawData'!B:B,'RawData'!B167,'RawData'!C:C,"*World*"))</f>
        <v>2500</v>
      </c>
      <c r="I154" s="15">
        <f>IF(ISNUMBER(SEARCH("World",'RawData'!C167)),"",IFERROR(G154/H154,"-"))</f>
        <v>0.02</v>
      </c>
      <c r="J154" s="7">
        <f>IF(ISNUMBER(SEARCH("World",'RawData'!C167)),"",IF(ISNUMBER(SEARCH("Other",C154)),COUNTIFS('RawData'!B:B,B154,'RawData'!C:C,"&lt;&gt;*World*"),IF(OR(G154="",G154=0),"-",SUMPRODUCT(('RawData'!B$2:B$822=B154)*('RawData'!G$2:G$822&gt;G154)*(ISERROR(SEARCH("World",'RawData'!C$2:C$822)))*(ISERROR(SEARCH("Other",'RawData'!C$2:C$822))))+1)))</f>
        <v>10</v>
      </c>
      <c r="K154" s="14">
        <f>IF(ISNUMBER(SEARCH("World",'RawData'!C167)),"",'RawData'!H167)</f>
        <v>0</v>
      </c>
      <c r="L154" s="14">
        <f>IF(ISNUMBER(SEARCH("World",'RawData'!C167)),"",SUMIFS('RawData'!H:H,'RawData'!B:B,'RawData'!B167,'RawData'!C:C,"*World*"))</f>
        <v>0</v>
      </c>
      <c r="M154" s="15" t="str">
        <f>IF(ISNUMBER(SEARCH("World",'RawData'!C167)),"",IFERROR(K154/L154,"-"))</f>
        <v>-</v>
      </c>
      <c r="N154" s="7" t="str">
        <f>IF(ISNUMBER(SEARCH("World",'RawData'!C167)),"",IF(ISNUMBER(SEARCH("Other",C154)),COUNTIFS('RawData'!B:B,B154,'RawData'!C:C,"&lt;&gt;*World*"),IF(OR(K154="",K154=0),"-",SUMPRODUCT(('RawData'!B$2:B$822=B154)*('RawData'!H$2:H$822&gt;K154)*(ISERROR(SEARCH("World",'RawData'!C$2:C$822)))*(ISERROR(SEARCH("Other",'RawData'!C$2:C$822))))+1)))</f>
        <v>-</v>
      </c>
    </row>
    <row r="155" spans="1:14" x14ac:dyDescent="0.3">
      <c r="A155" s="4" t="str">
        <f>IF(ISNUMBER(SEARCH("World",'RawData'!C168)),"",'RawData'!A168)</f>
        <v>MCS2026</v>
      </c>
      <c r="B155" s="4" t="str">
        <f>IF(ISNUMBER(SEARCH("World",'RawData'!C168)),"",'RawData'!B168)</f>
        <v>Diatomite</v>
      </c>
      <c r="C155" s="4" t="str">
        <f>IF(ISNUMBER(SEARCH("World",'RawData'!C168)),"",'RawData'!C168)</f>
        <v>Japan</v>
      </c>
      <c r="D155" s="4" t="str">
        <f>IF(ISNUMBER(SEARCH("World",'RawData'!C168)),"",'RawData'!D168)</f>
        <v>Mine production, estimated</v>
      </c>
      <c r="E155" s="4" t="str">
        <f>IF(ISNUMBER(SEARCH("World",'RawData'!C168)),"",IF('RawData'!E168="WT001","kg",IF('RawData'!E168="WT002","ton",IF('RawData'!E168="WT003","k ton",""))))</f>
        <v>k ton</v>
      </c>
      <c r="F155" s="14">
        <f>IF(ISNUMBER(SEARCH("World",'RawData'!C168)),"",'RawData'!F168)</f>
        <v>40</v>
      </c>
      <c r="G155" s="14">
        <f>IF(ISNUMBER(SEARCH("World",'RawData'!C168)),"",'RawData'!G168)</f>
        <v>40</v>
      </c>
      <c r="H155" s="14">
        <f>IF(ISNUMBER(SEARCH("World",'RawData'!C168)),"",SUMIFS('RawData'!G:G,'RawData'!B:B,'RawData'!B168,'RawData'!C:C,"*World*"))</f>
        <v>2500</v>
      </c>
      <c r="I155" s="15">
        <f>IF(ISNUMBER(SEARCH("World",'RawData'!C168)),"",IFERROR(G155/H155,"-"))</f>
        <v>1.6E-2</v>
      </c>
      <c r="J155" s="7">
        <f>IF(ISNUMBER(SEARCH("World",'RawData'!C168)),"",IF(ISNUMBER(SEARCH("Other",C155)),COUNTIFS('RawData'!B:B,B155,'RawData'!C:C,"&lt;&gt;*World*"),IF(OR(G155="",G155=0),"-",SUMPRODUCT(('RawData'!B$2:B$822=B155)*('RawData'!G$2:G$822&gt;G155)*(ISERROR(SEARCH("World",'RawData'!C$2:C$822)))*(ISERROR(SEARCH("Other",'RawData'!C$2:C$822))))+1)))</f>
        <v>13</v>
      </c>
      <c r="K155" s="14">
        <f>IF(ISNUMBER(SEARCH("World",'RawData'!C168)),"",'RawData'!H168)</f>
        <v>0</v>
      </c>
      <c r="L155" s="14">
        <f>IF(ISNUMBER(SEARCH("World",'RawData'!C168)),"",SUMIFS('RawData'!H:H,'RawData'!B:B,'RawData'!B168,'RawData'!C:C,"*World*"))</f>
        <v>0</v>
      </c>
      <c r="M155" s="15" t="str">
        <f>IF(ISNUMBER(SEARCH("World",'RawData'!C168)),"",IFERROR(K155/L155,"-"))</f>
        <v>-</v>
      </c>
      <c r="N155" s="7" t="str">
        <f>IF(ISNUMBER(SEARCH("World",'RawData'!C168)),"",IF(ISNUMBER(SEARCH("Other",C155)),COUNTIFS('RawData'!B:B,B155,'RawData'!C:C,"&lt;&gt;*World*"),IF(OR(K155="",K155=0),"-",SUMPRODUCT(('RawData'!B$2:B$822=B155)*('RawData'!H$2:H$822&gt;K155)*(ISERROR(SEARCH("World",'RawData'!C$2:C$822)))*(ISERROR(SEARCH("Other",'RawData'!C$2:C$822))))+1)))</f>
        <v>-</v>
      </c>
    </row>
    <row r="156" spans="1:14" x14ac:dyDescent="0.3">
      <c r="A156" s="4" t="str">
        <f>IF(ISNUMBER(SEARCH("World",'RawData'!C169)),"",'RawData'!A169)</f>
        <v>MCS2026</v>
      </c>
      <c r="B156" s="4" t="str">
        <f>IF(ISNUMBER(SEARCH("World",'RawData'!C169)),"",'RawData'!B169)</f>
        <v>Diatomite</v>
      </c>
      <c r="C156" s="4" t="str">
        <f>IF(ISNUMBER(SEARCH("World",'RawData'!C169)),"",'RawData'!C169)</f>
        <v>Mexico</v>
      </c>
      <c r="D156" s="4" t="str">
        <f>IF(ISNUMBER(SEARCH("World",'RawData'!C169)),"",'RawData'!D169)</f>
        <v>Mine production, estimated</v>
      </c>
      <c r="E156" s="4" t="str">
        <f>IF(ISNUMBER(SEARCH("World",'RawData'!C169)),"",IF('RawData'!E169="WT001","kg",IF('RawData'!E169="WT002","ton",IF('RawData'!E169="WT003","k ton",""))))</f>
        <v>k ton</v>
      </c>
      <c r="F156" s="14">
        <f>IF(ISNUMBER(SEARCH("World",'RawData'!C169)),"",'RawData'!F169)</f>
        <v>100</v>
      </c>
      <c r="G156" s="14">
        <f>IF(ISNUMBER(SEARCH("World",'RawData'!C169)),"",'RawData'!G169)</f>
        <v>100</v>
      </c>
      <c r="H156" s="14">
        <f>IF(ISNUMBER(SEARCH("World",'RawData'!C169)),"",SUMIFS('RawData'!G:G,'RawData'!B:B,'RawData'!B169,'RawData'!C:C,"*World*"))</f>
        <v>2500</v>
      </c>
      <c r="I156" s="15">
        <f>IF(ISNUMBER(SEARCH("World",'RawData'!C169)),"",IFERROR(G156/H156,"-"))</f>
        <v>0.04</v>
      </c>
      <c r="J156" s="7">
        <f>IF(ISNUMBER(SEARCH("World",'RawData'!C169)),"",IF(ISNUMBER(SEARCH("Other",C156)),COUNTIFS('RawData'!B:B,B156,'RawData'!C:C,"&lt;&gt;*World*"),IF(OR(G156="",G156=0),"-",SUMPRODUCT(('RawData'!B$2:B$822=B156)*('RawData'!G$2:G$822&gt;G156)*(ISERROR(SEARCH("World",'RawData'!C$2:C$822)))*(ISERROR(SEARCH("Other",'RawData'!C$2:C$822))))+1)))</f>
        <v>8</v>
      </c>
      <c r="K156" s="14">
        <f>IF(ISNUMBER(SEARCH("World",'RawData'!C169)),"",'RawData'!H169)</f>
        <v>0</v>
      </c>
      <c r="L156" s="14">
        <f>IF(ISNUMBER(SEARCH("World",'RawData'!C169)),"",SUMIFS('RawData'!H:H,'RawData'!B:B,'RawData'!B169,'RawData'!C:C,"*World*"))</f>
        <v>0</v>
      </c>
      <c r="M156" s="15" t="str">
        <f>IF(ISNUMBER(SEARCH("World",'RawData'!C169)),"",IFERROR(K156/L156,"-"))</f>
        <v>-</v>
      </c>
      <c r="N156" s="7" t="str">
        <f>IF(ISNUMBER(SEARCH("World",'RawData'!C169)),"",IF(ISNUMBER(SEARCH("Other",C156)),COUNTIFS('RawData'!B:B,B156,'RawData'!C:C,"&lt;&gt;*World*"),IF(OR(K156="",K156=0),"-",SUMPRODUCT(('RawData'!B$2:B$822=B156)*('RawData'!H$2:H$822&gt;K156)*(ISERROR(SEARCH("World",'RawData'!C$2:C$822)))*(ISERROR(SEARCH("Other",'RawData'!C$2:C$822))))+1)))</f>
        <v>-</v>
      </c>
    </row>
    <row r="157" spans="1:14" x14ac:dyDescent="0.3">
      <c r="A157" s="4" t="str">
        <f>IF(ISNUMBER(SEARCH("World",'RawData'!C170)),"",'RawData'!A170)</f>
        <v>MCS2026</v>
      </c>
      <c r="B157" s="4" t="str">
        <f>IF(ISNUMBER(SEARCH("World",'RawData'!C170)),"",'RawData'!B170)</f>
        <v>Diatomite</v>
      </c>
      <c r="C157" s="4" t="str">
        <f>IF(ISNUMBER(SEARCH("World",'RawData'!C170)),"",'RawData'!C170)</f>
        <v>New Zealand</v>
      </c>
      <c r="D157" s="4" t="str">
        <f>IF(ISNUMBER(SEARCH("World",'RawData'!C170)),"",'RawData'!D170)</f>
        <v>Mine production, estimated</v>
      </c>
      <c r="E157" s="4" t="str">
        <f>IF(ISNUMBER(SEARCH("World",'RawData'!C170)),"",IF('RawData'!E170="WT001","kg",IF('RawData'!E170="WT002","ton",IF('RawData'!E170="WT003","k ton",""))))</f>
        <v>k ton</v>
      </c>
      <c r="F157" s="14">
        <f>IF(ISNUMBER(SEARCH("World",'RawData'!C170)),"",'RawData'!F170)</f>
        <v>40</v>
      </c>
      <c r="G157" s="14">
        <f>IF(ISNUMBER(SEARCH("World",'RawData'!C170)),"",'RawData'!G170)</f>
        <v>40</v>
      </c>
      <c r="H157" s="14">
        <f>IF(ISNUMBER(SEARCH("World",'RawData'!C170)),"",SUMIFS('RawData'!G:G,'RawData'!B:B,'RawData'!B170,'RawData'!C:C,"*World*"))</f>
        <v>2500</v>
      </c>
      <c r="I157" s="15">
        <f>IF(ISNUMBER(SEARCH("World",'RawData'!C170)),"",IFERROR(G157/H157,"-"))</f>
        <v>1.6E-2</v>
      </c>
      <c r="J157" s="7">
        <f>IF(ISNUMBER(SEARCH("World",'RawData'!C170)),"",IF(ISNUMBER(SEARCH("Other",C157)),COUNTIFS('RawData'!B:B,B157,'RawData'!C:C,"&lt;&gt;*World*"),IF(OR(G157="",G157=0),"-",SUMPRODUCT(('RawData'!B$2:B$822=B157)*('RawData'!G$2:G$822&gt;G157)*(ISERROR(SEARCH("World",'RawData'!C$2:C$822)))*(ISERROR(SEARCH("Other",'RawData'!C$2:C$822))))+1)))</f>
        <v>13</v>
      </c>
      <c r="K157" s="14">
        <f>IF(ISNUMBER(SEARCH("World",'RawData'!C170)),"",'RawData'!H170)</f>
        <v>0</v>
      </c>
      <c r="L157" s="14">
        <f>IF(ISNUMBER(SEARCH("World",'RawData'!C170)),"",SUMIFS('RawData'!H:H,'RawData'!B:B,'RawData'!B170,'RawData'!C:C,"*World*"))</f>
        <v>0</v>
      </c>
      <c r="M157" s="15" t="str">
        <f>IF(ISNUMBER(SEARCH("World",'RawData'!C170)),"",IFERROR(K157/L157,"-"))</f>
        <v>-</v>
      </c>
      <c r="N157" s="7" t="str">
        <f>IF(ISNUMBER(SEARCH("World",'RawData'!C170)),"",IF(ISNUMBER(SEARCH("Other",C157)),COUNTIFS('RawData'!B:B,B157,'RawData'!C:C,"&lt;&gt;*World*"),IF(OR(K157="",K157=0),"-",SUMPRODUCT(('RawData'!B$2:B$822=B157)*('RawData'!H$2:H$822&gt;K157)*(ISERROR(SEARCH("World",'RawData'!C$2:C$822)))*(ISERROR(SEARCH("Other",'RawData'!C$2:C$822))))+1)))</f>
        <v>-</v>
      </c>
    </row>
    <row r="158" spans="1:14" x14ac:dyDescent="0.3">
      <c r="A158" s="4" t="str">
        <f>IF(ISNUMBER(SEARCH("World",'RawData'!C171)),"",'RawData'!A171)</f>
        <v>MCS2026</v>
      </c>
      <c r="B158" s="4" t="str">
        <f>IF(ISNUMBER(SEARCH("World",'RawData'!C171)),"",'RawData'!B171)</f>
        <v>Diatomite</v>
      </c>
      <c r="C158" s="4" t="str">
        <f>IF(ISNUMBER(SEARCH("World",'RawData'!C171)),"",'RawData'!C171)</f>
        <v>Other Countries</v>
      </c>
      <c r="D158" s="4" t="str">
        <f>IF(ISNUMBER(SEARCH("World",'RawData'!C171)),"",'RawData'!D171)</f>
        <v>Mine production, estimated</v>
      </c>
      <c r="E158" s="4" t="str">
        <f>IF(ISNUMBER(SEARCH("World",'RawData'!C171)),"",IF('RawData'!E171="WT001","kg",IF('RawData'!E171="WT002","ton",IF('RawData'!E171="WT003","k ton",""))))</f>
        <v>k ton</v>
      </c>
      <c r="F158" s="14">
        <f>IF(ISNUMBER(SEARCH("World",'RawData'!C171)),"",'RawData'!F171)</f>
        <v>152</v>
      </c>
      <c r="G158" s="14">
        <f>IF(ISNUMBER(SEARCH("World",'RawData'!C171)),"",'RawData'!G171)</f>
        <v>160</v>
      </c>
      <c r="H158" s="14">
        <f>IF(ISNUMBER(SEARCH("World",'RawData'!C171)),"",SUMIFS('RawData'!G:G,'RawData'!B:B,'RawData'!B171,'RawData'!C:C,"*World*"))</f>
        <v>2500</v>
      </c>
      <c r="I158" s="15">
        <f>IF(ISNUMBER(SEARCH("World",'RawData'!C171)),"",IFERROR(G158/H158,"-"))</f>
        <v>6.4000000000000001E-2</v>
      </c>
      <c r="J158" s="7">
        <f>IF(ISNUMBER(SEARCH("World",'RawData'!C171)),"",IF(ISNUMBER(SEARCH("Other",C158)),COUNTIFS('RawData'!B:B,B158,'RawData'!C:C,"&lt;&gt;*World*"),IF(OR(G158="",G158=0),"-",SUMPRODUCT(('RawData'!B$2:B$822=B158)*('RawData'!G$2:G$822&gt;G158)*(ISERROR(SEARCH("World",'RawData'!C$2:C$822)))*(ISERROR(SEARCH("Other",'RawData'!C$2:C$822))))+1)))</f>
        <v>15</v>
      </c>
      <c r="K158" s="14">
        <f>IF(ISNUMBER(SEARCH("World",'RawData'!C171)),"",'RawData'!H171)</f>
        <v>0</v>
      </c>
      <c r="L158" s="14">
        <f>IF(ISNUMBER(SEARCH("World",'RawData'!C171)),"",SUMIFS('RawData'!H:H,'RawData'!B:B,'RawData'!B171,'RawData'!C:C,"*World*"))</f>
        <v>0</v>
      </c>
      <c r="M158" s="15" t="str">
        <f>IF(ISNUMBER(SEARCH("World",'RawData'!C171)),"",IFERROR(K158/L158,"-"))</f>
        <v>-</v>
      </c>
      <c r="N158" s="7">
        <f>IF(ISNUMBER(SEARCH("World",'RawData'!C171)),"",IF(ISNUMBER(SEARCH("Other",C158)),COUNTIFS('RawData'!B:B,B158,'RawData'!C:C,"&lt;&gt;*World*"),IF(OR(K158="",K158=0),"-",SUMPRODUCT(('RawData'!B$2:B$822=B158)*('RawData'!H$2:H$822&gt;K158)*(ISERROR(SEARCH("World",'RawData'!C$2:C$822)))*(ISERROR(SEARCH("Other",'RawData'!C$2:C$822))))+1)))</f>
        <v>15</v>
      </c>
    </row>
    <row r="159" spans="1:14" x14ac:dyDescent="0.3">
      <c r="A159" s="4" t="str">
        <f>IF(ISNUMBER(SEARCH("World",'RawData'!C172)),"",'RawData'!A172)</f>
        <v>MCS2026</v>
      </c>
      <c r="B159" s="4" t="str">
        <f>IF(ISNUMBER(SEARCH("World",'RawData'!C172)),"",'RawData'!B172)</f>
        <v>Diatomite</v>
      </c>
      <c r="C159" s="4" t="str">
        <f>IF(ISNUMBER(SEARCH("World",'RawData'!C172)),"",'RawData'!C172)</f>
        <v>Peru</v>
      </c>
      <c r="D159" s="4" t="str">
        <f>IF(ISNUMBER(SEARCH("World",'RawData'!C172)),"",'RawData'!D172)</f>
        <v>Mine production, estimated</v>
      </c>
      <c r="E159" s="4" t="str">
        <f>IF(ISNUMBER(SEARCH("World",'RawData'!C172)),"",IF('RawData'!E172="WT001","kg",IF('RawData'!E172="WT002","ton",IF('RawData'!E172="WT003","k ton",""))))</f>
        <v>k ton</v>
      </c>
      <c r="F159" s="14">
        <f>IF(ISNUMBER(SEARCH("World",'RawData'!C172)),"",'RawData'!F172)</f>
        <v>99</v>
      </c>
      <c r="G159" s="14">
        <f>IF(ISNUMBER(SEARCH("World",'RawData'!C172)),"",'RawData'!G172)</f>
        <v>99</v>
      </c>
      <c r="H159" s="14">
        <f>IF(ISNUMBER(SEARCH("World",'RawData'!C172)),"",SUMIFS('RawData'!G:G,'RawData'!B:B,'RawData'!B172,'RawData'!C:C,"*World*"))</f>
        <v>2500</v>
      </c>
      <c r="I159" s="15">
        <f>IF(ISNUMBER(SEARCH("World",'RawData'!C172)),"",IFERROR(G159/H159,"-"))</f>
        <v>3.9600000000000003E-2</v>
      </c>
      <c r="J159" s="7">
        <f>IF(ISNUMBER(SEARCH("World",'RawData'!C172)),"",IF(ISNUMBER(SEARCH("Other",C159)),COUNTIFS('RawData'!B:B,B159,'RawData'!C:C,"&lt;&gt;*World*"),IF(OR(G159="",G159=0),"-",SUMPRODUCT(('RawData'!B$2:B$822=B159)*('RawData'!G$2:G$822&gt;G159)*(ISERROR(SEARCH("World",'RawData'!C$2:C$822)))*(ISERROR(SEARCH("Other",'RawData'!C$2:C$822))))+1)))</f>
        <v>9</v>
      </c>
      <c r="K159" s="14">
        <f>IF(ISNUMBER(SEARCH("World",'RawData'!C172)),"",'RawData'!H172)</f>
        <v>0</v>
      </c>
      <c r="L159" s="14">
        <f>IF(ISNUMBER(SEARCH("World",'RawData'!C172)),"",SUMIFS('RawData'!H:H,'RawData'!B:B,'RawData'!B172,'RawData'!C:C,"*World*"))</f>
        <v>0</v>
      </c>
      <c r="M159" s="15" t="str">
        <f>IF(ISNUMBER(SEARCH("World",'RawData'!C172)),"",IFERROR(K159/L159,"-"))</f>
        <v>-</v>
      </c>
      <c r="N159" s="7" t="str">
        <f>IF(ISNUMBER(SEARCH("World",'RawData'!C172)),"",IF(ISNUMBER(SEARCH("Other",C159)),COUNTIFS('RawData'!B:B,B159,'RawData'!C:C,"&lt;&gt;*World*"),IF(OR(K159="",K159=0),"-",SUMPRODUCT(('RawData'!B$2:B$822=B159)*('RawData'!H$2:H$822&gt;K159)*(ISERROR(SEARCH("World",'RawData'!C$2:C$822)))*(ISERROR(SEARCH("Other",'RawData'!C$2:C$822))))+1)))</f>
        <v>-</v>
      </c>
    </row>
    <row r="160" spans="1:14" x14ac:dyDescent="0.3">
      <c r="A160" s="4" t="str">
        <f>IF(ISNUMBER(SEARCH("World",'RawData'!C173)),"",'RawData'!A173)</f>
        <v>MCS2026</v>
      </c>
      <c r="B160" s="4" t="str">
        <f>IF(ISNUMBER(SEARCH("World",'RawData'!C173)),"",'RawData'!B173)</f>
        <v>Diatomite</v>
      </c>
      <c r="C160" s="4" t="str">
        <f>IF(ISNUMBER(SEARCH("World",'RawData'!C173)),"",'RawData'!C173)</f>
        <v>Turkiye</v>
      </c>
      <c r="D160" s="4" t="str">
        <f>IF(ISNUMBER(SEARCH("World",'RawData'!C173)),"",'RawData'!D173)</f>
        <v>Mine production, estimated</v>
      </c>
      <c r="E160" s="4" t="str">
        <f>IF(ISNUMBER(SEARCH("World",'RawData'!C173)),"",IF('RawData'!E173="WT001","kg",IF('RawData'!E173="WT002","ton",IF('RawData'!E173="WT003","k ton",""))))</f>
        <v>k ton</v>
      </c>
      <c r="F160" s="14">
        <f>IF(ISNUMBER(SEARCH("World",'RawData'!C173)),"",'RawData'!F173)</f>
        <v>150</v>
      </c>
      <c r="G160" s="14">
        <f>IF(ISNUMBER(SEARCH("World",'RawData'!C173)),"",'RawData'!G173)</f>
        <v>150</v>
      </c>
      <c r="H160" s="14">
        <f>IF(ISNUMBER(SEARCH("World",'RawData'!C173)),"",SUMIFS('RawData'!G:G,'RawData'!B:B,'RawData'!B173,'RawData'!C:C,"*World*"))</f>
        <v>2500</v>
      </c>
      <c r="I160" s="15">
        <f>IF(ISNUMBER(SEARCH("World",'RawData'!C173)),"",IFERROR(G160/H160,"-"))</f>
        <v>0.06</v>
      </c>
      <c r="J160" s="7">
        <f>IF(ISNUMBER(SEARCH("World",'RawData'!C173)),"",IF(ISNUMBER(SEARCH("Other",C160)),COUNTIFS('RawData'!B:B,B160,'RawData'!C:C,"&lt;&gt;*World*"),IF(OR(G160="",G160=0),"-",SUMPRODUCT(('RawData'!B$2:B$822=B160)*('RawData'!G$2:G$822&gt;G160)*(ISERROR(SEARCH("World",'RawData'!C$2:C$822)))*(ISERROR(SEARCH("Other",'RawData'!C$2:C$822))))+1)))</f>
        <v>5</v>
      </c>
      <c r="K160" s="14">
        <f>IF(ISNUMBER(SEARCH("World",'RawData'!C173)),"",'RawData'!H173)</f>
        <v>44000</v>
      </c>
      <c r="L160" s="14">
        <f>IF(ISNUMBER(SEARCH("World",'RawData'!C173)),"",SUMIFS('RawData'!H:H,'RawData'!B:B,'RawData'!B173,'RawData'!C:C,"*World*"))</f>
        <v>0</v>
      </c>
      <c r="M160" s="15" t="str">
        <f>IF(ISNUMBER(SEARCH("World",'RawData'!C173)),"",IFERROR(K160/L160,"-"))</f>
        <v>-</v>
      </c>
      <c r="N160" s="7">
        <f>IF(ISNUMBER(SEARCH("World",'RawData'!C173)),"",IF(ISNUMBER(SEARCH("Other",C160)),COUNTIFS('RawData'!B:B,B160,'RawData'!C:C,"&lt;&gt;*World*"),IF(OR(K160="",K160=0),"-",SUMPRODUCT(('RawData'!B$2:B$822=B160)*('RawData'!H$2:H$822&gt;K160)*(ISERROR(SEARCH("World",'RawData'!C$2:C$822)))*(ISERROR(SEARCH("Other",'RawData'!C$2:C$822))))+1)))</f>
        <v>4</v>
      </c>
    </row>
    <row r="161" spans="1:14" x14ac:dyDescent="0.3">
      <c r="A161" s="4" t="str">
        <f>IF(ISNUMBER(SEARCH("World",'RawData'!C174)),"",'RawData'!A174)</f>
        <v>MCS2026</v>
      </c>
      <c r="B161" s="4" t="str">
        <f>IF(ISNUMBER(SEARCH("World",'RawData'!C174)),"",'RawData'!B174)</f>
        <v>Diatomite</v>
      </c>
      <c r="C161" s="4" t="str">
        <f>IF(ISNUMBER(SEARCH("World",'RawData'!C174)),"",'RawData'!C174)</f>
        <v xml:space="preserve">Russia </v>
      </c>
      <c r="D161" s="4" t="str">
        <f>IF(ISNUMBER(SEARCH("World",'RawData'!C174)),"",'RawData'!D174)</f>
        <v>Mine production, estimated</v>
      </c>
      <c r="E161" s="4" t="str">
        <f>IF(ISNUMBER(SEARCH("World",'RawData'!C174)),"",IF('RawData'!E174="WT001","kg",IF('RawData'!E174="WT002","ton",IF('RawData'!E174="WT003","k ton",""))))</f>
        <v>k ton</v>
      </c>
      <c r="F161" s="14">
        <f>IF(ISNUMBER(SEARCH("World",'RawData'!C174)),"",'RawData'!F174)</f>
        <v>50</v>
      </c>
      <c r="G161" s="14">
        <f>IF(ISNUMBER(SEARCH("World",'RawData'!C174)),"",'RawData'!G174)</f>
        <v>50</v>
      </c>
      <c r="H161" s="14">
        <f>IF(ISNUMBER(SEARCH("World",'RawData'!C174)),"",SUMIFS('RawData'!G:G,'RawData'!B:B,'RawData'!B174,'RawData'!C:C,"*World*"))</f>
        <v>2500</v>
      </c>
      <c r="I161" s="15">
        <f>IF(ISNUMBER(SEARCH("World",'RawData'!C174)),"",IFERROR(G161/H161,"-"))</f>
        <v>0.02</v>
      </c>
      <c r="J161" s="7">
        <f>IF(ISNUMBER(SEARCH("World",'RawData'!C174)),"",IF(ISNUMBER(SEARCH("Other",C161)),COUNTIFS('RawData'!B:B,B161,'RawData'!C:C,"&lt;&gt;*World*"),IF(OR(G161="",G161=0),"-",SUMPRODUCT(('RawData'!B$2:B$822=B161)*('RawData'!G$2:G$822&gt;G161)*(ISERROR(SEARCH("World",'RawData'!C$2:C$822)))*(ISERROR(SEARCH("Other",'RawData'!C$2:C$822))))+1)))</f>
        <v>10</v>
      </c>
      <c r="K161" s="14">
        <f>IF(ISNUMBER(SEARCH("World",'RawData'!C174)),"",'RawData'!H174)</f>
        <v>0</v>
      </c>
      <c r="L161" s="14">
        <f>IF(ISNUMBER(SEARCH("World",'RawData'!C174)),"",SUMIFS('RawData'!H:H,'RawData'!B:B,'RawData'!B174,'RawData'!C:C,"*World*"))</f>
        <v>0</v>
      </c>
      <c r="M161" s="15" t="str">
        <f>IF(ISNUMBER(SEARCH("World",'RawData'!C174)),"",IFERROR(K161/L161,"-"))</f>
        <v>-</v>
      </c>
      <c r="N161" s="7" t="str">
        <f>IF(ISNUMBER(SEARCH("World",'RawData'!C174)),"",IF(ISNUMBER(SEARCH("Other",C161)),COUNTIFS('RawData'!B:B,B161,'RawData'!C:C,"&lt;&gt;*World*"),IF(OR(K161="",K161=0),"-",SUMPRODUCT(('RawData'!B$2:B$822=B161)*('RawData'!H$2:H$822&gt;K161)*(ISERROR(SEARCH("World",'RawData'!C$2:C$822)))*(ISERROR(SEARCH("Other",'RawData'!C$2:C$822))))+1)))</f>
        <v>-</v>
      </c>
    </row>
    <row r="162" spans="1:14" x14ac:dyDescent="0.3">
      <c r="A162" s="4" t="str">
        <f>IF(ISNUMBER(SEARCH("World",'RawData'!C175)),"",'RawData'!A175)</f>
        <v>MCS2026</v>
      </c>
      <c r="B162" s="4" t="str">
        <f>IF(ISNUMBER(SEARCH("World",'RawData'!C175)),"",'RawData'!B175)</f>
        <v>Diatomite</v>
      </c>
      <c r="C162" s="4" t="str">
        <f>IF(ISNUMBER(SEARCH("World",'RawData'!C175)),"",'RawData'!C175)</f>
        <v>South Korea</v>
      </c>
      <c r="D162" s="4" t="str">
        <f>IF(ISNUMBER(SEARCH("World",'RawData'!C175)),"",'RawData'!D175)</f>
        <v>Mine production, estimated</v>
      </c>
      <c r="E162" s="4" t="str">
        <f>IF(ISNUMBER(SEARCH("World",'RawData'!C175)),"",IF('RawData'!E175="WT001","kg",IF('RawData'!E175="WT002","ton",IF('RawData'!E175="WT003","k ton",""))))</f>
        <v>k ton</v>
      </c>
      <c r="F162" s="14">
        <f>IF(ISNUMBER(SEARCH("World",'RawData'!C175)),"",'RawData'!F175)</f>
        <v>120</v>
      </c>
      <c r="G162" s="14">
        <f>IF(ISNUMBER(SEARCH("World",'RawData'!C175)),"",'RawData'!G175)</f>
        <v>120</v>
      </c>
      <c r="H162" s="14">
        <f>IF(ISNUMBER(SEARCH("World",'RawData'!C175)),"",SUMIFS('RawData'!G:G,'RawData'!B:B,'RawData'!B175,'RawData'!C:C,"*World*"))</f>
        <v>2500</v>
      </c>
      <c r="I162" s="15">
        <f>IF(ISNUMBER(SEARCH("World",'RawData'!C175)),"",IFERROR(G162/H162,"-"))</f>
        <v>4.8000000000000001E-2</v>
      </c>
      <c r="J162" s="7">
        <f>IF(ISNUMBER(SEARCH("World",'RawData'!C175)),"",IF(ISNUMBER(SEARCH("Other",C162)),COUNTIFS('RawData'!B:B,B162,'RawData'!C:C,"&lt;&gt;*World*"),IF(OR(G162="",G162=0),"-",SUMPRODUCT(('RawData'!B$2:B$822=B162)*('RawData'!G$2:G$822&gt;G162)*(ISERROR(SEARCH("World",'RawData'!C$2:C$822)))*(ISERROR(SEARCH("Other",'RawData'!C$2:C$822))))+1)))</f>
        <v>7</v>
      </c>
      <c r="K162" s="14">
        <f>IF(ISNUMBER(SEARCH("World",'RawData'!C175)),"",'RawData'!H175)</f>
        <v>2200</v>
      </c>
      <c r="L162" s="14">
        <f>IF(ISNUMBER(SEARCH("World",'RawData'!C175)),"",SUMIFS('RawData'!H:H,'RawData'!B:B,'RawData'!B175,'RawData'!C:C,"*World*"))</f>
        <v>0</v>
      </c>
      <c r="M162" s="15" t="str">
        <f>IF(ISNUMBER(SEARCH("World",'RawData'!C175)),"",IFERROR(K162/L162,"-"))</f>
        <v>-</v>
      </c>
      <c r="N162" s="7">
        <f>IF(ISNUMBER(SEARCH("World",'RawData'!C175)),"",IF(ISNUMBER(SEARCH("Other",C162)),COUNTIFS('RawData'!B:B,B162,'RawData'!C:C,"&lt;&gt;*World*"),IF(OR(K162="",K162=0),"-",SUMPRODUCT(('RawData'!B$2:B$822=B162)*('RawData'!H$2:H$822&gt;K162)*(ISERROR(SEARCH("World",'RawData'!C$2:C$822)))*(ISERROR(SEARCH("Other",'RawData'!C$2:C$822))))+1)))</f>
        <v>5</v>
      </c>
    </row>
    <row r="163" spans="1:14" x14ac:dyDescent="0.3">
      <c r="A163" s="4" t="str">
        <f>IF(ISNUMBER(SEARCH("World",'RawData'!C176)),"",'RawData'!A176)</f>
        <v>MCS2026</v>
      </c>
      <c r="B163" s="4" t="str">
        <f>IF(ISNUMBER(SEARCH("World",'RawData'!C176)),"",'RawData'!B176)</f>
        <v>Diatomite</v>
      </c>
      <c r="C163" s="4" t="str">
        <f>IF(ISNUMBER(SEARCH("World",'RawData'!C176)),"",'RawData'!C176)</f>
        <v>Spain</v>
      </c>
      <c r="D163" s="4" t="str">
        <f>IF(ISNUMBER(SEARCH("World",'RawData'!C176)),"",'RawData'!D176)</f>
        <v>Mine production, estimated</v>
      </c>
      <c r="E163" s="4" t="str">
        <f>IF(ISNUMBER(SEARCH("World",'RawData'!C176)),"",IF('RawData'!E176="WT001","kg",IF('RawData'!E176="WT002","ton",IF('RawData'!E176="WT003","k ton",""))))</f>
        <v>k ton</v>
      </c>
      <c r="F163" s="14">
        <f>IF(ISNUMBER(SEARCH("World",'RawData'!C176)),"",'RawData'!F176)</f>
        <v>50</v>
      </c>
      <c r="G163" s="14">
        <f>IF(ISNUMBER(SEARCH("World",'RawData'!C176)),"",'RawData'!G176)</f>
        <v>50</v>
      </c>
      <c r="H163" s="14">
        <f>IF(ISNUMBER(SEARCH("World",'RawData'!C176)),"",SUMIFS('RawData'!G:G,'RawData'!B:B,'RawData'!B176,'RawData'!C:C,"*World*"))</f>
        <v>2500</v>
      </c>
      <c r="I163" s="15">
        <f>IF(ISNUMBER(SEARCH("World",'RawData'!C176)),"",IFERROR(G163/H163,"-"))</f>
        <v>0.02</v>
      </c>
      <c r="J163" s="7">
        <f>IF(ISNUMBER(SEARCH("World",'RawData'!C176)),"",IF(ISNUMBER(SEARCH("Other",C163)),COUNTIFS('RawData'!B:B,B163,'RawData'!C:C,"&lt;&gt;*World*"),IF(OR(G163="",G163=0),"-",SUMPRODUCT(('RawData'!B$2:B$822=B163)*('RawData'!G$2:G$822&gt;G163)*(ISERROR(SEARCH("World",'RawData'!C$2:C$822)))*(ISERROR(SEARCH("Other",'RawData'!C$2:C$822))))+1)))</f>
        <v>10</v>
      </c>
      <c r="K163" s="14">
        <f>IF(ISNUMBER(SEARCH("World",'RawData'!C176)),"",'RawData'!H176)</f>
        <v>57000</v>
      </c>
      <c r="L163" s="14">
        <f>IF(ISNUMBER(SEARCH("World",'RawData'!C176)),"",SUMIFS('RawData'!H:H,'RawData'!B:B,'RawData'!B176,'RawData'!C:C,"*World*"))</f>
        <v>0</v>
      </c>
      <c r="M163" s="15" t="str">
        <f>IF(ISNUMBER(SEARCH("World",'RawData'!C176)),"",IFERROR(K163/L163,"-"))</f>
        <v>-</v>
      </c>
      <c r="N163" s="7">
        <f>IF(ISNUMBER(SEARCH("World",'RawData'!C176)),"",IF(ISNUMBER(SEARCH("Other",C163)),COUNTIFS('RawData'!B:B,B163,'RawData'!C:C,"&lt;&gt;*World*"),IF(OR(K163="",K163=0),"-",SUMPRODUCT(('RawData'!B$2:B$822=B163)*('RawData'!H$2:H$822&gt;K163)*(ISERROR(SEARCH("World",'RawData'!C$2:C$822)))*(ISERROR(SEARCH("Other",'RawData'!C$2:C$822))))+1)))</f>
        <v>3</v>
      </c>
    </row>
    <row r="164" spans="1:14" x14ac:dyDescent="0.3">
      <c r="A164" s="4" t="str">
        <f>IF(ISNUMBER(SEARCH("World",'RawData'!C177)),"",'RawData'!A177)</f>
        <v>MCS2026</v>
      </c>
      <c r="B164" s="4" t="str">
        <f>IF(ISNUMBER(SEARCH("World",'RawData'!C177)),"",'RawData'!B177)</f>
        <v>Diatomite</v>
      </c>
      <c r="C164" s="4" t="str">
        <f>IF(ISNUMBER(SEARCH("World",'RawData'!C177)),"",'RawData'!C177)</f>
        <v>United States</v>
      </c>
      <c r="D164" s="4" t="str">
        <f>IF(ISNUMBER(SEARCH("World",'RawData'!C177)),"",'RawData'!D177)</f>
        <v>Mine production, estimated</v>
      </c>
      <c r="E164" s="4" t="str">
        <f>IF(ISNUMBER(SEARCH("World",'RawData'!C177)),"",IF('RawData'!E177="WT001","kg",IF('RawData'!E177="WT002","ton",IF('RawData'!E177="WT003","k ton",""))))</f>
        <v>k ton</v>
      </c>
      <c r="F164" s="14">
        <f>IF(ISNUMBER(SEARCH("World",'RawData'!C177)),"",'RawData'!F177)</f>
        <v>721</v>
      </c>
      <c r="G164" s="14">
        <f>IF(ISNUMBER(SEARCH("World",'RawData'!C177)),"",'RawData'!G177)</f>
        <v>720</v>
      </c>
      <c r="H164" s="14">
        <f>IF(ISNUMBER(SEARCH("World",'RawData'!C177)),"",SUMIFS('RawData'!G:G,'RawData'!B:B,'RawData'!B177,'RawData'!C:C,"*World*"))</f>
        <v>2500</v>
      </c>
      <c r="I164" s="15">
        <f>IF(ISNUMBER(SEARCH("World",'RawData'!C177)),"",IFERROR(G164/H164,"-"))</f>
        <v>0.28799999999999998</v>
      </c>
      <c r="J164" s="7">
        <f>IF(ISNUMBER(SEARCH("World",'RawData'!C177)),"",IF(ISNUMBER(SEARCH("Other",C164)),COUNTIFS('RawData'!B:B,B164,'RawData'!C:C,"&lt;&gt;*World*"),IF(OR(G164="",G164=0),"-",SUMPRODUCT(('RawData'!B$2:B$822=B164)*('RawData'!G$2:G$822&gt;G164)*(ISERROR(SEARCH("World",'RawData'!C$2:C$822)))*(ISERROR(SEARCH("Other",'RawData'!C$2:C$822))))+1)))</f>
        <v>1</v>
      </c>
      <c r="K164" s="14">
        <f>IF(ISNUMBER(SEARCH("World",'RawData'!C177)),"",'RawData'!H177)</f>
        <v>250000</v>
      </c>
      <c r="L164" s="14">
        <f>IF(ISNUMBER(SEARCH("World",'RawData'!C177)),"",SUMIFS('RawData'!H:H,'RawData'!B:B,'RawData'!B177,'RawData'!C:C,"*World*"))</f>
        <v>0</v>
      </c>
      <c r="M164" s="15" t="str">
        <f>IF(ISNUMBER(SEARCH("World",'RawData'!C177)),"",IFERROR(K164/L164,"-"))</f>
        <v>-</v>
      </c>
      <c r="N164" s="7">
        <f>IF(ISNUMBER(SEARCH("World",'RawData'!C177)),"",IF(ISNUMBER(SEARCH("Other",C164)),COUNTIFS('RawData'!B:B,B164,'RawData'!C:C,"&lt;&gt;*World*"),IF(OR(K164="",K164=0),"-",SUMPRODUCT(('RawData'!B$2:B$822=B164)*('RawData'!H$2:H$822&gt;K164)*(ISERROR(SEARCH("World",'RawData'!C$2:C$822)))*(ISERROR(SEARCH("Other",'RawData'!C$2:C$822))))+1)))</f>
        <v>1</v>
      </c>
    </row>
    <row r="165" spans="1:14" x14ac:dyDescent="0.3">
      <c r="A165" s="4" t="str">
        <f>IF(ISNUMBER(SEARCH("World",'RawData'!C179)),"",'RawData'!A179)</f>
        <v>MCS2026</v>
      </c>
      <c r="B165" s="4" t="str">
        <f>IF(ISNUMBER(SEARCH("World",'RawData'!C179)),"",'RawData'!B179)</f>
        <v>Feldspar</v>
      </c>
      <c r="C165" s="4" t="str">
        <f>IF(ISNUMBER(SEARCH("World",'RawData'!C179)),"",'RawData'!C179)</f>
        <v>Brazil</v>
      </c>
      <c r="D165" s="4" t="str">
        <f>IF(ISNUMBER(SEARCH("World",'RawData'!C179)),"",'RawData'!D179)</f>
        <v>Mine production, estimated</v>
      </c>
      <c r="E165" s="4" t="str">
        <f>IF(ISNUMBER(SEARCH("World",'RawData'!C179)),"",IF('RawData'!E179="WT001","kg",IF('RawData'!E179="WT002","ton",IF('RawData'!E179="WT003","k ton",""))))</f>
        <v>k ton</v>
      </c>
      <c r="F165" s="14">
        <f>IF(ISNUMBER(SEARCH("World",'RawData'!C179)),"",'RawData'!F179)</f>
        <v>620</v>
      </c>
      <c r="G165" s="14">
        <f>IF(ISNUMBER(SEARCH("World",'RawData'!C179)),"",'RawData'!G179)</f>
        <v>620</v>
      </c>
      <c r="H165" s="14">
        <f>IF(ISNUMBER(SEARCH("World",'RawData'!C179)),"",SUMIFS('RawData'!G:G,'RawData'!B:B,'RawData'!B179,'RawData'!C:C,"*World*"))</f>
        <v>31000</v>
      </c>
      <c r="I165" s="15">
        <f>IF(ISNUMBER(SEARCH("World",'RawData'!C179)),"",IFERROR(G165/H165,"-"))</f>
        <v>0.02</v>
      </c>
      <c r="J165" s="7">
        <f>IF(ISNUMBER(SEARCH("World",'RawData'!C179)),"",IF(ISNUMBER(SEARCH("Other",C165)),COUNTIFS('RawData'!B:B,B165,'RawData'!C:C,"&lt;&gt;*World*"),IF(OR(G165="",G165=0),"-",SUMPRODUCT(('RawData'!B$2:B$822=B165)*('RawData'!G$2:G$822&gt;G165)*(ISERROR(SEARCH("World",'RawData'!C$2:C$822)))*(ISERROR(SEARCH("Other",'RawData'!C$2:C$822))))+1)))</f>
        <v>11</v>
      </c>
      <c r="K165" s="14">
        <f>IF(ISNUMBER(SEARCH("World",'RawData'!C179)),"",'RawData'!H179)</f>
        <v>150000</v>
      </c>
      <c r="L165" s="14">
        <f>IF(ISNUMBER(SEARCH("World",'RawData'!C179)),"",SUMIFS('RawData'!H:H,'RawData'!B:B,'RawData'!B179,'RawData'!C:C,"*World*"))</f>
        <v>0</v>
      </c>
      <c r="M165" s="15" t="str">
        <f>IF(ISNUMBER(SEARCH("World",'RawData'!C179)),"",IFERROR(K165/L165,"-"))</f>
        <v>-</v>
      </c>
      <c r="N165" s="7">
        <f>IF(ISNUMBER(SEARCH("World",'RawData'!C179)),"",IF(ISNUMBER(SEARCH("Other",C165)),COUNTIFS('RawData'!B:B,B165,'RawData'!C:C,"&lt;&gt;*World*"),IF(OR(K165="",K165=0),"-",SUMPRODUCT(('RawData'!B$2:B$822=B165)*('RawData'!H$2:H$822&gt;K165)*(ISERROR(SEARCH("World",'RawData'!C$2:C$822)))*(ISERROR(SEARCH("Other",'RawData'!C$2:C$822))))+1)))</f>
        <v>5</v>
      </c>
    </row>
    <row r="166" spans="1:14" x14ac:dyDescent="0.3">
      <c r="A166" s="4" t="str">
        <f>IF(ISNUMBER(SEARCH("World",'RawData'!C180)),"",'RawData'!A180)</f>
        <v>MCS2026</v>
      </c>
      <c r="B166" s="4" t="str">
        <f>IF(ISNUMBER(SEARCH("World",'RawData'!C180)),"",'RawData'!B180)</f>
        <v>Feldspar</v>
      </c>
      <c r="C166" s="4" t="str">
        <f>IF(ISNUMBER(SEARCH("World",'RawData'!C180)),"",'RawData'!C180)</f>
        <v>China</v>
      </c>
      <c r="D166" s="4" t="str">
        <f>IF(ISNUMBER(SEARCH("World",'RawData'!C180)),"",'RawData'!D180)</f>
        <v>Mine production, estimated</v>
      </c>
      <c r="E166" s="4" t="str">
        <f>IF(ISNUMBER(SEARCH("World",'RawData'!C180)),"",IF('RawData'!E180="WT001","kg",IF('RawData'!E180="WT002","ton",IF('RawData'!E180="WT003","k ton",""))))</f>
        <v>k ton</v>
      </c>
      <c r="F166" s="14">
        <f>IF(ISNUMBER(SEARCH("World",'RawData'!C180)),"",'RawData'!F180)</f>
        <v>3700</v>
      </c>
      <c r="G166" s="14">
        <f>IF(ISNUMBER(SEARCH("World",'RawData'!C180)),"",'RawData'!G180)</f>
        <v>3700</v>
      </c>
      <c r="H166" s="14">
        <f>IF(ISNUMBER(SEARCH("World",'RawData'!C180)),"",SUMIFS('RawData'!G:G,'RawData'!B:B,'RawData'!B180,'RawData'!C:C,"*World*"))</f>
        <v>31000</v>
      </c>
      <c r="I166" s="15">
        <f>IF(ISNUMBER(SEARCH("World",'RawData'!C180)),"",IFERROR(G166/H166,"-"))</f>
        <v>0.11935483870967742</v>
      </c>
      <c r="J166" s="7">
        <f>IF(ISNUMBER(SEARCH("World",'RawData'!C180)),"",IF(ISNUMBER(SEARCH("Other",C166)),COUNTIFS('RawData'!B:B,B166,'RawData'!C:C,"&lt;&gt;*World*"),IF(OR(G166="",G166=0),"-",SUMPRODUCT(('RawData'!B$2:B$822=B166)*('RawData'!G$2:G$822&gt;G166)*(ISERROR(SEARCH("World",'RawData'!C$2:C$822)))*(ISERROR(SEARCH("Other",'RawData'!C$2:C$822))))+1)))</f>
        <v>4</v>
      </c>
      <c r="K166" s="14">
        <f>IF(ISNUMBER(SEARCH("World",'RawData'!C180)),"",'RawData'!H180)</f>
        <v>730000</v>
      </c>
      <c r="L166" s="14">
        <f>IF(ISNUMBER(SEARCH("World",'RawData'!C180)),"",SUMIFS('RawData'!H:H,'RawData'!B:B,'RawData'!B180,'RawData'!C:C,"*World*"))</f>
        <v>0</v>
      </c>
      <c r="M166" s="15" t="str">
        <f>IF(ISNUMBER(SEARCH("World",'RawData'!C180)),"",IFERROR(K166/L166,"-"))</f>
        <v>-</v>
      </c>
      <c r="N166" s="7">
        <f>IF(ISNUMBER(SEARCH("World",'RawData'!C180)),"",IF(ISNUMBER(SEARCH("Other",C166)),COUNTIFS('RawData'!B:B,B166,'RawData'!C:C,"&lt;&gt;*World*"),IF(OR(K166="",K166=0),"-",SUMPRODUCT(('RawData'!B$2:B$822=B166)*('RawData'!H$2:H$822&gt;K166)*(ISERROR(SEARCH("World",'RawData'!C$2:C$822)))*(ISERROR(SEARCH("Other",'RawData'!C$2:C$822))))+1)))</f>
        <v>1</v>
      </c>
    </row>
    <row r="167" spans="1:14" x14ac:dyDescent="0.3">
      <c r="A167" s="4" t="str">
        <f>IF(ISNUMBER(SEARCH("World",'RawData'!C181)),"",'RawData'!A181)</f>
        <v>MCS2026</v>
      </c>
      <c r="B167" s="4" t="str">
        <f>IF(ISNUMBER(SEARCH("World",'RawData'!C181)),"",'RawData'!B181)</f>
        <v>Feldspar</v>
      </c>
      <c r="C167" s="4" t="str">
        <f>IF(ISNUMBER(SEARCH("World",'RawData'!C181)),"",'RawData'!C181)</f>
        <v>India</v>
      </c>
      <c r="D167" s="4" t="str">
        <f>IF(ISNUMBER(SEARCH("World",'RawData'!C181)),"",'RawData'!D181)</f>
        <v>Mine production, estimated</v>
      </c>
      <c r="E167" s="4" t="str">
        <f>IF(ISNUMBER(SEARCH("World",'RawData'!C181)),"",IF('RawData'!E181="WT001","kg",IF('RawData'!E181="WT002","ton",IF('RawData'!E181="WT003","k ton",""))))</f>
        <v>k ton</v>
      </c>
      <c r="F167" s="14">
        <f>IF(ISNUMBER(SEARCH("World",'RawData'!C181)),"",'RawData'!F181)</f>
        <v>6000</v>
      </c>
      <c r="G167" s="14">
        <f>IF(ISNUMBER(SEARCH("World",'RawData'!C181)),"",'RawData'!G181)</f>
        <v>6000</v>
      </c>
      <c r="H167" s="14">
        <f>IF(ISNUMBER(SEARCH("World",'RawData'!C181)),"",SUMIFS('RawData'!G:G,'RawData'!B:B,'RawData'!B181,'RawData'!C:C,"*World*"))</f>
        <v>31000</v>
      </c>
      <c r="I167" s="15">
        <f>IF(ISNUMBER(SEARCH("World",'RawData'!C181)),"",IFERROR(G167/H167,"-"))</f>
        <v>0.19354838709677419</v>
      </c>
      <c r="J167" s="7">
        <f>IF(ISNUMBER(SEARCH("World",'RawData'!C181)),"",IF(ISNUMBER(SEARCH("Other",C167)),COUNTIFS('RawData'!B:B,B167,'RawData'!C:C,"&lt;&gt;*World*"),IF(OR(G167="",G167=0),"-",SUMPRODUCT(('RawData'!B$2:B$822=B167)*('RawData'!G$2:G$822&gt;G167)*(ISERROR(SEARCH("World",'RawData'!C$2:C$822)))*(ISERROR(SEARCH("Other",'RawData'!C$2:C$822))))+1)))</f>
        <v>1</v>
      </c>
      <c r="K167" s="14">
        <f>IF(ISNUMBER(SEARCH("World",'RawData'!C181)),"",'RawData'!H181)</f>
        <v>320000</v>
      </c>
      <c r="L167" s="14">
        <f>IF(ISNUMBER(SEARCH("World",'RawData'!C181)),"",SUMIFS('RawData'!H:H,'RawData'!B:B,'RawData'!B181,'RawData'!C:C,"*World*"))</f>
        <v>0</v>
      </c>
      <c r="M167" s="15" t="str">
        <f>IF(ISNUMBER(SEARCH("World",'RawData'!C181)),"",IFERROR(K167/L167,"-"))</f>
        <v>-</v>
      </c>
      <c r="N167" s="7">
        <f>IF(ISNUMBER(SEARCH("World",'RawData'!C181)),"",IF(ISNUMBER(SEARCH("Other",C167)),COUNTIFS('RawData'!B:B,B167,'RawData'!C:C,"&lt;&gt;*World*"),IF(OR(K167="",K167=0),"-",SUMPRODUCT(('RawData'!B$2:B$822=B167)*('RawData'!H$2:H$822&gt;K167)*(ISERROR(SEARCH("World",'RawData'!C$2:C$822)))*(ISERROR(SEARCH("Other",'RawData'!C$2:C$822))))+1)))</f>
        <v>3</v>
      </c>
    </row>
    <row r="168" spans="1:14" x14ac:dyDescent="0.3">
      <c r="A168" s="4" t="str">
        <f>IF(ISNUMBER(SEARCH("World",'RawData'!C182)),"",'RawData'!A182)</f>
        <v>MCS2026</v>
      </c>
      <c r="B168" s="4" t="str">
        <f>IF(ISNUMBER(SEARCH("World",'RawData'!C182)),"",'RawData'!B182)</f>
        <v>Feldspar</v>
      </c>
      <c r="C168" s="4" t="str">
        <f>IF(ISNUMBER(SEARCH("World",'RawData'!C182)),"",'RawData'!C182)</f>
        <v>Iran</v>
      </c>
      <c r="D168" s="4" t="str">
        <f>IF(ISNUMBER(SEARCH("World",'RawData'!C182)),"",'RawData'!D182)</f>
        <v>Mine production, estimated</v>
      </c>
      <c r="E168" s="4" t="str">
        <f>IF(ISNUMBER(SEARCH("World",'RawData'!C182)),"",IF('RawData'!E182="WT001","kg",IF('RawData'!E182="WT002","ton",IF('RawData'!E182="WT003","k ton",""))))</f>
        <v>k ton</v>
      </c>
      <c r="F168" s="14">
        <f>IF(ISNUMBER(SEARCH("World",'RawData'!C182)),"",'RawData'!F182)</f>
        <v>3900</v>
      </c>
      <c r="G168" s="14">
        <f>IF(ISNUMBER(SEARCH("World",'RawData'!C182)),"",'RawData'!G182)</f>
        <v>3900</v>
      </c>
      <c r="H168" s="14">
        <f>IF(ISNUMBER(SEARCH("World",'RawData'!C182)),"",SUMIFS('RawData'!G:G,'RawData'!B:B,'RawData'!B182,'RawData'!C:C,"*World*"))</f>
        <v>31000</v>
      </c>
      <c r="I168" s="15">
        <f>IF(ISNUMBER(SEARCH("World",'RawData'!C182)),"",IFERROR(G168/H168,"-"))</f>
        <v>0.12580645161290321</v>
      </c>
      <c r="J168" s="7">
        <f>IF(ISNUMBER(SEARCH("World",'RawData'!C182)),"",IF(ISNUMBER(SEARCH("Other",C168)),COUNTIFS('RawData'!B:B,B168,'RawData'!C:C,"&lt;&gt;*World*"),IF(OR(G168="",G168=0),"-",SUMPRODUCT(('RawData'!B$2:B$822=B168)*('RawData'!G$2:G$822&gt;G168)*(ISERROR(SEARCH("World",'RawData'!C$2:C$822)))*(ISERROR(SEARCH("Other",'RawData'!C$2:C$822))))+1)))</f>
        <v>3</v>
      </c>
      <c r="K168" s="14">
        <f>IF(ISNUMBER(SEARCH("World",'RawData'!C182)),"",'RawData'!H182)</f>
        <v>130000</v>
      </c>
      <c r="L168" s="14">
        <f>IF(ISNUMBER(SEARCH("World",'RawData'!C182)),"",SUMIFS('RawData'!H:H,'RawData'!B:B,'RawData'!B182,'RawData'!C:C,"*World*"))</f>
        <v>0</v>
      </c>
      <c r="M168" s="15" t="str">
        <f>IF(ISNUMBER(SEARCH("World",'RawData'!C182)),"",IFERROR(K168/L168,"-"))</f>
        <v>-</v>
      </c>
      <c r="N168" s="7">
        <f>IF(ISNUMBER(SEARCH("World",'RawData'!C182)),"",IF(ISNUMBER(SEARCH("Other",C168)),COUNTIFS('RawData'!B:B,B168,'RawData'!C:C,"&lt;&gt;*World*"),IF(OR(K168="",K168=0),"-",SUMPRODUCT(('RawData'!B$2:B$822=B168)*('RawData'!H$2:H$822&gt;K168)*(ISERROR(SEARCH("World",'RawData'!C$2:C$822)))*(ISERROR(SEARCH("Other",'RawData'!C$2:C$822))))+1)))</f>
        <v>6</v>
      </c>
    </row>
    <row r="169" spans="1:14" x14ac:dyDescent="0.3">
      <c r="A169" s="4" t="str">
        <f>IF(ISNUMBER(SEARCH("World",'RawData'!C183)),"",'RawData'!A183)</f>
        <v>MCS2026</v>
      </c>
      <c r="B169" s="4" t="str">
        <f>IF(ISNUMBER(SEARCH("World",'RawData'!C183)),"",'RawData'!B183)</f>
        <v>Feldspar</v>
      </c>
      <c r="C169" s="4" t="str">
        <f>IF(ISNUMBER(SEARCH("World",'RawData'!C183)),"",'RawData'!C183)</f>
        <v>Italy</v>
      </c>
      <c r="D169" s="4" t="str">
        <f>IF(ISNUMBER(SEARCH("World",'RawData'!C183)),"",'RawData'!D183)</f>
        <v>Mine production, estimated</v>
      </c>
      <c r="E169" s="4" t="str">
        <f>IF(ISNUMBER(SEARCH("World",'RawData'!C183)),"",IF('RawData'!E183="WT001","kg",IF('RawData'!E183="WT002","ton",IF('RawData'!E183="WT003","k ton",""))))</f>
        <v>k ton</v>
      </c>
      <c r="F169" s="14">
        <f>IF(ISNUMBER(SEARCH("World",'RawData'!C183)),"",'RawData'!F183)</f>
        <v>2200</v>
      </c>
      <c r="G169" s="14">
        <f>IF(ISNUMBER(SEARCH("World",'RawData'!C183)),"",'RawData'!G183)</f>
        <v>2200</v>
      </c>
      <c r="H169" s="14">
        <f>IF(ISNUMBER(SEARCH("World",'RawData'!C183)),"",SUMIFS('RawData'!G:G,'RawData'!B:B,'RawData'!B183,'RawData'!C:C,"*World*"))</f>
        <v>31000</v>
      </c>
      <c r="I169" s="15">
        <f>IF(ISNUMBER(SEARCH("World",'RawData'!C183)),"",IFERROR(G169/H169,"-"))</f>
        <v>7.0967741935483872E-2</v>
      </c>
      <c r="J169" s="7">
        <f>IF(ISNUMBER(SEARCH("World",'RawData'!C183)),"",IF(ISNUMBER(SEARCH("Other",C169)),COUNTIFS('RawData'!B:B,B169,'RawData'!C:C,"&lt;&gt;*World*"),IF(OR(G169="",G169=0),"-",SUMPRODUCT(('RawData'!B$2:B$822=B169)*('RawData'!G$2:G$822&gt;G169)*(ISERROR(SEARCH("World",'RawData'!C$2:C$822)))*(ISERROR(SEARCH("Other",'RawData'!C$2:C$822))))+1)))</f>
        <v>5</v>
      </c>
      <c r="K169" s="14">
        <f>IF(ISNUMBER(SEARCH("World",'RawData'!C183)),"",'RawData'!H183)</f>
        <v>0</v>
      </c>
      <c r="L169" s="14">
        <f>IF(ISNUMBER(SEARCH("World",'RawData'!C183)),"",SUMIFS('RawData'!H:H,'RawData'!B:B,'RawData'!B183,'RawData'!C:C,"*World*"))</f>
        <v>0</v>
      </c>
      <c r="M169" s="15" t="str">
        <f>IF(ISNUMBER(SEARCH("World",'RawData'!C183)),"",IFERROR(K169/L169,"-"))</f>
        <v>-</v>
      </c>
      <c r="N169" s="7" t="str">
        <f>IF(ISNUMBER(SEARCH("World",'RawData'!C183)),"",IF(ISNUMBER(SEARCH("Other",C169)),COUNTIFS('RawData'!B:B,B169,'RawData'!C:C,"&lt;&gt;*World*"),IF(OR(K169="",K169=0),"-",SUMPRODUCT(('RawData'!B$2:B$822=B169)*('RawData'!H$2:H$822&gt;K169)*(ISERROR(SEARCH("World",'RawData'!C$2:C$822)))*(ISERROR(SEARCH("Other",'RawData'!C$2:C$822))))+1)))</f>
        <v>-</v>
      </c>
    </row>
    <row r="170" spans="1:14" x14ac:dyDescent="0.3">
      <c r="A170" s="4" t="str">
        <f>IF(ISNUMBER(SEARCH("World",'RawData'!C184)),"",'RawData'!A184)</f>
        <v>MCS2026</v>
      </c>
      <c r="B170" s="4" t="str">
        <f>IF(ISNUMBER(SEARCH("World",'RawData'!C184)),"",'RawData'!B184)</f>
        <v>Feldspar</v>
      </c>
      <c r="C170" s="4" t="str">
        <f>IF(ISNUMBER(SEARCH("World",'RawData'!C184)),"",'RawData'!C184)</f>
        <v>Morocco</v>
      </c>
      <c r="D170" s="4" t="str">
        <f>IF(ISNUMBER(SEARCH("World",'RawData'!C184)),"",'RawData'!D184)</f>
        <v>Mine production, estimated</v>
      </c>
      <c r="E170" s="4" t="str">
        <f>IF(ISNUMBER(SEARCH("World",'RawData'!C184)),"",IF('RawData'!E184="WT001","kg",IF('RawData'!E184="WT002","ton",IF('RawData'!E184="WT003","k ton",""))))</f>
        <v>k ton</v>
      </c>
      <c r="F170" s="14">
        <f>IF(ISNUMBER(SEARCH("World",'RawData'!C184)),"",'RawData'!F184)</f>
        <v>720</v>
      </c>
      <c r="G170" s="14">
        <f>IF(ISNUMBER(SEARCH("World",'RawData'!C184)),"",'RawData'!G184)</f>
        <v>720</v>
      </c>
      <c r="H170" s="14">
        <f>IF(ISNUMBER(SEARCH("World",'RawData'!C184)),"",SUMIFS('RawData'!G:G,'RawData'!B:B,'RawData'!B184,'RawData'!C:C,"*World*"))</f>
        <v>31000</v>
      </c>
      <c r="I170" s="15">
        <f>IF(ISNUMBER(SEARCH("World",'RawData'!C184)),"",IFERROR(G170/H170,"-"))</f>
        <v>2.3225806451612905E-2</v>
      </c>
      <c r="J170" s="7">
        <f>IF(ISNUMBER(SEARCH("World",'RawData'!C184)),"",IF(ISNUMBER(SEARCH("Other",C170)),COUNTIFS('RawData'!B:B,B170,'RawData'!C:C,"&lt;&gt;*World*"),IF(OR(G170="",G170=0),"-",SUMPRODUCT(('RawData'!B$2:B$822=B170)*('RawData'!G$2:G$822&gt;G170)*(ISERROR(SEARCH("World",'RawData'!C$2:C$822)))*(ISERROR(SEARCH("Other",'RawData'!C$2:C$822))))+1)))</f>
        <v>8</v>
      </c>
      <c r="K170" s="14">
        <f>IF(ISNUMBER(SEARCH("World",'RawData'!C184)),"",'RawData'!H184)</f>
        <v>0</v>
      </c>
      <c r="L170" s="14">
        <f>IF(ISNUMBER(SEARCH("World",'RawData'!C184)),"",SUMIFS('RawData'!H:H,'RawData'!B:B,'RawData'!B184,'RawData'!C:C,"*World*"))</f>
        <v>0</v>
      </c>
      <c r="M170" s="15" t="str">
        <f>IF(ISNUMBER(SEARCH("World",'RawData'!C184)),"",IFERROR(K170/L170,"-"))</f>
        <v>-</v>
      </c>
      <c r="N170" s="7" t="str">
        <f>IF(ISNUMBER(SEARCH("World",'RawData'!C184)),"",IF(ISNUMBER(SEARCH("Other",C170)),COUNTIFS('RawData'!B:B,B170,'RawData'!C:C,"&lt;&gt;*World*"),IF(OR(K170="",K170=0),"-",SUMPRODUCT(('RawData'!B$2:B$822=B170)*('RawData'!H$2:H$822&gt;K170)*(ISERROR(SEARCH("World",'RawData'!C$2:C$822)))*(ISERROR(SEARCH("Other",'RawData'!C$2:C$822))))+1)))</f>
        <v>-</v>
      </c>
    </row>
    <row r="171" spans="1:14" x14ac:dyDescent="0.3">
      <c r="A171" s="4" t="str">
        <f>IF(ISNUMBER(SEARCH("World",'RawData'!C185)),"",'RawData'!A185)</f>
        <v>MCS2026</v>
      </c>
      <c r="B171" s="4" t="str">
        <f>IF(ISNUMBER(SEARCH("World",'RawData'!C185)),"",'RawData'!B185)</f>
        <v>Feldspar</v>
      </c>
      <c r="C171" s="4" t="str">
        <f>IF(ISNUMBER(SEARCH("World",'RawData'!C185)),"",'RawData'!C185)</f>
        <v>Other Countries</v>
      </c>
      <c r="D171" s="4" t="str">
        <f>IF(ISNUMBER(SEARCH("World",'RawData'!C185)),"",'RawData'!D185)</f>
        <v>Mine production, estimated</v>
      </c>
      <c r="E171" s="4" t="str">
        <f>IF(ISNUMBER(SEARCH("World",'RawData'!C185)),"",IF('RawData'!E185="WT001","kg",IF('RawData'!E185="WT002","ton",IF('RawData'!E185="WT003","k ton",""))))</f>
        <v>k ton</v>
      </c>
      <c r="F171" s="14">
        <f>IF(ISNUMBER(SEARCH("World",'RawData'!C185)),"",'RawData'!F185)</f>
        <v>3400</v>
      </c>
      <c r="G171" s="14">
        <f>IF(ISNUMBER(SEARCH("World",'RawData'!C185)),"",'RawData'!G185)</f>
        <v>3400</v>
      </c>
      <c r="H171" s="14">
        <f>IF(ISNUMBER(SEARCH("World",'RawData'!C185)),"",SUMIFS('RawData'!G:G,'RawData'!B:B,'RawData'!B185,'RawData'!C:C,"*World*"))</f>
        <v>31000</v>
      </c>
      <c r="I171" s="15">
        <f>IF(ISNUMBER(SEARCH("World",'RawData'!C185)),"",IFERROR(G171/H171,"-"))</f>
        <v>0.10967741935483871</v>
      </c>
      <c r="J171" s="7">
        <f>IF(ISNUMBER(SEARCH("World",'RawData'!C185)),"",IF(ISNUMBER(SEARCH("Other",C171)),COUNTIFS('RawData'!B:B,B171,'RawData'!C:C,"&lt;&gt;*World*"),IF(OR(G171="",G171=0),"-",SUMPRODUCT(('RawData'!B$2:B$822=B171)*('RawData'!G$2:G$822&gt;G171)*(ISERROR(SEARCH("World",'RawData'!C$2:C$822)))*(ISERROR(SEARCH("Other",'RawData'!C$2:C$822))))+1)))</f>
        <v>14</v>
      </c>
      <c r="K171" s="14">
        <f>IF(ISNUMBER(SEARCH("World",'RawData'!C185)),"",'RawData'!H185)</f>
        <v>0</v>
      </c>
      <c r="L171" s="14">
        <f>IF(ISNUMBER(SEARCH("World",'RawData'!C185)),"",SUMIFS('RawData'!H:H,'RawData'!B:B,'RawData'!B185,'RawData'!C:C,"*World*"))</f>
        <v>0</v>
      </c>
      <c r="M171" s="15" t="str">
        <f>IF(ISNUMBER(SEARCH("World",'RawData'!C185)),"",IFERROR(K171/L171,"-"))</f>
        <v>-</v>
      </c>
      <c r="N171" s="7">
        <f>IF(ISNUMBER(SEARCH("World",'RawData'!C185)),"",IF(ISNUMBER(SEARCH("Other",C171)),COUNTIFS('RawData'!B:B,B171,'RawData'!C:C,"&lt;&gt;*World*"),IF(OR(K171="",K171=0),"-",SUMPRODUCT(('RawData'!B$2:B$822=B171)*('RawData'!H$2:H$822&gt;K171)*(ISERROR(SEARCH("World",'RawData'!C$2:C$822)))*(ISERROR(SEARCH("Other",'RawData'!C$2:C$822))))+1)))</f>
        <v>14</v>
      </c>
    </row>
    <row r="172" spans="1:14" x14ac:dyDescent="0.3">
      <c r="A172" s="4" t="str">
        <f>IF(ISNUMBER(SEARCH("World",'RawData'!C186)),"",'RawData'!A186)</f>
        <v>MCS2026</v>
      </c>
      <c r="B172" s="4" t="str">
        <f>IF(ISNUMBER(SEARCH("World",'RawData'!C186)),"",'RawData'!B186)</f>
        <v>Feldspar</v>
      </c>
      <c r="C172" s="4" t="str">
        <f>IF(ISNUMBER(SEARCH("World",'RawData'!C186)),"",'RawData'!C186)</f>
        <v>Turkiye</v>
      </c>
      <c r="D172" s="4" t="str">
        <f>IF(ISNUMBER(SEARCH("World",'RawData'!C186)),"",'RawData'!D186)</f>
        <v>Mine production, estimated</v>
      </c>
      <c r="E172" s="4" t="str">
        <f>IF(ISNUMBER(SEARCH("World",'RawData'!C186)),"",IF('RawData'!E186="WT001","kg",IF('RawData'!E186="WT002","ton",IF('RawData'!E186="WT003","k ton",""))))</f>
        <v>k ton</v>
      </c>
      <c r="F172" s="14">
        <f>IF(ISNUMBER(SEARCH("World",'RawData'!C186)),"",'RawData'!F186)</f>
        <v>5274</v>
      </c>
      <c r="G172" s="14">
        <f>IF(ISNUMBER(SEARCH("World",'RawData'!C186)),"",'RawData'!G186)</f>
        <v>5300</v>
      </c>
      <c r="H172" s="14">
        <f>IF(ISNUMBER(SEARCH("World",'RawData'!C186)),"",SUMIFS('RawData'!G:G,'RawData'!B:B,'RawData'!B186,'RawData'!C:C,"*World*"))</f>
        <v>31000</v>
      </c>
      <c r="I172" s="15">
        <f>IF(ISNUMBER(SEARCH("World",'RawData'!C186)),"",IFERROR(G172/H172,"-"))</f>
        <v>0.17096774193548386</v>
      </c>
      <c r="J172" s="7">
        <f>IF(ISNUMBER(SEARCH("World",'RawData'!C186)),"",IF(ISNUMBER(SEARCH("Other",C172)),COUNTIFS('RawData'!B:B,B172,'RawData'!C:C,"&lt;&gt;*World*"),IF(OR(G172="",G172=0),"-",SUMPRODUCT(('RawData'!B$2:B$822=B172)*('RawData'!G$2:G$822&gt;G172)*(ISERROR(SEARCH("World",'RawData'!C$2:C$822)))*(ISERROR(SEARCH("Other",'RawData'!C$2:C$822))))+1)))</f>
        <v>2</v>
      </c>
      <c r="K172" s="14">
        <f>IF(ISNUMBER(SEARCH("World",'RawData'!C186)),"",'RawData'!H186)</f>
        <v>720000</v>
      </c>
      <c r="L172" s="14">
        <f>IF(ISNUMBER(SEARCH("World",'RawData'!C186)),"",SUMIFS('RawData'!H:H,'RawData'!B:B,'RawData'!B186,'RawData'!C:C,"*World*"))</f>
        <v>0</v>
      </c>
      <c r="M172" s="15" t="str">
        <f>IF(ISNUMBER(SEARCH("World",'RawData'!C186)),"",IFERROR(K172/L172,"-"))</f>
        <v>-</v>
      </c>
      <c r="N172" s="7">
        <f>IF(ISNUMBER(SEARCH("World",'RawData'!C186)),"",IF(ISNUMBER(SEARCH("Other",C172)),COUNTIFS('RawData'!B:B,B172,'RawData'!C:C,"&lt;&gt;*World*"),IF(OR(K172="",K172=0),"-",SUMPRODUCT(('RawData'!B$2:B$822=B172)*('RawData'!H$2:H$822&gt;K172)*(ISERROR(SEARCH("World",'RawData'!C$2:C$822)))*(ISERROR(SEARCH("Other",'RawData'!C$2:C$822))))+1)))</f>
        <v>2</v>
      </c>
    </row>
    <row r="173" spans="1:14" x14ac:dyDescent="0.3">
      <c r="A173" s="4" t="str">
        <f>IF(ISNUMBER(SEARCH("World",'RawData'!C187)),"",'RawData'!A187)</f>
        <v>MCS2026</v>
      </c>
      <c r="B173" s="4" t="str">
        <f>IF(ISNUMBER(SEARCH("World",'RawData'!C187)),"",'RawData'!B187)</f>
        <v>Feldspar</v>
      </c>
      <c r="C173" s="4" t="str">
        <f>IF(ISNUMBER(SEARCH("World",'RawData'!C187)),"",'RawData'!C187)</f>
        <v xml:space="preserve">Russia </v>
      </c>
      <c r="D173" s="4" t="str">
        <f>IF(ISNUMBER(SEARCH("World",'RawData'!C187)),"",'RawData'!D187)</f>
        <v>Mine production, estimated</v>
      </c>
      <c r="E173" s="4" t="str">
        <f>IF(ISNUMBER(SEARCH("World",'RawData'!C187)),"",IF('RawData'!E187="WT001","kg",IF('RawData'!E187="WT002","ton",IF('RawData'!E187="WT003","k ton",""))))</f>
        <v>k ton</v>
      </c>
      <c r="F173" s="14">
        <f>IF(ISNUMBER(SEARCH("World",'RawData'!C187)),"",'RawData'!F187)</f>
        <v>650</v>
      </c>
      <c r="G173" s="14">
        <f>IF(ISNUMBER(SEARCH("World",'RawData'!C187)),"",'RawData'!G187)</f>
        <v>650</v>
      </c>
      <c r="H173" s="14">
        <f>IF(ISNUMBER(SEARCH("World",'RawData'!C187)),"",SUMIFS('RawData'!G:G,'RawData'!B:B,'RawData'!B187,'RawData'!C:C,"*World*"))</f>
        <v>31000</v>
      </c>
      <c r="I173" s="15">
        <f>IF(ISNUMBER(SEARCH("World",'RawData'!C187)),"",IFERROR(G173/H173,"-"))</f>
        <v>2.0967741935483872E-2</v>
      </c>
      <c r="J173" s="7">
        <f>IF(ISNUMBER(SEARCH("World",'RawData'!C187)),"",IF(ISNUMBER(SEARCH("Other",C173)),COUNTIFS('RawData'!B:B,B173,'RawData'!C:C,"&lt;&gt;*World*"),IF(OR(G173="",G173=0),"-",SUMPRODUCT(('RawData'!B$2:B$822=B173)*('RawData'!G$2:G$822&gt;G173)*(ISERROR(SEARCH("World",'RawData'!C$2:C$822)))*(ISERROR(SEARCH("Other",'RawData'!C$2:C$822))))+1)))</f>
        <v>9</v>
      </c>
      <c r="K173" s="14">
        <f>IF(ISNUMBER(SEARCH("World",'RawData'!C187)),"",'RawData'!H187)</f>
        <v>0</v>
      </c>
      <c r="L173" s="14">
        <f>IF(ISNUMBER(SEARCH("World",'RawData'!C187)),"",SUMIFS('RawData'!H:H,'RawData'!B:B,'RawData'!B187,'RawData'!C:C,"*World*"))</f>
        <v>0</v>
      </c>
      <c r="M173" s="15" t="str">
        <f>IF(ISNUMBER(SEARCH("World",'RawData'!C187)),"",IFERROR(K173/L173,"-"))</f>
        <v>-</v>
      </c>
      <c r="N173" s="7" t="str">
        <f>IF(ISNUMBER(SEARCH("World",'RawData'!C187)),"",IF(ISNUMBER(SEARCH("Other",C173)),COUNTIFS('RawData'!B:B,B173,'RawData'!C:C,"&lt;&gt;*World*"),IF(OR(K173="",K173=0),"-",SUMPRODUCT(('RawData'!B$2:B$822=B173)*('RawData'!H$2:H$822&gt;K173)*(ISERROR(SEARCH("World",'RawData'!C$2:C$822)))*(ISERROR(SEARCH("Other",'RawData'!C$2:C$822))))+1)))</f>
        <v>-</v>
      </c>
    </row>
    <row r="174" spans="1:14" x14ac:dyDescent="0.3">
      <c r="A174" s="4" t="str">
        <f>IF(ISNUMBER(SEARCH("World",'RawData'!C188)),"",'RawData'!A188)</f>
        <v>MCS2026</v>
      </c>
      <c r="B174" s="4" t="str">
        <f>IF(ISNUMBER(SEARCH("World",'RawData'!C188)),"",'RawData'!B188)</f>
        <v>Feldspar</v>
      </c>
      <c r="C174" s="4" t="str">
        <f>IF(ISNUMBER(SEARCH("World",'RawData'!C188)),"",'RawData'!C188)</f>
        <v>Saudi Arabia</v>
      </c>
      <c r="D174" s="4" t="str">
        <f>IF(ISNUMBER(SEARCH("World",'RawData'!C188)),"",'RawData'!D188)</f>
        <v>Mine production, estimated</v>
      </c>
      <c r="E174" s="4" t="str">
        <f>IF(ISNUMBER(SEARCH("World",'RawData'!C188)),"",IF('RawData'!E188="WT001","kg",IF('RawData'!E188="WT002","ton",IF('RawData'!E188="WT003","k ton",""))))</f>
        <v>k ton</v>
      </c>
      <c r="F174" s="14">
        <f>IF(ISNUMBER(SEARCH("World",'RawData'!C188)),"",'RawData'!F188)</f>
        <v>650</v>
      </c>
      <c r="G174" s="14">
        <f>IF(ISNUMBER(SEARCH("World",'RawData'!C188)),"",'RawData'!G188)</f>
        <v>650</v>
      </c>
      <c r="H174" s="14">
        <f>IF(ISNUMBER(SEARCH("World",'RawData'!C188)),"",SUMIFS('RawData'!G:G,'RawData'!B:B,'RawData'!B188,'RawData'!C:C,"*World*"))</f>
        <v>31000</v>
      </c>
      <c r="I174" s="15">
        <f>IF(ISNUMBER(SEARCH("World",'RawData'!C188)),"",IFERROR(G174/H174,"-"))</f>
        <v>2.0967741935483872E-2</v>
      </c>
      <c r="J174" s="7">
        <f>IF(ISNUMBER(SEARCH("World",'RawData'!C188)),"",IF(ISNUMBER(SEARCH("Other",C174)),COUNTIFS('RawData'!B:B,B174,'RawData'!C:C,"&lt;&gt;*World*"),IF(OR(G174="",G174=0),"-",SUMPRODUCT(('RawData'!B$2:B$822=B174)*('RawData'!G$2:G$822&gt;G174)*(ISERROR(SEARCH("World",'RawData'!C$2:C$822)))*(ISERROR(SEARCH("Other",'RawData'!C$2:C$822))))+1)))</f>
        <v>9</v>
      </c>
      <c r="K174" s="14">
        <f>IF(ISNUMBER(SEARCH("World",'RawData'!C188)),"",'RawData'!H188)</f>
        <v>0</v>
      </c>
      <c r="L174" s="14">
        <f>IF(ISNUMBER(SEARCH("World",'RawData'!C188)),"",SUMIFS('RawData'!H:H,'RawData'!B:B,'RawData'!B188,'RawData'!C:C,"*World*"))</f>
        <v>0</v>
      </c>
      <c r="M174" s="15" t="str">
        <f>IF(ISNUMBER(SEARCH("World",'RawData'!C188)),"",IFERROR(K174/L174,"-"))</f>
        <v>-</v>
      </c>
      <c r="N174" s="7" t="str">
        <f>IF(ISNUMBER(SEARCH("World",'RawData'!C188)),"",IF(ISNUMBER(SEARCH("Other",C174)),COUNTIFS('RawData'!B:B,B174,'RawData'!C:C,"&lt;&gt;*World*"),IF(OR(K174="",K174=0),"-",SUMPRODUCT(('RawData'!B$2:B$822=B174)*('RawData'!H$2:H$822&gt;K174)*(ISERROR(SEARCH("World",'RawData'!C$2:C$822)))*(ISERROR(SEARCH("Other",'RawData'!C$2:C$822))))+1)))</f>
        <v>-</v>
      </c>
    </row>
    <row r="175" spans="1:14" x14ac:dyDescent="0.3">
      <c r="A175" s="4" t="str">
        <f>IF(ISNUMBER(SEARCH("World",'RawData'!C189)),"",'RawData'!A189)</f>
        <v>MCS2026</v>
      </c>
      <c r="B175" s="4" t="str">
        <f>IF(ISNUMBER(SEARCH("World",'RawData'!C189)),"",'RawData'!B189)</f>
        <v>Feldspar</v>
      </c>
      <c r="C175" s="4" t="str">
        <f>IF(ISNUMBER(SEARCH("World",'RawData'!C189)),"",'RawData'!C189)</f>
        <v>South Korea</v>
      </c>
      <c r="D175" s="4" t="str">
        <f>IF(ISNUMBER(SEARCH("World",'RawData'!C189)),"",'RawData'!D189)</f>
        <v>Mine production, estimated</v>
      </c>
      <c r="E175" s="4" t="str">
        <f>IF(ISNUMBER(SEARCH("World",'RawData'!C189)),"",IF('RawData'!E189="WT001","kg",IF('RawData'!E189="WT002","ton",IF('RawData'!E189="WT003","k ton",""))))</f>
        <v>k ton</v>
      </c>
      <c r="F175" s="14">
        <f>IF(ISNUMBER(SEARCH("World",'RawData'!C189)),"",'RawData'!F189)</f>
        <v>990</v>
      </c>
      <c r="G175" s="14">
        <f>IF(ISNUMBER(SEARCH("World",'RawData'!C189)),"",'RawData'!G189)</f>
        <v>1000</v>
      </c>
      <c r="H175" s="14">
        <f>IF(ISNUMBER(SEARCH("World",'RawData'!C189)),"",SUMIFS('RawData'!G:G,'RawData'!B:B,'RawData'!B189,'RawData'!C:C,"*World*"))</f>
        <v>31000</v>
      </c>
      <c r="I175" s="15">
        <f>IF(ISNUMBER(SEARCH("World",'RawData'!C189)),"",IFERROR(G175/H175,"-"))</f>
        <v>3.2258064516129031E-2</v>
      </c>
      <c r="J175" s="7">
        <f>IF(ISNUMBER(SEARCH("World",'RawData'!C189)),"",IF(ISNUMBER(SEARCH("Other",C175)),COUNTIFS('RawData'!B:B,B175,'RawData'!C:C,"&lt;&gt;*World*"),IF(OR(G175="",G175=0),"-",SUMPRODUCT(('RawData'!B$2:B$822=B175)*('RawData'!G$2:G$822&gt;G175)*(ISERROR(SEARCH("World",'RawData'!C$2:C$822)))*(ISERROR(SEARCH("Other",'RawData'!C$2:C$822))))+1)))</f>
        <v>7</v>
      </c>
      <c r="K175" s="14">
        <f>IF(ISNUMBER(SEARCH("World",'RawData'!C189)),"",'RawData'!H189)</f>
        <v>200000</v>
      </c>
      <c r="L175" s="14">
        <f>IF(ISNUMBER(SEARCH("World",'RawData'!C189)),"",SUMIFS('RawData'!H:H,'RawData'!B:B,'RawData'!B189,'RawData'!C:C,"*World*"))</f>
        <v>0</v>
      </c>
      <c r="M175" s="15" t="str">
        <f>IF(ISNUMBER(SEARCH("World",'RawData'!C189)),"",IFERROR(K175/L175,"-"))</f>
        <v>-</v>
      </c>
      <c r="N175" s="7">
        <f>IF(ISNUMBER(SEARCH("World",'RawData'!C189)),"",IF(ISNUMBER(SEARCH("Other",C175)),COUNTIFS('RawData'!B:B,B175,'RawData'!C:C,"&lt;&gt;*World*"),IF(OR(K175="",K175=0),"-",SUMPRODUCT(('RawData'!B$2:B$822=B175)*('RawData'!H$2:H$822&gt;K175)*(ISERROR(SEARCH("World",'RawData'!C$2:C$822)))*(ISERROR(SEARCH("Other",'RawData'!C$2:C$822))))+1)))</f>
        <v>4</v>
      </c>
    </row>
    <row r="176" spans="1:14" x14ac:dyDescent="0.3">
      <c r="A176" s="4" t="str">
        <f>IF(ISNUMBER(SEARCH("World",'RawData'!C190)),"",'RawData'!A190)</f>
        <v>MCS2026</v>
      </c>
      <c r="B176" s="4" t="str">
        <f>IF(ISNUMBER(SEARCH("World",'RawData'!C190)),"",'RawData'!B190)</f>
        <v>Feldspar</v>
      </c>
      <c r="C176" s="4" t="str">
        <f>IF(ISNUMBER(SEARCH("World",'RawData'!C190)),"",'RawData'!C190)</f>
        <v>Spain</v>
      </c>
      <c r="D176" s="4" t="str">
        <f>IF(ISNUMBER(SEARCH("World",'RawData'!C190)),"",'RawData'!D190)</f>
        <v>Mine production, estimated</v>
      </c>
      <c r="E176" s="4" t="str">
        <f>IF(ISNUMBER(SEARCH("World",'RawData'!C190)),"",IF('RawData'!E190="WT001","kg",IF('RawData'!E190="WT002","ton",IF('RawData'!E190="WT003","k ton",""))))</f>
        <v>k ton</v>
      </c>
      <c r="F176" s="14">
        <f>IF(ISNUMBER(SEARCH("World",'RawData'!C190)),"",'RawData'!F190)</f>
        <v>620</v>
      </c>
      <c r="G176" s="14">
        <f>IF(ISNUMBER(SEARCH("World",'RawData'!C190)),"",'RawData'!G190)</f>
        <v>620</v>
      </c>
      <c r="H176" s="14">
        <f>IF(ISNUMBER(SEARCH("World",'RawData'!C190)),"",SUMIFS('RawData'!G:G,'RawData'!B:B,'RawData'!B190,'RawData'!C:C,"*World*"))</f>
        <v>31000</v>
      </c>
      <c r="I176" s="15">
        <f>IF(ISNUMBER(SEARCH("World",'RawData'!C190)),"",IFERROR(G176/H176,"-"))</f>
        <v>0.02</v>
      </c>
      <c r="J176" s="7">
        <f>IF(ISNUMBER(SEARCH("World",'RawData'!C190)),"",IF(ISNUMBER(SEARCH("Other",C176)),COUNTIFS('RawData'!B:B,B176,'RawData'!C:C,"&lt;&gt;*World*"),IF(OR(G176="",G176=0),"-",SUMPRODUCT(('RawData'!B$2:B$822=B176)*('RawData'!G$2:G$822&gt;G176)*(ISERROR(SEARCH("World",'RawData'!C$2:C$822)))*(ISERROR(SEARCH("Other",'RawData'!C$2:C$822))))+1)))</f>
        <v>11</v>
      </c>
      <c r="K176" s="14">
        <f>IF(ISNUMBER(SEARCH("World",'RawData'!C190)),"",'RawData'!H190)</f>
        <v>0</v>
      </c>
      <c r="L176" s="14">
        <f>IF(ISNUMBER(SEARCH("World",'RawData'!C190)),"",SUMIFS('RawData'!H:H,'RawData'!B:B,'RawData'!B190,'RawData'!C:C,"*World*"))</f>
        <v>0</v>
      </c>
      <c r="M176" s="15" t="str">
        <f>IF(ISNUMBER(SEARCH("World",'RawData'!C190)),"",IFERROR(K176/L176,"-"))</f>
        <v>-</v>
      </c>
      <c r="N176" s="7" t="str">
        <f>IF(ISNUMBER(SEARCH("World",'RawData'!C190)),"",IF(ISNUMBER(SEARCH("Other",C176)),COUNTIFS('RawData'!B:B,B176,'RawData'!C:C,"&lt;&gt;*World*"),IF(OR(K176="",K176=0),"-",SUMPRODUCT(('RawData'!B$2:B$822=B176)*('RawData'!H$2:H$822&gt;K176)*(ISERROR(SEARCH("World",'RawData'!C$2:C$822)))*(ISERROR(SEARCH("Other",'RawData'!C$2:C$822))))+1)))</f>
        <v>-</v>
      </c>
    </row>
    <row r="177" spans="1:14" x14ac:dyDescent="0.3">
      <c r="A177" s="4" t="str">
        <f>IF(ISNUMBER(SEARCH("World",'RawData'!C191)),"",'RawData'!A191)</f>
        <v>MCS2026</v>
      </c>
      <c r="B177" s="4" t="str">
        <f>IF(ISNUMBER(SEARCH("World",'RawData'!C191)),"",'RawData'!B191)</f>
        <v>Feldspar</v>
      </c>
      <c r="C177" s="4" t="str">
        <f>IF(ISNUMBER(SEARCH("World",'RawData'!C191)),"",'RawData'!C191)</f>
        <v>Thailand</v>
      </c>
      <c r="D177" s="4" t="str">
        <f>IF(ISNUMBER(SEARCH("World",'RawData'!C191)),"",'RawData'!D191)</f>
        <v>Mine production, estimated</v>
      </c>
      <c r="E177" s="4" t="str">
        <f>IF(ISNUMBER(SEARCH("World",'RawData'!C191)),"",IF('RawData'!E191="WT001","kg",IF('RawData'!E191="WT002","ton",IF('RawData'!E191="WT003","k ton",""))))</f>
        <v>k ton</v>
      </c>
      <c r="F177" s="14">
        <f>IF(ISNUMBER(SEARCH("World",'RawData'!C191)),"",'RawData'!F191)</f>
        <v>1900</v>
      </c>
      <c r="G177" s="14">
        <f>IF(ISNUMBER(SEARCH("World",'RawData'!C191)),"",'RawData'!G191)</f>
        <v>1900</v>
      </c>
      <c r="H177" s="14">
        <f>IF(ISNUMBER(SEARCH("World",'RawData'!C191)),"",SUMIFS('RawData'!G:G,'RawData'!B:B,'RawData'!B191,'RawData'!C:C,"*World*"))</f>
        <v>31000</v>
      </c>
      <c r="I177" s="15">
        <f>IF(ISNUMBER(SEARCH("World",'RawData'!C191)),"",IFERROR(G177/H177,"-"))</f>
        <v>6.1290322580645158E-2</v>
      </c>
      <c r="J177" s="7">
        <f>IF(ISNUMBER(SEARCH("World",'RawData'!C191)),"",IF(ISNUMBER(SEARCH("Other",C177)),COUNTIFS('RawData'!B:B,B177,'RawData'!C:C,"&lt;&gt;*World*"),IF(OR(G177="",G177=0),"-",SUMPRODUCT(('RawData'!B$2:B$822=B177)*('RawData'!G$2:G$822&gt;G177)*(ISERROR(SEARCH("World",'RawData'!C$2:C$822)))*(ISERROR(SEARCH("Other",'RawData'!C$2:C$822))))+1)))</f>
        <v>6</v>
      </c>
      <c r="K177" s="14">
        <f>IF(ISNUMBER(SEARCH("World",'RawData'!C191)),"",'RawData'!H191)</f>
        <v>45000</v>
      </c>
      <c r="L177" s="14">
        <f>IF(ISNUMBER(SEARCH("World",'RawData'!C191)),"",SUMIFS('RawData'!H:H,'RawData'!B:B,'RawData'!B191,'RawData'!C:C,"*World*"))</f>
        <v>0</v>
      </c>
      <c r="M177" s="15" t="str">
        <f>IF(ISNUMBER(SEARCH("World",'RawData'!C191)),"",IFERROR(K177/L177,"-"))</f>
        <v>-</v>
      </c>
      <c r="N177" s="7">
        <f>IF(ISNUMBER(SEARCH("World",'RawData'!C191)),"",IF(ISNUMBER(SEARCH("Other",C177)),COUNTIFS('RawData'!B:B,B177,'RawData'!C:C,"&lt;&gt;*World*"),IF(OR(K177="",K177=0),"-",SUMPRODUCT(('RawData'!B$2:B$822=B177)*('RawData'!H$2:H$822&gt;K177)*(ISERROR(SEARCH("World",'RawData'!C$2:C$822)))*(ISERROR(SEARCH("Other",'RawData'!C$2:C$822))))+1)))</f>
        <v>7</v>
      </c>
    </row>
    <row r="178" spans="1:14" x14ac:dyDescent="0.3">
      <c r="A178" s="4" t="str">
        <f>IF(ISNUMBER(SEARCH("World",'RawData'!C192)),"",'RawData'!A192)</f>
        <v>MCS2026</v>
      </c>
      <c r="B178" s="4" t="str">
        <f>IF(ISNUMBER(SEARCH("World",'RawData'!C192)),"",'RawData'!B192)</f>
        <v>Feldspar</v>
      </c>
      <c r="C178" s="4" t="str">
        <f>IF(ISNUMBER(SEARCH("World",'RawData'!C192)),"",'RawData'!C192)</f>
        <v>United States</v>
      </c>
      <c r="D178" s="4" t="str">
        <f>IF(ISNUMBER(SEARCH("World",'RawData'!C192)),"",'RawData'!D192)</f>
        <v>Mine production, estimated</v>
      </c>
      <c r="E178" s="4" t="str">
        <f>IF(ISNUMBER(SEARCH("World",'RawData'!C192)),"",IF('RawData'!E192="WT001","kg",IF('RawData'!E192="WT002","ton",IF('RawData'!E192="WT003","k ton",""))))</f>
        <v>k ton</v>
      </c>
      <c r="F178" s="14">
        <f>IF(ISNUMBER(SEARCH("World",'RawData'!C192)),"",'RawData'!F192)</f>
        <v>450</v>
      </c>
      <c r="G178" s="14">
        <f>IF(ISNUMBER(SEARCH("World",'RawData'!C192)),"",'RawData'!G192)</f>
        <v>440</v>
      </c>
      <c r="H178" s="14">
        <f>IF(ISNUMBER(SEARCH("World",'RawData'!C192)),"",SUMIFS('RawData'!G:G,'RawData'!B:B,'RawData'!B192,'RawData'!C:C,"*World*"))</f>
        <v>31000</v>
      </c>
      <c r="I178" s="15">
        <f>IF(ISNUMBER(SEARCH("World",'RawData'!C192)),"",IFERROR(G178/H178,"-"))</f>
        <v>1.4193548387096775E-2</v>
      </c>
      <c r="J178" s="7">
        <f>IF(ISNUMBER(SEARCH("World",'RawData'!C192)),"",IF(ISNUMBER(SEARCH("Other",C178)),COUNTIFS('RawData'!B:B,B178,'RawData'!C:C,"&lt;&gt;*World*"),IF(OR(G178="",G178=0),"-",SUMPRODUCT(('RawData'!B$2:B$822=B178)*('RawData'!G$2:G$822&gt;G178)*(ISERROR(SEARCH("World",'RawData'!C$2:C$822)))*(ISERROR(SEARCH("Other",'RawData'!C$2:C$822))))+1)))</f>
        <v>13</v>
      </c>
      <c r="K178" s="14">
        <f>IF(ISNUMBER(SEARCH("World",'RawData'!C192)),"",'RawData'!H192)</f>
        <v>0</v>
      </c>
      <c r="L178" s="14">
        <f>IF(ISNUMBER(SEARCH("World",'RawData'!C192)),"",SUMIFS('RawData'!H:H,'RawData'!B:B,'RawData'!B192,'RawData'!C:C,"*World*"))</f>
        <v>0</v>
      </c>
      <c r="M178" s="15" t="str">
        <f>IF(ISNUMBER(SEARCH("World",'RawData'!C192)),"",IFERROR(K178/L178,"-"))</f>
        <v>-</v>
      </c>
      <c r="N178" s="7" t="str">
        <f>IF(ISNUMBER(SEARCH("World",'RawData'!C192)),"",IF(ISNUMBER(SEARCH("Other",C178)),COUNTIFS('RawData'!B:B,B178,'RawData'!C:C,"&lt;&gt;*World*"),IF(OR(K178="",K178=0),"-",SUMPRODUCT(('RawData'!B$2:B$822=B178)*('RawData'!H$2:H$822&gt;K178)*(ISERROR(SEARCH("World",'RawData'!C$2:C$822)))*(ISERROR(SEARCH("Other",'RawData'!C$2:C$822))))+1)))</f>
        <v>-</v>
      </c>
    </row>
    <row r="179" spans="1:14" x14ac:dyDescent="0.3">
      <c r="A179" s="4" t="str">
        <f>IF(ISNUMBER(SEARCH("World",'RawData'!C194)),"",'RawData'!A194)</f>
        <v>MCS2026</v>
      </c>
      <c r="B179" s="4" t="str">
        <f>IF(ISNUMBER(SEARCH("World",'RawData'!C194)),"",'RawData'!B194)</f>
        <v>Fluorite</v>
      </c>
      <c r="C179" s="4" t="str">
        <f>IF(ISNUMBER(SEARCH("World",'RawData'!C194)),"",'RawData'!C194)</f>
        <v>Brazil</v>
      </c>
      <c r="D179" s="4" t="str">
        <f>IF(ISNUMBER(SEARCH("World",'RawData'!C194)),"",'RawData'!D194)</f>
        <v>Mine production, estimated</v>
      </c>
      <c r="E179" s="4" t="str">
        <f>IF(ISNUMBER(SEARCH("World",'RawData'!C194)),"",IF('RawData'!E194="WT001","kg",IF('RawData'!E194="WT002","ton",IF('RawData'!E194="WT003","k ton",""))))</f>
        <v>k ton</v>
      </c>
      <c r="F179" s="14">
        <f>IF(ISNUMBER(SEARCH("World",'RawData'!C194)),"",'RawData'!F194)</f>
        <v>85</v>
      </c>
      <c r="G179" s="14">
        <f>IF(ISNUMBER(SEARCH("World",'RawData'!C194)),"",'RawData'!G194)</f>
        <v>100</v>
      </c>
      <c r="H179" s="14">
        <f>IF(ISNUMBER(SEARCH("World",'RawData'!C194)),"",SUMIFS('RawData'!G:G,'RawData'!B:B,'RawData'!B194,'RawData'!C:C,"*World*"))</f>
        <v>10000</v>
      </c>
      <c r="I179" s="15">
        <f>IF(ISNUMBER(SEARCH("World",'RawData'!C194)),"",IFERROR(G179/H179,"-"))</f>
        <v>0.01</v>
      </c>
      <c r="J179" s="7">
        <f>IF(ISNUMBER(SEARCH("World",'RawData'!C194)),"",IF(ISNUMBER(SEARCH("Other",C179)),COUNTIFS('RawData'!B:B,B179,'RawData'!C:C,"&lt;&gt;*World*"),IF(OR(G179="",G179=0),"-",SUMPRODUCT(('RawData'!B$2:B$822=B179)*('RawData'!G$2:G$822&gt;G179)*(ISERROR(SEARCH("World",'RawData'!C$2:C$822)))*(ISERROR(SEARCH("Other",'RawData'!C$2:C$822))))+1)))</f>
        <v>7</v>
      </c>
      <c r="K179" s="14">
        <f>IF(ISNUMBER(SEARCH("World",'RawData'!C194)),"",'RawData'!H194)</f>
        <v>2500</v>
      </c>
      <c r="L179" s="14">
        <f>IF(ISNUMBER(SEARCH("World",'RawData'!C194)),"",SUMIFS('RawData'!H:H,'RawData'!B:B,'RawData'!B194,'RawData'!C:C,"*World*"))</f>
        <v>330000</v>
      </c>
      <c r="M179" s="15">
        <f>IF(ISNUMBER(SEARCH("World",'RawData'!C194)),"",IFERROR(K179/L179,"-"))</f>
        <v>7.575757575757576E-3</v>
      </c>
      <c r="N179" s="7">
        <f>IF(ISNUMBER(SEARCH("World",'RawData'!C194)),"",IF(ISNUMBER(SEARCH("Other",C179)),COUNTIFS('RawData'!B:B,B179,'RawData'!C:C,"&lt;&gt;*World*"),IF(OR(K179="",K179=0),"-",SUMPRODUCT(('RawData'!B$2:B$822=B179)*('RawData'!H$2:H$822&gt;K179)*(ISERROR(SEARCH("World",'RawData'!C$2:C$822)))*(ISERROR(SEARCH("Other",'RawData'!C$2:C$822))))+1)))</f>
        <v>9</v>
      </c>
    </row>
    <row r="180" spans="1:14" x14ac:dyDescent="0.3">
      <c r="A180" s="4" t="str">
        <f>IF(ISNUMBER(SEARCH("World",'RawData'!C195)),"",'RawData'!A195)</f>
        <v>MCS2026</v>
      </c>
      <c r="B180" s="4" t="str">
        <f>IF(ISNUMBER(SEARCH("World",'RawData'!C195)),"",'RawData'!B195)</f>
        <v>Fluorite</v>
      </c>
      <c r="C180" s="4" t="str">
        <f>IF(ISNUMBER(SEARCH("World",'RawData'!C195)),"",'RawData'!C195)</f>
        <v>China</v>
      </c>
      <c r="D180" s="4" t="str">
        <f>IF(ISNUMBER(SEARCH("World",'RawData'!C195)),"",'RawData'!D195)</f>
        <v>Mine production, estimated</v>
      </c>
      <c r="E180" s="4" t="str">
        <f>IF(ISNUMBER(SEARCH("World",'RawData'!C195)),"",IF('RawData'!E195="WT001","kg",IF('RawData'!E195="WT002","ton",IF('RawData'!E195="WT003","k ton",""))))</f>
        <v>k ton</v>
      </c>
      <c r="F180" s="14">
        <f>IF(ISNUMBER(SEARCH("World",'RawData'!C195)),"",'RawData'!F195)</f>
        <v>6000</v>
      </c>
      <c r="G180" s="14">
        <f>IF(ISNUMBER(SEARCH("World",'RawData'!C195)),"",'RawData'!G195)</f>
        <v>6000</v>
      </c>
      <c r="H180" s="14">
        <f>IF(ISNUMBER(SEARCH("World",'RawData'!C195)),"",SUMIFS('RawData'!G:G,'RawData'!B:B,'RawData'!B195,'RawData'!C:C,"*World*"))</f>
        <v>10000</v>
      </c>
      <c r="I180" s="15">
        <f>IF(ISNUMBER(SEARCH("World",'RawData'!C195)),"",IFERROR(G180/H180,"-"))</f>
        <v>0.6</v>
      </c>
      <c r="J180" s="7">
        <f>IF(ISNUMBER(SEARCH("World",'RawData'!C195)),"",IF(ISNUMBER(SEARCH("Other",C180)),COUNTIFS('RawData'!B:B,B180,'RawData'!C:C,"&lt;&gt;*World*"),IF(OR(G180="",G180=0),"-",SUMPRODUCT(('RawData'!B$2:B$822=B180)*('RawData'!G$2:G$822&gt;G180)*(ISERROR(SEARCH("World",'RawData'!C$2:C$822)))*(ISERROR(SEARCH("Other",'RawData'!C$2:C$822))))+1)))</f>
        <v>1</v>
      </c>
      <c r="K180" s="14">
        <f>IF(ISNUMBER(SEARCH("World",'RawData'!C195)),"",'RawData'!H195)</f>
        <v>110000</v>
      </c>
      <c r="L180" s="14">
        <f>IF(ISNUMBER(SEARCH("World",'RawData'!C195)),"",SUMIFS('RawData'!H:H,'RawData'!B:B,'RawData'!B195,'RawData'!C:C,"*World*"))</f>
        <v>330000</v>
      </c>
      <c r="M180" s="15">
        <f>IF(ISNUMBER(SEARCH("World",'RawData'!C195)),"",IFERROR(K180/L180,"-"))</f>
        <v>0.33333333333333331</v>
      </c>
      <c r="N180" s="7">
        <f>IF(ISNUMBER(SEARCH("World",'RawData'!C195)),"",IF(ISNUMBER(SEARCH("Other",C180)),COUNTIFS('RawData'!B:B,B180,'RawData'!C:C,"&lt;&gt;*World*"),IF(OR(K180="",K180=0),"-",SUMPRODUCT(('RawData'!B$2:B$822=B180)*('RawData'!H$2:H$822&gt;K180)*(ISERROR(SEARCH("World",'RawData'!C$2:C$822)))*(ISERROR(SEARCH("Other",'RawData'!C$2:C$822))))+1)))</f>
        <v>1</v>
      </c>
    </row>
    <row r="181" spans="1:14" x14ac:dyDescent="0.3">
      <c r="A181" s="4" t="str">
        <f>IF(ISNUMBER(SEARCH("World",'RawData'!C196)),"",'RawData'!A196)</f>
        <v>MCS2026</v>
      </c>
      <c r="B181" s="4" t="str">
        <f>IF(ISNUMBER(SEARCH("World",'RawData'!C196)),"",'RawData'!B196)</f>
        <v>Fluorite</v>
      </c>
      <c r="C181" s="4" t="str">
        <f>IF(ISNUMBER(SEARCH("World",'RawData'!C196)),"",'RawData'!C196)</f>
        <v>Germany</v>
      </c>
      <c r="D181" s="4" t="str">
        <f>IF(ISNUMBER(SEARCH("World",'RawData'!C196)),"",'RawData'!D196)</f>
        <v>Mine production, estimated</v>
      </c>
      <c r="E181" s="4" t="str">
        <f>IF(ISNUMBER(SEARCH("World",'RawData'!C196)),"",IF('RawData'!E196="WT001","kg",IF('RawData'!E196="WT002","ton",IF('RawData'!E196="WT003","k ton",""))))</f>
        <v>k ton</v>
      </c>
      <c r="F181" s="14">
        <f>IF(ISNUMBER(SEARCH("World",'RawData'!C196)),"",'RawData'!F196)</f>
        <v>35</v>
      </c>
      <c r="G181" s="14">
        <f>IF(ISNUMBER(SEARCH("World",'RawData'!C196)),"",'RawData'!G196)</f>
        <v>35</v>
      </c>
      <c r="H181" s="14">
        <f>IF(ISNUMBER(SEARCH("World",'RawData'!C196)),"",SUMIFS('RawData'!G:G,'RawData'!B:B,'RawData'!B196,'RawData'!C:C,"*World*"))</f>
        <v>10000</v>
      </c>
      <c r="I181" s="15">
        <f>IF(ISNUMBER(SEARCH("World",'RawData'!C196)),"",IFERROR(G181/H181,"-"))</f>
        <v>3.5000000000000001E-3</v>
      </c>
      <c r="J181" s="7">
        <f>IF(ISNUMBER(SEARCH("World",'RawData'!C196)),"",IF(ISNUMBER(SEARCH("Other",C181)),COUNTIFS('RawData'!B:B,B181,'RawData'!C:C,"&lt;&gt;*World*"),IF(OR(G181="",G181=0),"-",SUMPRODUCT(('RawData'!B$2:B$822=B181)*('RawData'!G$2:G$822&gt;G181)*(ISERROR(SEARCH("World",'RawData'!C$2:C$822)))*(ISERROR(SEARCH("Other",'RawData'!C$2:C$822))))+1)))</f>
        <v>11</v>
      </c>
      <c r="K181" s="14">
        <f>IF(ISNUMBER(SEARCH("World",'RawData'!C196)),"",'RawData'!H196)</f>
        <v>0</v>
      </c>
      <c r="L181" s="14">
        <f>IF(ISNUMBER(SEARCH("World",'RawData'!C196)),"",SUMIFS('RawData'!H:H,'RawData'!B:B,'RawData'!B196,'RawData'!C:C,"*World*"))</f>
        <v>330000</v>
      </c>
      <c r="M181" s="15">
        <f>IF(ISNUMBER(SEARCH("World",'RawData'!C196)),"",IFERROR(K181/L181,"-"))</f>
        <v>0</v>
      </c>
      <c r="N181" s="7" t="str">
        <f>IF(ISNUMBER(SEARCH("World",'RawData'!C196)),"",IF(ISNUMBER(SEARCH("Other",C181)),COUNTIFS('RawData'!B:B,B181,'RawData'!C:C,"&lt;&gt;*World*"),IF(OR(K181="",K181=0),"-",SUMPRODUCT(('RawData'!B$2:B$822=B181)*('RawData'!H$2:H$822&gt;K181)*(ISERROR(SEARCH("World",'RawData'!C$2:C$822)))*(ISERROR(SEARCH("Other",'RawData'!C$2:C$822))))+1)))</f>
        <v>-</v>
      </c>
    </row>
    <row r="182" spans="1:14" x14ac:dyDescent="0.3">
      <c r="A182" s="4" t="str">
        <f>IF(ISNUMBER(SEARCH("World",'RawData'!C197)),"",'RawData'!A197)</f>
        <v>MCS2026</v>
      </c>
      <c r="B182" s="4" t="str">
        <f>IF(ISNUMBER(SEARCH("World",'RawData'!C197)),"",'RawData'!B197)</f>
        <v>Fluorite</v>
      </c>
      <c r="C182" s="4" t="str">
        <f>IF(ISNUMBER(SEARCH("World",'RawData'!C197)),"",'RawData'!C197)</f>
        <v>Iran</v>
      </c>
      <c r="D182" s="4" t="str">
        <f>IF(ISNUMBER(SEARCH("World",'RawData'!C197)),"",'RawData'!D197)</f>
        <v>Mine production, estimated</v>
      </c>
      <c r="E182" s="4" t="str">
        <f>IF(ISNUMBER(SEARCH("World",'RawData'!C197)),"",IF('RawData'!E197="WT001","kg",IF('RawData'!E197="WT002","ton",IF('RawData'!E197="WT003","k ton",""))))</f>
        <v>k ton</v>
      </c>
      <c r="F182" s="14">
        <f>IF(ISNUMBER(SEARCH("World",'RawData'!C197)),"",'RawData'!F197)</f>
        <v>53</v>
      </c>
      <c r="G182" s="14">
        <f>IF(ISNUMBER(SEARCH("World",'RawData'!C197)),"",'RawData'!G197)</f>
        <v>70</v>
      </c>
      <c r="H182" s="14">
        <f>IF(ISNUMBER(SEARCH("World",'RawData'!C197)),"",SUMIFS('RawData'!G:G,'RawData'!B:B,'RawData'!B197,'RawData'!C:C,"*World*"))</f>
        <v>10000</v>
      </c>
      <c r="I182" s="15">
        <f>IF(ISNUMBER(SEARCH("World",'RawData'!C197)),"",IFERROR(G182/H182,"-"))</f>
        <v>7.0000000000000001E-3</v>
      </c>
      <c r="J182" s="7">
        <f>IF(ISNUMBER(SEARCH("World",'RawData'!C197)),"",IF(ISNUMBER(SEARCH("Other",C182)),COUNTIFS('RawData'!B:B,B182,'RawData'!C:C,"&lt;&gt;*World*"),IF(OR(G182="",G182=0),"-",SUMPRODUCT(('RawData'!B$2:B$822=B182)*('RawData'!G$2:G$822&gt;G182)*(ISERROR(SEARCH("World",'RawData'!C$2:C$822)))*(ISERROR(SEARCH("Other",'RawData'!C$2:C$822))))+1)))</f>
        <v>8</v>
      </c>
      <c r="K182" s="14">
        <f>IF(ISNUMBER(SEARCH("World",'RawData'!C197)),"",'RawData'!H197)</f>
        <v>7600</v>
      </c>
      <c r="L182" s="14">
        <f>IF(ISNUMBER(SEARCH("World",'RawData'!C197)),"",SUMIFS('RawData'!H:H,'RawData'!B:B,'RawData'!B197,'RawData'!C:C,"*World*"))</f>
        <v>330000</v>
      </c>
      <c r="M182" s="15">
        <f>IF(ISNUMBER(SEARCH("World",'RawData'!C197)),"",IFERROR(K182/L182,"-"))</f>
        <v>2.3030303030303029E-2</v>
      </c>
      <c r="N182" s="7">
        <f>IF(ISNUMBER(SEARCH("World",'RawData'!C197)),"",IF(ISNUMBER(SEARCH("Other",C182)),COUNTIFS('RawData'!B:B,B182,'RawData'!C:C,"&lt;&gt;*World*"),IF(OR(K182="",K182=0),"-",SUMPRODUCT(('RawData'!B$2:B$822=B182)*('RawData'!H$2:H$822&gt;K182)*(ISERROR(SEARCH("World",'RawData'!C$2:C$822)))*(ISERROR(SEARCH("Other",'RawData'!C$2:C$822))))+1)))</f>
        <v>7</v>
      </c>
    </row>
    <row r="183" spans="1:14" x14ac:dyDescent="0.3">
      <c r="A183" s="4" t="str">
        <f>IF(ISNUMBER(SEARCH("World",'RawData'!C198)),"",'RawData'!A198)</f>
        <v>MCS2026</v>
      </c>
      <c r="B183" s="4" t="str">
        <f>IF(ISNUMBER(SEARCH("World",'RawData'!C198)),"",'RawData'!B198)</f>
        <v>Fluorite</v>
      </c>
      <c r="C183" s="4" t="str">
        <f>IF(ISNUMBER(SEARCH("World",'RawData'!C198)),"",'RawData'!C198)</f>
        <v>Mexico</v>
      </c>
      <c r="D183" s="4" t="str">
        <f>IF(ISNUMBER(SEARCH("World",'RawData'!C198)),"",'RawData'!D198)</f>
        <v>Mine production, estimated</v>
      </c>
      <c r="E183" s="4" t="str">
        <f>IF(ISNUMBER(SEARCH("World",'RawData'!C198)),"",IF('RawData'!E198="WT001","kg",IF('RawData'!E198="WT002","ton",IF('RawData'!E198="WT003","k ton",""))))</f>
        <v>k ton</v>
      </c>
      <c r="F183" s="14">
        <f>IF(ISNUMBER(SEARCH("World",'RawData'!C198)),"",'RawData'!F198)</f>
        <v>1510</v>
      </c>
      <c r="G183" s="14">
        <f>IF(ISNUMBER(SEARCH("World",'RawData'!C198)),"",'RawData'!G198)</f>
        <v>1500</v>
      </c>
      <c r="H183" s="14">
        <f>IF(ISNUMBER(SEARCH("World",'RawData'!C198)),"",SUMIFS('RawData'!G:G,'RawData'!B:B,'RawData'!B198,'RawData'!C:C,"*World*"))</f>
        <v>10000</v>
      </c>
      <c r="I183" s="15">
        <f>IF(ISNUMBER(SEARCH("World",'RawData'!C198)),"",IFERROR(G183/H183,"-"))</f>
        <v>0.15</v>
      </c>
      <c r="J183" s="7">
        <f>IF(ISNUMBER(SEARCH("World",'RawData'!C198)),"",IF(ISNUMBER(SEARCH("Other",C183)),COUNTIFS('RawData'!B:B,B183,'RawData'!C:C,"&lt;&gt;*World*"),IF(OR(G183="",G183=0),"-",SUMPRODUCT(('RawData'!B$2:B$822=B183)*('RawData'!G$2:G$822&gt;G183)*(ISERROR(SEARCH("World",'RawData'!C$2:C$822)))*(ISERROR(SEARCH("Other",'RawData'!C$2:C$822))))+1)))</f>
        <v>2</v>
      </c>
      <c r="K183" s="14">
        <f>IF(ISNUMBER(SEARCH("World",'RawData'!C198)),"",'RawData'!H198)</f>
        <v>68000</v>
      </c>
      <c r="L183" s="14">
        <f>IF(ISNUMBER(SEARCH("World",'RawData'!C198)),"",SUMIFS('RawData'!H:H,'RawData'!B:B,'RawData'!B198,'RawData'!C:C,"*World*"))</f>
        <v>330000</v>
      </c>
      <c r="M183" s="15">
        <f>IF(ISNUMBER(SEARCH("World",'RawData'!C198)),"",IFERROR(K183/L183,"-"))</f>
        <v>0.20606060606060606</v>
      </c>
      <c r="N183" s="7">
        <f>IF(ISNUMBER(SEARCH("World",'RawData'!C198)),"",IF(ISNUMBER(SEARCH("Other",C183)),COUNTIFS('RawData'!B:B,B183,'RawData'!C:C,"&lt;&gt;*World*"),IF(OR(K183="",K183=0),"-",SUMPRODUCT(('RawData'!B$2:B$822=B183)*('RawData'!H$2:H$822&gt;K183)*(ISERROR(SEARCH("World",'RawData'!C$2:C$822)))*(ISERROR(SEARCH("Other",'RawData'!C$2:C$822))))+1)))</f>
        <v>2</v>
      </c>
    </row>
    <row r="184" spans="1:14" x14ac:dyDescent="0.3">
      <c r="A184" s="4" t="str">
        <f>IF(ISNUMBER(SEARCH("World",'RawData'!C199)),"",'RawData'!A199)</f>
        <v>MCS2026</v>
      </c>
      <c r="B184" s="4" t="str">
        <f>IF(ISNUMBER(SEARCH("World",'RawData'!C199)),"",'RawData'!B199)</f>
        <v>Fluorite</v>
      </c>
      <c r="C184" s="4" t="str">
        <f>IF(ISNUMBER(SEARCH("World",'RawData'!C199)),"",'RawData'!C199)</f>
        <v>Mongolia</v>
      </c>
      <c r="D184" s="4" t="str">
        <f>IF(ISNUMBER(SEARCH("World",'RawData'!C199)),"",'RawData'!D199)</f>
        <v>Mine production, estimated</v>
      </c>
      <c r="E184" s="4" t="str">
        <f>IF(ISNUMBER(SEARCH("World",'RawData'!C199)),"",IF('RawData'!E199="WT001","kg",IF('RawData'!E199="WT002","ton",IF('RawData'!E199="WT003","k ton",""))))</f>
        <v>k ton</v>
      </c>
      <c r="F184" s="14">
        <f>IF(ISNUMBER(SEARCH("World",'RawData'!C199)),"",'RawData'!F199)</f>
        <v>1430</v>
      </c>
      <c r="G184" s="14">
        <f>IF(ISNUMBER(SEARCH("World",'RawData'!C199)),"",'RawData'!G199)</f>
        <v>1500</v>
      </c>
      <c r="H184" s="14">
        <f>IF(ISNUMBER(SEARCH("World",'RawData'!C199)),"",SUMIFS('RawData'!G:G,'RawData'!B:B,'RawData'!B199,'RawData'!C:C,"*World*"))</f>
        <v>10000</v>
      </c>
      <c r="I184" s="15">
        <f>IF(ISNUMBER(SEARCH("World",'RawData'!C199)),"",IFERROR(G184/H184,"-"))</f>
        <v>0.15</v>
      </c>
      <c r="J184" s="7">
        <f>IF(ISNUMBER(SEARCH("World",'RawData'!C199)),"",IF(ISNUMBER(SEARCH("Other",C184)),COUNTIFS('RawData'!B:B,B184,'RawData'!C:C,"&lt;&gt;*World*"),IF(OR(G184="",G184=0),"-",SUMPRODUCT(('RawData'!B$2:B$822=B184)*('RawData'!G$2:G$822&gt;G184)*(ISERROR(SEARCH("World",'RawData'!C$2:C$822)))*(ISERROR(SEARCH("Other",'RawData'!C$2:C$822))))+1)))</f>
        <v>2</v>
      </c>
      <c r="K184" s="14">
        <f>IF(ISNUMBER(SEARCH("World",'RawData'!C199)),"",'RawData'!H199)</f>
        <v>34000</v>
      </c>
      <c r="L184" s="14">
        <f>IF(ISNUMBER(SEARCH("World",'RawData'!C199)),"",SUMIFS('RawData'!H:H,'RawData'!B:B,'RawData'!B199,'RawData'!C:C,"*World*"))</f>
        <v>330000</v>
      </c>
      <c r="M184" s="15">
        <f>IF(ISNUMBER(SEARCH("World",'RawData'!C199)),"",IFERROR(K184/L184,"-"))</f>
        <v>0.10303030303030303</v>
      </c>
      <c r="N184" s="7">
        <f>IF(ISNUMBER(SEARCH("World",'RawData'!C199)),"",IF(ISNUMBER(SEARCH("Other",C184)),COUNTIFS('RawData'!B:B,B184,'RawData'!C:C,"&lt;&gt;*World*"),IF(OR(K184="",K184=0),"-",SUMPRODUCT(('RawData'!B$2:B$822=B184)*('RawData'!H$2:H$822&gt;K184)*(ISERROR(SEARCH("World",'RawData'!C$2:C$822)))*(ISERROR(SEARCH("Other",'RawData'!C$2:C$822))))+1)))</f>
        <v>4</v>
      </c>
    </row>
    <row r="185" spans="1:14" x14ac:dyDescent="0.3">
      <c r="A185" s="4" t="str">
        <f>IF(ISNUMBER(SEARCH("World",'RawData'!C200)),"",'RawData'!A200)</f>
        <v>MCS2026</v>
      </c>
      <c r="B185" s="4" t="str">
        <f>IF(ISNUMBER(SEARCH("World",'RawData'!C200)),"",'RawData'!B200)</f>
        <v>Fluorite</v>
      </c>
      <c r="C185" s="4" t="str">
        <f>IF(ISNUMBER(SEARCH("World",'RawData'!C200)),"",'RawData'!C200)</f>
        <v>Other Countries</v>
      </c>
      <c r="D185" s="4" t="str">
        <f>IF(ISNUMBER(SEARCH("World",'RawData'!C200)),"",'RawData'!D200)</f>
        <v>Mine production, estimated</v>
      </c>
      <c r="E185" s="4" t="str">
        <f>IF(ISNUMBER(SEARCH("World",'RawData'!C200)),"",IF('RawData'!E200="WT001","kg",IF('RawData'!E200="WT002","ton",IF('RawData'!E200="WT003","k ton",""))))</f>
        <v>k ton</v>
      </c>
      <c r="F185" s="14">
        <f>IF(ISNUMBER(SEARCH("World",'RawData'!C200)),"",'RawData'!F200)</f>
        <v>316</v>
      </c>
      <c r="G185" s="14">
        <f>IF(ISNUMBER(SEARCH("World",'RawData'!C200)),"",'RawData'!G200)</f>
        <v>200</v>
      </c>
      <c r="H185" s="14">
        <f>IF(ISNUMBER(SEARCH("World",'RawData'!C200)),"",SUMIFS('RawData'!G:G,'RawData'!B:B,'RawData'!B200,'RawData'!C:C,"*World*"))</f>
        <v>10000</v>
      </c>
      <c r="I185" s="15">
        <f>IF(ISNUMBER(SEARCH("World",'RawData'!C200)),"",IFERROR(G185/H185,"-"))</f>
        <v>0.02</v>
      </c>
      <c r="J185" s="7">
        <f>IF(ISNUMBER(SEARCH("World",'RawData'!C200)),"",IF(ISNUMBER(SEARCH("Other",C185)),COUNTIFS('RawData'!B:B,B185,'RawData'!C:C,"&lt;&gt;*World*"),IF(OR(G185="",G185=0),"-",SUMPRODUCT(('RawData'!B$2:B$822=B185)*('RawData'!G$2:G$822&gt;G185)*(ISERROR(SEARCH("World",'RawData'!C$2:C$822)))*(ISERROR(SEARCH("Other",'RawData'!C$2:C$822))))+1)))</f>
        <v>14</v>
      </c>
      <c r="K185" s="14">
        <f>IF(ISNUMBER(SEARCH("World",'RawData'!C200)),"",'RawData'!H200)</f>
        <v>32000</v>
      </c>
      <c r="L185" s="14">
        <f>IF(ISNUMBER(SEARCH("World",'RawData'!C200)),"",SUMIFS('RawData'!H:H,'RawData'!B:B,'RawData'!B200,'RawData'!C:C,"*World*"))</f>
        <v>330000</v>
      </c>
      <c r="M185" s="15">
        <f>IF(ISNUMBER(SEARCH("World",'RawData'!C200)),"",IFERROR(K185/L185,"-"))</f>
        <v>9.696969696969697E-2</v>
      </c>
      <c r="N185" s="7">
        <f>IF(ISNUMBER(SEARCH("World",'RawData'!C200)),"",IF(ISNUMBER(SEARCH("Other",C185)),COUNTIFS('RawData'!B:B,B185,'RawData'!C:C,"&lt;&gt;*World*"),IF(OR(K185="",K185=0),"-",SUMPRODUCT(('RawData'!B$2:B$822=B185)*('RawData'!H$2:H$822&gt;K185)*(ISERROR(SEARCH("World",'RawData'!C$2:C$822)))*(ISERROR(SEARCH("Other",'RawData'!C$2:C$822))))+1)))</f>
        <v>14</v>
      </c>
    </row>
    <row r="186" spans="1:14" x14ac:dyDescent="0.3">
      <c r="A186" s="4" t="str">
        <f>IF(ISNUMBER(SEARCH("World",'RawData'!C201)),"",'RawData'!A201)</f>
        <v>MCS2026</v>
      </c>
      <c r="B186" s="4" t="str">
        <f>IF(ISNUMBER(SEARCH("World",'RawData'!C201)),"",'RawData'!B201)</f>
        <v>Fluorite</v>
      </c>
      <c r="C186" s="4" t="str">
        <f>IF(ISNUMBER(SEARCH("World",'RawData'!C201)),"",'RawData'!C201)</f>
        <v>Pakistan</v>
      </c>
      <c r="D186" s="4" t="str">
        <f>IF(ISNUMBER(SEARCH("World",'RawData'!C201)),"",'RawData'!D201)</f>
        <v>Mine production, estimated</v>
      </c>
      <c r="E186" s="4" t="str">
        <f>IF(ISNUMBER(SEARCH("World",'RawData'!C201)),"",IF('RawData'!E201="WT001","kg",IF('RawData'!E201="WT002","ton",IF('RawData'!E201="WT003","k ton",""))))</f>
        <v>k ton</v>
      </c>
      <c r="F186" s="14">
        <f>IF(ISNUMBER(SEARCH("World",'RawData'!C201)),"",'RawData'!F201)</f>
        <v>60</v>
      </c>
      <c r="G186" s="14">
        <f>IF(ISNUMBER(SEARCH("World",'RawData'!C201)),"",'RawData'!G201)</f>
        <v>50</v>
      </c>
      <c r="H186" s="14">
        <f>IF(ISNUMBER(SEARCH("World",'RawData'!C201)),"",SUMIFS('RawData'!G:G,'RawData'!B:B,'RawData'!B201,'RawData'!C:C,"*World*"))</f>
        <v>10000</v>
      </c>
      <c r="I186" s="15">
        <f>IF(ISNUMBER(SEARCH("World",'RawData'!C201)),"",IFERROR(G186/H186,"-"))</f>
        <v>5.0000000000000001E-3</v>
      </c>
      <c r="J186" s="7">
        <f>IF(ISNUMBER(SEARCH("World",'RawData'!C201)),"",IF(ISNUMBER(SEARCH("Other",C186)),COUNTIFS('RawData'!B:B,B186,'RawData'!C:C,"&lt;&gt;*World*"),IF(OR(G186="",G186=0),"-",SUMPRODUCT(('RawData'!B$2:B$822=B186)*('RawData'!G$2:G$822&gt;G186)*(ISERROR(SEARCH("World",'RawData'!C$2:C$822)))*(ISERROR(SEARCH("Other",'RawData'!C$2:C$822))))+1)))</f>
        <v>10</v>
      </c>
      <c r="K186" s="14">
        <f>IF(ISNUMBER(SEARCH("World",'RawData'!C201)),"",'RawData'!H201)</f>
        <v>0</v>
      </c>
      <c r="L186" s="14">
        <f>IF(ISNUMBER(SEARCH("World",'RawData'!C201)),"",SUMIFS('RawData'!H:H,'RawData'!B:B,'RawData'!B201,'RawData'!C:C,"*World*"))</f>
        <v>330000</v>
      </c>
      <c r="M186" s="15">
        <f>IF(ISNUMBER(SEARCH("World",'RawData'!C201)),"",IFERROR(K186/L186,"-"))</f>
        <v>0</v>
      </c>
      <c r="N186" s="7" t="str">
        <f>IF(ISNUMBER(SEARCH("World",'RawData'!C201)),"",IF(ISNUMBER(SEARCH("Other",C186)),COUNTIFS('RawData'!B:B,B186,'RawData'!C:C,"&lt;&gt;*World*"),IF(OR(K186="",K186=0),"-",SUMPRODUCT(('RawData'!B$2:B$822=B186)*('RawData'!H$2:H$822&gt;K186)*(ISERROR(SEARCH("World",'RawData'!C$2:C$822)))*(ISERROR(SEARCH("Other",'RawData'!C$2:C$822))))+1)))</f>
        <v>-</v>
      </c>
    </row>
    <row r="187" spans="1:14" x14ac:dyDescent="0.3">
      <c r="A187" s="4" t="str">
        <f>IF(ISNUMBER(SEARCH("World",'RawData'!C202)),"",'RawData'!A202)</f>
        <v>MCS2026</v>
      </c>
      <c r="B187" s="4" t="str">
        <f>IF(ISNUMBER(SEARCH("World",'RawData'!C202)),"",'RawData'!B202)</f>
        <v>Fluorite</v>
      </c>
      <c r="C187" s="4" t="str">
        <f>IF(ISNUMBER(SEARCH("World",'RawData'!C202)),"",'RawData'!C202)</f>
        <v xml:space="preserve">South Africa </v>
      </c>
      <c r="D187" s="4" t="str">
        <f>IF(ISNUMBER(SEARCH("World",'RawData'!C202)),"",'RawData'!D202)</f>
        <v>Mine production, estimated</v>
      </c>
      <c r="E187" s="4" t="str">
        <f>IF(ISNUMBER(SEARCH("World",'RawData'!C202)),"",IF('RawData'!E202="WT001","kg",IF('RawData'!E202="WT002","ton",IF('RawData'!E202="WT003","k ton",""))))</f>
        <v>k ton</v>
      </c>
      <c r="F187" s="14">
        <f>IF(ISNUMBER(SEARCH("World",'RawData'!C202)),"",'RawData'!F202)</f>
        <v>447</v>
      </c>
      <c r="G187" s="14">
        <f>IF(ISNUMBER(SEARCH("World",'RawData'!C202)),"",'RawData'!G202)</f>
        <v>410</v>
      </c>
      <c r="H187" s="14">
        <f>IF(ISNUMBER(SEARCH("World",'RawData'!C202)),"",SUMIFS('RawData'!G:G,'RawData'!B:B,'RawData'!B202,'RawData'!C:C,"*World*"))</f>
        <v>10000</v>
      </c>
      <c r="I187" s="15">
        <f>IF(ISNUMBER(SEARCH("World",'RawData'!C202)),"",IFERROR(G187/H187,"-"))</f>
        <v>4.1000000000000002E-2</v>
      </c>
      <c r="J187" s="7">
        <f>IF(ISNUMBER(SEARCH("World",'RawData'!C202)),"",IF(ISNUMBER(SEARCH("Other",C187)),COUNTIFS('RawData'!B:B,B187,'RawData'!C:C,"&lt;&gt;*World*"),IF(OR(G187="",G187=0),"-",SUMPRODUCT(('RawData'!B$2:B$822=B187)*('RawData'!G$2:G$822&gt;G187)*(ISERROR(SEARCH("World",'RawData'!C$2:C$822)))*(ISERROR(SEARCH("Other",'RawData'!C$2:C$822))))+1)))</f>
        <v>4</v>
      </c>
      <c r="K187" s="14">
        <f>IF(ISNUMBER(SEARCH("World",'RawData'!C202)),"",'RawData'!H202)</f>
        <v>41000</v>
      </c>
      <c r="L187" s="14">
        <f>IF(ISNUMBER(SEARCH("World",'RawData'!C202)),"",SUMIFS('RawData'!H:H,'RawData'!B:B,'RawData'!B202,'RawData'!C:C,"*World*"))</f>
        <v>330000</v>
      </c>
      <c r="M187" s="15">
        <f>IF(ISNUMBER(SEARCH("World",'RawData'!C202)),"",IFERROR(K187/L187,"-"))</f>
        <v>0.12424242424242424</v>
      </c>
      <c r="N187" s="7">
        <f>IF(ISNUMBER(SEARCH("World",'RawData'!C202)),"",IF(ISNUMBER(SEARCH("Other",C187)),COUNTIFS('RawData'!B:B,B187,'RawData'!C:C,"&lt;&gt;*World*"),IF(OR(K187="",K187=0),"-",SUMPRODUCT(('RawData'!B$2:B$822=B187)*('RawData'!H$2:H$822&gt;K187)*(ISERROR(SEARCH("World",'RawData'!C$2:C$822)))*(ISERROR(SEARCH("Other",'RawData'!C$2:C$822))))+1)))</f>
        <v>3</v>
      </c>
    </row>
    <row r="188" spans="1:14" x14ac:dyDescent="0.3">
      <c r="A188" s="4" t="str">
        <f>IF(ISNUMBER(SEARCH("World",'RawData'!C203)),"",'RawData'!A203)</f>
        <v>MCS2026</v>
      </c>
      <c r="B188" s="4" t="str">
        <f>IF(ISNUMBER(SEARCH("World",'RawData'!C203)),"",'RawData'!B203)</f>
        <v>Fluorite</v>
      </c>
      <c r="C188" s="4" t="str">
        <f>IF(ISNUMBER(SEARCH("World",'RawData'!C203)),"",'RawData'!C203)</f>
        <v>Spain</v>
      </c>
      <c r="D188" s="4" t="str">
        <f>IF(ISNUMBER(SEARCH("World",'RawData'!C203)),"",'RawData'!D203)</f>
        <v>Mine production, estimated</v>
      </c>
      <c r="E188" s="4" t="str">
        <f>IF(ISNUMBER(SEARCH("World",'RawData'!C203)),"",IF('RawData'!E203="WT001","kg",IF('RawData'!E203="WT002","ton",IF('RawData'!E203="WT003","k ton",""))))</f>
        <v>k ton</v>
      </c>
      <c r="F188" s="14">
        <f>IF(ISNUMBER(SEARCH("World",'RawData'!C203)),"",'RawData'!F203)</f>
        <v>138</v>
      </c>
      <c r="G188" s="14">
        <f>IF(ISNUMBER(SEARCH("World",'RawData'!C203)),"",'RawData'!G203)</f>
        <v>140</v>
      </c>
      <c r="H188" s="14">
        <f>IF(ISNUMBER(SEARCH("World",'RawData'!C203)),"",SUMIFS('RawData'!G:G,'RawData'!B:B,'RawData'!B203,'RawData'!C:C,"*World*"))</f>
        <v>10000</v>
      </c>
      <c r="I188" s="15">
        <f>IF(ISNUMBER(SEARCH("World",'RawData'!C203)),"",IFERROR(G188/H188,"-"))</f>
        <v>1.4E-2</v>
      </c>
      <c r="J188" s="7">
        <f>IF(ISNUMBER(SEARCH("World",'RawData'!C203)),"",IF(ISNUMBER(SEARCH("Other",C188)),COUNTIFS('RawData'!B:B,B188,'RawData'!C:C,"&lt;&gt;*World*"),IF(OR(G188="",G188=0),"-",SUMPRODUCT(('RawData'!B$2:B$822=B188)*('RawData'!G$2:G$822&gt;G188)*(ISERROR(SEARCH("World",'RawData'!C$2:C$822)))*(ISERROR(SEARCH("Other",'RawData'!C$2:C$822))))+1)))</f>
        <v>6</v>
      </c>
      <c r="K188" s="14">
        <f>IF(ISNUMBER(SEARCH("World",'RawData'!C203)),"",'RawData'!H203)</f>
        <v>15000</v>
      </c>
      <c r="L188" s="14">
        <f>IF(ISNUMBER(SEARCH("World",'RawData'!C203)),"",SUMIFS('RawData'!H:H,'RawData'!B:B,'RawData'!B203,'RawData'!C:C,"*World*"))</f>
        <v>330000</v>
      </c>
      <c r="M188" s="15">
        <f>IF(ISNUMBER(SEARCH("World",'RawData'!C203)),"",IFERROR(K188/L188,"-"))</f>
        <v>4.5454545454545456E-2</v>
      </c>
      <c r="N188" s="7">
        <f>IF(ISNUMBER(SEARCH("World",'RawData'!C203)),"",IF(ISNUMBER(SEARCH("Other",C188)),COUNTIFS('RawData'!B:B,B188,'RawData'!C:C,"&lt;&gt;*World*"),IF(OR(K188="",K188=0),"-",SUMPRODUCT(('RawData'!B$2:B$822=B188)*('RawData'!H$2:H$822&gt;K188)*(ISERROR(SEARCH("World",'RawData'!C$2:C$822)))*(ISERROR(SEARCH("Other",'RawData'!C$2:C$822))))+1)))</f>
        <v>6</v>
      </c>
    </row>
    <row r="189" spans="1:14" x14ac:dyDescent="0.3">
      <c r="A189" s="4" t="str">
        <f>IF(ISNUMBER(SEARCH("World",'RawData'!C204)),"",'RawData'!A204)</f>
        <v>MCS2026</v>
      </c>
      <c r="B189" s="4" t="str">
        <f>IF(ISNUMBER(SEARCH("World",'RawData'!C204)),"",'RawData'!B204)</f>
        <v>Fluorite</v>
      </c>
      <c r="C189" s="4" t="str">
        <f>IF(ISNUMBER(SEARCH("World",'RawData'!C204)),"",'RawData'!C204)</f>
        <v>Tajikistan</v>
      </c>
      <c r="D189" s="4" t="str">
        <f>IF(ISNUMBER(SEARCH("World",'RawData'!C204)),"",'RawData'!D204)</f>
        <v>Mine production, estimated</v>
      </c>
      <c r="E189" s="4" t="str">
        <f>IF(ISNUMBER(SEARCH("World",'RawData'!C204)),"",IF('RawData'!E204="WT001","kg",IF('RawData'!E204="WT002","ton",IF('RawData'!E204="WT003","k ton",""))))</f>
        <v>k ton</v>
      </c>
      <c r="F189" s="14">
        <f>IF(ISNUMBER(SEARCH("World",'RawData'!C204)),"",'RawData'!F204)</f>
        <v>15</v>
      </c>
      <c r="G189" s="14">
        <f>IF(ISNUMBER(SEARCH("World",'RawData'!C204)),"",'RawData'!G204)</f>
        <v>15</v>
      </c>
      <c r="H189" s="14">
        <f>IF(ISNUMBER(SEARCH("World",'RawData'!C204)),"",SUMIFS('RawData'!G:G,'RawData'!B:B,'RawData'!B204,'RawData'!C:C,"*World*"))</f>
        <v>10000</v>
      </c>
      <c r="I189" s="15">
        <f>IF(ISNUMBER(SEARCH("World",'RawData'!C204)),"",IFERROR(G189/H189,"-"))</f>
        <v>1.5E-3</v>
      </c>
      <c r="J189" s="7">
        <f>IF(ISNUMBER(SEARCH("World",'RawData'!C204)),"",IF(ISNUMBER(SEARCH("Other",C189)),COUNTIFS('RawData'!B:B,B189,'RawData'!C:C,"&lt;&gt;*World*"),IF(OR(G189="",G189=0),"-",SUMPRODUCT(('RawData'!B$2:B$822=B189)*('RawData'!G$2:G$822&gt;G189)*(ISERROR(SEARCH("World",'RawData'!C$2:C$822)))*(ISERROR(SEARCH("Other",'RawData'!C$2:C$822))))+1)))</f>
        <v>12</v>
      </c>
      <c r="K189" s="14">
        <f>IF(ISNUMBER(SEARCH("World",'RawData'!C204)),"",'RawData'!H204)</f>
        <v>0</v>
      </c>
      <c r="L189" s="14">
        <f>IF(ISNUMBER(SEARCH("World",'RawData'!C204)),"",SUMIFS('RawData'!H:H,'RawData'!B:B,'RawData'!B204,'RawData'!C:C,"*World*"))</f>
        <v>330000</v>
      </c>
      <c r="M189" s="15">
        <f>IF(ISNUMBER(SEARCH("World",'RawData'!C204)),"",IFERROR(K189/L189,"-"))</f>
        <v>0</v>
      </c>
      <c r="N189" s="7" t="str">
        <f>IF(ISNUMBER(SEARCH("World",'RawData'!C204)),"",IF(ISNUMBER(SEARCH("Other",C189)),COUNTIFS('RawData'!B:B,B189,'RawData'!C:C,"&lt;&gt;*World*"),IF(OR(K189="",K189=0),"-",SUMPRODUCT(('RawData'!B$2:B$822=B189)*('RawData'!H$2:H$822&gt;K189)*(ISERROR(SEARCH("World",'RawData'!C$2:C$822)))*(ISERROR(SEARCH("Other",'RawData'!C$2:C$822))))+1)))</f>
        <v>-</v>
      </c>
    </row>
    <row r="190" spans="1:14" x14ac:dyDescent="0.3">
      <c r="A190" s="4" t="str">
        <f>IF(ISNUMBER(SEARCH("World",'RawData'!C205)),"",'RawData'!A205)</f>
        <v>MCS2026</v>
      </c>
      <c r="B190" s="4" t="str">
        <f>IF(ISNUMBER(SEARCH("World",'RawData'!C205)),"",'RawData'!B205)</f>
        <v>Fluorite</v>
      </c>
      <c r="C190" s="4" t="str">
        <f>IF(ISNUMBER(SEARCH("World",'RawData'!C205)),"",'RawData'!C205)</f>
        <v>Thailand</v>
      </c>
      <c r="D190" s="4" t="str">
        <f>IF(ISNUMBER(SEARCH("World",'RawData'!C205)),"",'RawData'!D205)</f>
        <v>Mine production, estimated</v>
      </c>
      <c r="E190" s="4" t="str">
        <f>IF(ISNUMBER(SEARCH("World",'RawData'!C205)),"",IF('RawData'!E205="WT001","kg",IF('RawData'!E205="WT002","ton",IF('RawData'!E205="WT003","k ton",""))))</f>
        <v>k ton</v>
      </c>
      <c r="F190" s="14">
        <f>IF(ISNUMBER(SEARCH("World",'RawData'!C205)),"",'RawData'!F205)</f>
        <v>75</v>
      </c>
      <c r="G190" s="14">
        <f>IF(ISNUMBER(SEARCH("World",'RawData'!C205)),"",'RawData'!G205)</f>
        <v>55</v>
      </c>
      <c r="H190" s="14">
        <f>IF(ISNUMBER(SEARCH("World",'RawData'!C205)),"",SUMIFS('RawData'!G:G,'RawData'!B:B,'RawData'!B205,'RawData'!C:C,"*World*"))</f>
        <v>10000</v>
      </c>
      <c r="I190" s="15">
        <f>IF(ISNUMBER(SEARCH("World",'RawData'!C205)),"",IFERROR(G190/H190,"-"))</f>
        <v>5.4999999999999997E-3</v>
      </c>
      <c r="J190" s="7">
        <f>IF(ISNUMBER(SEARCH("World",'RawData'!C205)),"",IF(ISNUMBER(SEARCH("Other",C190)),COUNTIFS('RawData'!B:B,B190,'RawData'!C:C,"&lt;&gt;*World*"),IF(OR(G190="",G190=0),"-",SUMPRODUCT(('RawData'!B$2:B$822=B190)*('RawData'!G$2:G$822&gt;G190)*(ISERROR(SEARCH("World",'RawData'!C$2:C$822)))*(ISERROR(SEARCH("Other",'RawData'!C$2:C$822))))+1)))</f>
        <v>9</v>
      </c>
      <c r="K190" s="14">
        <f>IF(ISNUMBER(SEARCH("World",'RawData'!C205)),"",'RawData'!H205)</f>
        <v>3600</v>
      </c>
      <c r="L190" s="14">
        <f>IF(ISNUMBER(SEARCH("World",'RawData'!C205)),"",SUMIFS('RawData'!H:H,'RawData'!B:B,'RawData'!B205,'RawData'!C:C,"*World*"))</f>
        <v>330000</v>
      </c>
      <c r="M190" s="15">
        <f>IF(ISNUMBER(SEARCH("World",'RawData'!C205)),"",IFERROR(K190/L190,"-"))</f>
        <v>1.090909090909091E-2</v>
      </c>
      <c r="N190" s="7">
        <f>IF(ISNUMBER(SEARCH("World",'RawData'!C205)),"",IF(ISNUMBER(SEARCH("Other",C190)),COUNTIFS('RawData'!B:B,B190,'RawData'!C:C,"&lt;&gt;*World*"),IF(OR(K190="",K190=0),"-",SUMPRODUCT(('RawData'!B$2:B$822=B190)*('RawData'!H$2:H$822&gt;K190)*(ISERROR(SEARCH("World",'RawData'!C$2:C$822)))*(ISERROR(SEARCH("Other",'RawData'!C$2:C$822))))+1)))</f>
        <v>8</v>
      </c>
    </row>
    <row r="191" spans="1:14" x14ac:dyDescent="0.3">
      <c r="A191" s="4" t="str">
        <f>IF(ISNUMBER(SEARCH("World",'RawData'!C206)),"",'RawData'!A206)</f>
        <v>MCS2026</v>
      </c>
      <c r="B191" s="4" t="str">
        <f>IF(ISNUMBER(SEARCH("World",'RawData'!C206)),"",'RawData'!B206)</f>
        <v>Fluorite</v>
      </c>
      <c r="C191" s="4" t="str">
        <f>IF(ISNUMBER(SEARCH("World",'RawData'!C206)),"",'RawData'!C206)</f>
        <v>United States</v>
      </c>
      <c r="D191" s="4" t="str">
        <f>IF(ISNUMBER(SEARCH("World",'RawData'!C206)),"",'RawData'!D206)</f>
        <v>Mine production, estimated</v>
      </c>
      <c r="E191" s="4" t="str">
        <f>IF(ISNUMBER(SEARCH("World",'RawData'!C206)),"",IF('RawData'!E206="WT001","kg",IF('RawData'!E206="WT002","ton",IF('RawData'!E206="WT003","k ton",""))))</f>
        <v>k ton</v>
      </c>
      <c r="F191" s="14">
        <f>IF(ISNUMBER(SEARCH("World",'RawData'!C206)),"",'RawData'!F206)</f>
        <v>0</v>
      </c>
      <c r="G191" s="14">
        <f>IF(ISNUMBER(SEARCH("World",'RawData'!C206)),"",'RawData'!G206)</f>
        <v>0</v>
      </c>
      <c r="H191" s="14">
        <f>IF(ISNUMBER(SEARCH("World",'RawData'!C206)),"",SUMIFS('RawData'!G:G,'RawData'!B:B,'RawData'!B206,'RawData'!C:C,"*World*"))</f>
        <v>10000</v>
      </c>
      <c r="I191" s="15">
        <f>IF(ISNUMBER(SEARCH("World",'RawData'!C206)),"",IFERROR(G191/H191,"-"))</f>
        <v>0</v>
      </c>
      <c r="J191" s="7" t="str">
        <f>IF(ISNUMBER(SEARCH("World",'RawData'!C206)),"",IF(ISNUMBER(SEARCH("Other",C191)),COUNTIFS('RawData'!B:B,B191,'RawData'!C:C,"&lt;&gt;*World*"),IF(OR(G191="",G191=0),"-",SUMPRODUCT(('RawData'!B$2:B$822=B191)*('RawData'!G$2:G$822&gt;G191)*(ISERROR(SEARCH("World",'RawData'!C$2:C$822)))*(ISERROR(SEARCH("Other",'RawData'!C$2:C$822))))+1)))</f>
        <v>-</v>
      </c>
      <c r="K191" s="14">
        <f>IF(ISNUMBER(SEARCH("World",'RawData'!C206)),"",'RawData'!H206)</f>
        <v>0</v>
      </c>
      <c r="L191" s="14">
        <f>IF(ISNUMBER(SEARCH("World",'RawData'!C206)),"",SUMIFS('RawData'!H:H,'RawData'!B:B,'RawData'!B206,'RawData'!C:C,"*World*"))</f>
        <v>330000</v>
      </c>
      <c r="M191" s="15">
        <f>IF(ISNUMBER(SEARCH("World",'RawData'!C206)),"",IFERROR(K191/L191,"-"))</f>
        <v>0</v>
      </c>
      <c r="N191" s="7" t="str">
        <f>IF(ISNUMBER(SEARCH("World",'RawData'!C206)),"",IF(ISNUMBER(SEARCH("Other",C191)),COUNTIFS('RawData'!B:B,B191,'RawData'!C:C,"&lt;&gt;*World*"),IF(OR(K191="",K191=0),"-",SUMPRODUCT(('RawData'!B$2:B$822=B191)*('RawData'!H$2:H$822&gt;K191)*(ISERROR(SEARCH("World",'RawData'!C$2:C$822)))*(ISERROR(SEARCH("Other",'RawData'!C$2:C$822))))+1)))</f>
        <v>-</v>
      </c>
    </row>
    <row r="192" spans="1:14" x14ac:dyDescent="0.3">
      <c r="A192" s="4" t="str">
        <f>IF(ISNUMBER(SEARCH("World",'RawData'!C207)),"",'RawData'!A207)</f>
        <v>MCS2026</v>
      </c>
      <c r="B192" s="4" t="str">
        <f>IF(ISNUMBER(SEARCH("World",'RawData'!C207)),"",'RawData'!B207)</f>
        <v>Fluorite</v>
      </c>
      <c r="C192" s="4" t="str">
        <f>IF(ISNUMBER(SEARCH("World",'RawData'!C207)),"",'RawData'!C207)</f>
        <v>Vietnam</v>
      </c>
      <c r="D192" s="4" t="str">
        <f>IF(ISNUMBER(SEARCH("World",'RawData'!C207)),"",'RawData'!D207)</f>
        <v>Mine production, estimated</v>
      </c>
      <c r="E192" s="4" t="str">
        <f>IF(ISNUMBER(SEARCH("World",'RawData'!C207)),"",IF('RawData'!E207="WT001","kg",IF('RawData'!E207="WT002","ton",IF('RawData'!E207="WT003","k ton",""))))</f>
        <v>k ton</v>
      </c>
      <c r="F192" s="14">
        <f>IF(ISNUMBER(SEARCH("World",'RawData'!C207)),"",'RawData'!F207)</f>
        <v>146</v>
      </c>
      <c r="G192" s="14">
        <f>IF(ISNUMBER(SEARCH("World",'RawData'!C207)),"",'RawData'!G207)</f>
        <v>160</v>
      </c>
      <c r="H192" s="14">
        <f>IF(ISNUMBER(SEARCH("World",'RawData'!C207)),"",SUMIFS('RawData'!G:G,'RawData'!B:B,'RawData'!B207,'RawData'!C:C,"*World*"))</f>
        <v>10000</v>
      </c>
      <c r="I192" s="15">
        <f>IF(ISNUMBER(SEARCH("World",'RawData'!C207)),"",IFERROR(G192/H192,"-"))</f>
        <v>1.6E-2</v>
      </c>
      <c r="J192" s="7">
        <f>IF(ISNUMBER(SEARCH("World",'RawData'!C207)),"",IF(ISNUMBER(SEARCH("Other",C192)),COUNTIFS('RawData'!B:B,B192,'RawData'!C:C,"&lt;&gt;*World*"),IF(OR(G192="",G192=0),"-",SUMPRODUCT(('RawData'!B$2:B$822=B192)*('RawData'!G$2:G$822&gt;G192)*(ISERROR(SEARCH("World",'RawData'!C$2:C$822)))*(ISERROR(SEARCH("Other",'RawData'!C$2:C$822))))+1)))</f>
        <v>5</v>
      </c>
      <c r="K192" s="14">
        <f>IF(ISNUMBER(SEARCH("World",'RawData'!C207)),"",'RawData'!H207)</f>
        <v>16000</v>
      </c>
      <c r="L192" s="14">
        <f>IF(ISNUMBER(SEARCH("World",'RawData'!C207)),"",SUMIFS('RawData'!H:H,'RawData'!B:B,'RawData'!B207,'RawData'!C:C,"*World*"))</f>
        <v>330000</v>
      </c>
      <c r="M192" s="15">
        <f>IF(ISNUMBER(SEARCH("World",'RawData'!C207)),"",IFERROR(K192/L192,"-"))</f>
        <v>4.8484848484848485E-2</v>
      </c>
      <c r="N192" s="7">
        <f>IF(ISNUMBER(SEARCH("World",'RawData'!C207)),"",IF(ISNUMBER(SEARCH("Other",C192)),COUNTIFS('RawData'!B:B,B192,'RawData'!C:C,"&lt;&gt;*World*"),IF(OR(K192="",K192=0),"-",SUMPRODUCT(('RawData'!B$2:B$822=B192)*('RawData'!H$2:H$822&gt;K192)*(ISERROR(SEARCH("World",'RawData'!C$2:C$822)))*(ISERROR(SEARCH("Other",'RawData'!C$2:C$822))))+1)))</f>
        <v>5</v>
      </c>
    </row>
    <row r="193" spans="1:14" x14ac:dyDescent="0.3">
      <c r="A193" s="4" t="str">
        <f>IF(ISNUMBER(SEARCH("World",'RawData'!C209)),"",'RawData'!A209)</f>
        <v>MCS2026</v>
      </c>
      <c r="B193" s="4" t="str">
        <f>IF(ISNUMBER(SEARCH("World",'RawData'!C209)),"",'RawData'!B209)</f>
        <v xml:space="preserve">Gallium </v>
      </c>
      <c r="C193" s="4" t="str">
        <f>IF(ISNUMBER(SEARCH("World",'RawData'!C209)),"",'RawData'!C209)</f>
        <v>China</v>
      </c>
      <c r="D193" s="4" t="str">
        <f>IF(ISNUMBER(SEARCH("World",'RawData'!C209)),"",'RawData'!D209)</f>
        <v>Primary production</v>
      </c>
      <c r="E193" s="4" t="str">
        <f>IF(ISNUMBER(SEARCH("World",'RawData'!C209)),"",IF('RawData'!E209="WT001","kg",IF('RawData'!E209="WT002","ton",IF('RawData'!E209="WT003","k ton",""))))</f>
        <v>kg</v>
      </c>
      <c r="F193" s="14">
        <f>IF(ISNUMBER(SEARCH("World",'RawData'!C209)),"",'RawData'!F209)</f>
        <v>839000</v>
      </c>
      <c r="G193" s="14">
        <f>IF(ISNUMBER(SEARCH("World",'RawData'!C209)),"",'RawData'!G209)</f>
        <v>900000</v>
      </c>
      <c r="H193" s="14">
        <f>IF(ISNUMBER(SEARCH("World",'RawData'!C209)),"",SUMIFS('RawData'!G:G,'RawData'!B:B,'RawData'!B209,'RawData'!C:C,"*World*"))</f>
        <v>900000</v>
      </c>
      <c r="I193" s="15">
        <f>IF(ISNUMBER(SEARCH("World",'RawData'!C209)),"",IFERROR(G193/H193,"-"))</f>
        <v>1</v>
      </c>
      <c r="J193" s="7">
        <f>IF(ISNUMBER(SEARCH("World",'RawData'!C209)),"",IF(ISNUMBER(SEARCH("Other",C193)),COUNTIFS('RawData'!B:B,B193,'RawData'!C:C,"&lt;&gt;*World*"),IF(OR(G193="",G193=0),"-",SUMPRODUCT(('RawData'!B$2:B$822=B193)*('RawData'!G$2:G$822&gt;G193)*(ISERROR(SEARCH("World",'RawData'!C$2:C$822)))*(ISERROR(SEARCH("Other",'RawData'!C$2:C$822))))+1)))</f>
        <v>1</v>
      </c>
      <c r="K193" s="14">
        <f>IF(ISNUMBER(SEARCH("World",'RawData'!C209)),"",'RawData'!H209)</f>
        <v>0</v>
      </c>
      <c r="L193" s="14">
        <f>IF(ISNUMBER(SEARCH("World",'RawData'!C209)),"",SUMIFS('RawData'!H:H,'RawData'!B:B,'RawData'!B209,'RawData'!C:C,"*World*"))</f>
        <v>0</v>
      </c>
      <c r="M193" s="15" t="str">
        <f>IF(ISNUMBER(SEARCH("World",'RawData'!C209)),"",IFERROR(K193/L193,"-"))</f>
        <v>-</v>
      </c>
      <c r="N193" s="7" t="str">
        <f>IF(ISNUMBER(SEARCH("World",'RawData'!C209)),"",IF(ISNUMBER(SEARCH("Other",C193)),COUNTIFS('RawData'!B:B,B193,'RawData'!C:C,"&lt;&gt;*World*"),IF(OR(K193="",K193=0),"-",SUMPRODUCT(('RawData'!B$2:B$822=B193)*('RawData'!H$2:H$822&gt;K193)*(ISERROR(SEARCH("World",'RawData'!C$2:C$822)))*(ISERROR(SEARCH("Other",'RawData'!C$2:C$822))))+1)))</f>
        <v>-</v>
      </c>
    </row>
    <row r="194" spans="1:14" x14ac:dyDescent="0.3">
      <c r="A194" s="4" t="str">
        <f>IF(ISNUMBER(SEARCH("World",'RawData'!C210)),"",'RawData'!A210)</f>
        <v>MCS2026</v>
      </c>
      <c r="B194" s="4" t="str">
        <f>IF(ISNUMBER(SEARCH("World",'RawData'!C210)),"",'RawData'!B210)</f>
        <v xml:space="preserve">Gallium </v>
      </c>
      <c r="C194" s="4" t="str">
        <f>IF(ISNUMBER(SEARCH("World",'RawData'!C210)),"",'RawData'!C210)</f>
        <v>Japan</v>
      </c>
      <c r="D194" s="4" t="str">
        <f>IF(ISNUMBER(SEARCH("World",'RawData'!C210)),"",'RawData'!D210)</f>
        <v>Primary production</v>
      </c>
      <c r="E194" s="4" t="str">
        <f>IF(ISNUMBER(SEARCH("World",'RawData'!C210)),"",IF('RawData'!E210="WT001","kg",IF('RawData'!E210="WT002","ton",IF('RawData'!E210="WT003","k ton",""))))</f>
        <v>kg</v>
      </c>
      <c r="F194" s="14">
        <f>IF(ISNUMBER(SEARCH("World",'RawData'!C210)),"",'RawData'!F210)</f>
        <v>3000</v>
      </c>
      <c r="G194" s="14">
        <f>IF(ISNUMBER(SEARCH("World",'RawData'!C210)),"",'RawData'!G210)</f>
        <v>3000</v>
      </c>
      <c r="H194" s="14">
        <f>IF(ISNUMBER(SEARCH("World",'RawData'!C210)),"",SUMIFS('RawData'!G:G,'RawData'!B:B,'RawData'!B210,'RawData'!C:C,"*World*"))</f>
        <v>900000</v>
      </c>
      <c r="I194" s="15">
        <f>IF(ISNUMBER(SEARCH("World",'RawData'!C210)),"",IFERROR(G194/H194,"-"))</f>
        <v>3.3333333333333335E-3</v>
      </c>
      <c r="J194" s="7">
        <f>IF(ISNUMBER(SEARCH("World",'RawData'!C210)),"",IF(ISNUMBER(SEARCH("Other",C194)),COUNTIFS('RawData'!B:B,B194,'RawData'!C:C,"&lt;&gt;*World*"),IF(OR(G194="",G194=0),"-",SUMPRODUCT(('RawData'!B$2:B$822=B194)*('RawData'!G$2:G$822&gt;G194)*(ISERROR(SEARCH("World",'RawData'!C$2:C$822)))*(ISERROR(SEARCH("Other",'RawData'!C$2:C$822))))+1)))</f>
        <v>3</v>
      </c>
      <c r="K194" s="14">
        <f>IF(ISNUMBER(SEARCH("World",'RawData'!C210)),"",'RawData'!H210)</f>
        <v>0</v>
      </c>
      <c r="L194" s="14">
        <f>IF(ISNUMBER(SEARCH("World",'RawData'!C210)),"",SUMIFS('RawData'!H:H,'RawData'!B:B,'RawData'!B210,'RawData'!C:C,"*World*"))</f>
        <v>0</v>
      </c>
      <c r="M194" s="15" t="str">
        <f>IF(ISNUMBER(SEARCH("World",'RawData'!C210)),"",IFERROR(K194/L194,"-"))</f>
        <v>-</v>
      </c>
      <c r="N194" s="7" t="str">
        <f>IF(ISNUMBER(SEARCH("World",'RawData'!C210)),"",IF(ISNUMBER(SEARCH("Other",C194)),COUNTIFS('RawData'!B:B,B194,'RawData'!C:C,"&lt;&gt;*World*"),IF(OR(K194="",K194=0),"-",SUMPRODUCT(('RawData'!B$2:B$822=B194)*('RawData'!H$2:H$822&gt;K194)*(ISERROR(SEARCH("World",'RawData'!C$2:C$822)))*(ISERROR(SEARCH("Other",'RawData'!C$2:C$822))))+1)))</f>
        <v>-</v>
      </c>
    </row>
    <row r="195" spans="1:14" x14ac:dyDescent="0.3">
      <c r="A195" s="4" t="str">
        <f>IF(ISNUMBER(SEARCH("World",'RawData'!C211)),"",'RawData'!A211)</f>
        <v>MCS2026</v>
      </c>
      <c r="B195" s="4" t="str">
        <f>IF(ISNUMBER(SEARCH("World",'RawData'!C211)),"",'RawData'!B211)</f>
        <v xml:space="preserve">Gallium </v>
      </c>
      <c r="C195" s="4" t="str">
        <f>IF(ISNUMBER(SEARCH("World",'RawData'!C211)),"",'RawData'!C211)</f>
        <v>Other Countries</v>
      </c>
      <c r="D195" s="4" t="str">
        <f>IF(ISNUMBER(SEARCH("World",'RawData'!C211)),"",'RawData'!D211)</f>
        <v>Primary production</v>
      </c>
      <c r="E195" s="4" t="str">
        <f>IF(ISNUMBER(SEARCH("World",'RawData'!C211)),"",IF('RawData'!E211="WT001","kg",IF('RawData'!E211="WT002","ton",IF('RawData'!E211="WT003","k ton",""))))</f>
        <v>kg</v>
      </c>
      <c r="F195" s="14">
        <f>IF(ISNUMBER(SEARCH("World",'RawData'!C211)),"",'RawData'!F211)</f>
        <v>0</v>
      </c>
      <c r="G195" s="14">
        <f>IF(ISNUMBER(SEARCH("World",'RawData'!C211)),"",'RawData'!G211)</f>
        <v>0</v>
      </c>
      <c r="H195" s="14">
        <f>IF(ISNUMBER(SEARCH("World",'RawData'!C211)),"",SUMIFS('RawData'!G:G,'RawData'!B:B,'RawData'!B211,'RawData'!C:C,"*World*"))</f>
        <v>900000</v>
      </c>
      <c r="I195" s="15">
        <f>IF(ISNUMBER(SEARCH("World",'RawData'!C211)),"",IFERROR(G195/H195,"-"))</f>
        <v>0</v>
      </c>
      <c r="J195" s="7">
        <f>IF(ISNUMBER(SEARCH("World",'RawData'!C211)),"",IF(ISNUMBER(SEARCH("Other",C195)),COUNTIFS('RawData'!B:B,B195,'RawData'!C:C,"&lt;&gt;*World*"),IF(OR(G195="",G195=0),"-",SUMPRODUCT(('RawData'!B$2:B$822=B195)*('RawData'!G$2:G$822&gt;G195)*(ISERROR(SEARCH("World",'RawData'!C$2:C$822)))*(ISERROR(SEARCH("Other",'RawData'!C$2:C$822))))+1)))</f>
        <v>5</v>
      </c>
      <c r="K195" s="14">
        <f>IF(ISNUMBER(SEARCH("World",'RawData'!C211)),"",'RawData'!H211)</f>
        <v>0</v>
      </c>
      <c r="L195" s="14">
        <f>IF(ISNUMBER(SEARCH("World",'RawData'!C211)),"",SUMIFS('RawData'!H:H,'RawData'!B:B,'RawData'!B211,'RawData'!C:C,"*World*"))</f>
        <v>0</v>
      </c>
      <c r="M195" s="15" t="str">
        <f>IF(ISNUMBER(SEARCH("World",'RawData'!C211)),"",IFERROR(K195/L195,"-"))</f>
        <v>-</v>
      </c>
      <c r="N195" s="7">
        <f>IF(ISNUMBER(SEARCH("World",'RawData'!C211)),"",IF(ISNUMBER(SEARCH("Other",C195)),COUNTIFS('RawData'!B:B,B195,'RawData'!C:C,"&lt;&gt;*World*"),IF(OR(K195="",K195=0),"-",SUMPRODUCT(('RawData'!B$2:B$822=B195)*('RawData'!H$2:H$822&gt;K195)*(ISERROR(SEARCH("World",'RawData'!C$2:C$822)))*(ISERROR(SEARCH("Other",'RawData'!C$2:C$822))))+1)))</f>
        <v>5</v>
      </c>
    </row>
    <row r="196" spans="1:14" x14ac:dyDescent="0.3">
      <c r="A196" s="4" t="str">
        <f>IF(ISNUMBER(SEARCH("World",'RawData'!C212)),"",'RawData'!A212)</f>
        <v>MCS2026</v>
      </c>
      <c r="B196" s="4" t="str">
        <f>IF(ISNUMBER(SEARCH("World",'RawData'!C212)),"",'RawData'!B212)</f>
        <v xml:space="preserve">Gallium </v>
      </c>
      <c r="C196" s="4" t="str">
        <f>IF(ISNUMBER(SEARCH("World",'RawData'!C212)),"",'RawData'!C212)</f>
        <v xml:space="preserve">Russia </v>
      </c>
      <c r="D196" s="4" t="str">
        <f>IF(ISNUMBER(SEARCH("World",'RawData'!C212)),"",'RawData'!D212)</f>
        <v>Primary production</v>
      </c>
      <c r="E196" s="4" t="str">
        <f>IF(ISNUMBER(SEARCH("World",'RawData'!C212)),"",IF('RawData'!E212="WT001","kg",IF('RawData'!E212="WT002","ton",IF('RawData'!E212="WT003","k ton",""))))</f>
        <v>kg</v>
      </c>
      <c r="F196" s="14">
        <f>IF(ISNUMBER(SEARCH("World",'RawData'!C212)),"",'RawData'!F212)</f>
        <v>6000</v>
      </c>
      <c r="G196" s="14">
        <f>IF(ISNUMBER(SEARCH("World",'RawData'!C212)),"",'RawData'!G212)</f>
        <v>6000</v>
      </c>
      <c r="H196" s="14">
        <f>IF(ISNUMBER(SEARCH("World",'RawData'!C212)),"",SUMIFS('RawData'!G:G,'RawData'!B:B,'RawData'!B212,'RawData'!C:C,"*World*"))</f>
        <v>900000</v>
      </c>
      <c r="I196" s="15">
        <f>IF(ISNUMBER(SEARCH("World",'RawData'!C212)),"",IFERROR(G196/H196,"-"))</f>
        <v>6.6666666666666671E-3</v>
      </c>
      <c r="J196" s="7">
        <f>IF(ISNUMBER(SEARCH("World",'RawData'!C212)),"",IF(ISNUMBER(SEARCH("Other",C196)),COUNTIFS('RawData'!B:B,B196,'RawData'!C:C,"&lt;&gt;*World*"),IF(OR(G196="",G196=0),"-",SUMPRODUCT(('RawData'!B$2:B$822=B196)*('RawData'!G$2:G$822&gt;G196)*(ISERROR(SEARCH("World",'RawData'!C$2:C$822)))*(ISERROR(SEARCH("Other",'RawData'!C$2:C$822))))+1)))</f>
        <v>2</v>
      </c>
      <c r="K196" s="14">
        <f>IF(ISNUMBER(SEARCH("World",'RawData'!C212)),"",'RawData'!H212)</f>
        <v>0</v>
      </c>
      <c r="L196" s="14">
        <f>IF(ISNUMBER(SEARCH("World",'RawData'!C212)),"",SUMIFS('RawData'!H:H,'RawData'!B:B,'RawData'!B212,'RawData'!C:C,"*World*"))</f>
        <v>0</v>
      </c>
      <c r="M196" s="15" t="str">
        <f>IF(ISNUMBER(SEARCH("World",'RawData'!C212)),"",IFERROR(K196/L196,"-"))</f>
        <v>-</v>
      </c>
      <c r="N196" s="7" t="str">
        <f>IF(ISNUMBER(SEARCH("World",'RawData'!C212)),"",IF(ISNUMBER(SEARCH("Other",C196)),COUNTIFS('RawData'!B:B,B196,'RawData'!C:C,"&lt;&gt;*World*"),IF(OR(K196="",K196=0),"-",SUMPRODUCT(('RawData'!B$2:B$822=B196)*('RawData'!H$2:H$822&gt;K196)*(ISERROR(SEARCH("World",'RawData'!C$2:C$822)))*(ISERROR(SEARCH("Other",'RawData'!C$2:C$822))))+1)))</f>
        <v>-</v>
      </c>
    </row>
    <row r="197" spans="1:14" x14ac:dyDescent="0.3">
      <c r="A197" s="4" t="str">
        <f>IF(ISNUMBER(SEARCH("World",'RawData'!C213)),"",'RawData'!A213)</f>
        <v>MCS2026</v>
      </c>
      <c r="B197" s="4" t="str">
        <f>IF(ISNUMBER(SEARCH("World",'RawData'!C213)),"",'RawData'!B213)</f>
        <v xml:space="preserve">Gallium </v>
      </c>
      <c r="C197" s="4" t="str">
        <f>IF(ISNUMBER(SEARCH("World",'RawData'!C213)),"",'RawData'!C213)</f>
        <v>United States</v>
      </c>
      <c r="D197" s="4" t="str">
        <f>IF(ISNUMBER(SEARCH("World",'RawData'!C213)),"",'RawData'!D213)</f>
        <v>Primary production</v>
      </c>
      <c r="E197" s="4" t="str">
        <f>IF(ISNUMBER(SEARCH("World",'RawData'!C213)),"",IF('RawData'!E213="WT001","kg",IF('RawData'!E213="WT002","ton",IF('RawData'!E213="WT003","k ton",""))))</f>
        <v>kg</v>
      </c>
      <c r="F197" s="14">
        <f>IF(ISNUMBER(SEARCH("World",'RawData'!C213)),"",'RawData'!F213)</f>
        <v>0</v>
      </c>
      <c r="G197" s="14">
        <f>IF(ISNUMBER(SEARCH("World",'RawData'!C213)),"",'RawData'!G213)</f>
        <v>0</v>
      </c>
      <c r="H197" s="14">
        <f>IF(ISNUMBER(SEARCH("World",'RawData'!C213)),"",SUMIFS('RawData'!G:G,'RawData'!B:B,'RawData'!B213,'RawData'!C:C,"*World*"))</f>
        <v>900000</v>
      </c>
      <c r="I197" s="15">
        <f>IF(ISNUMBER(SEARCH("World",'RawData'!C213)),"",IFERROR(G197/H197,"-"))</f>
        <v>0</v>
      </c>
      <c r="J197" s="7" t="str">
        <f>IF(ISNUMBER(SEARCH("World",'RawData'!C213)),"",IF(ISNUMBER(SEARCH("Other",C197)),COUNTIFS('RawData'!B:B,B197,'RawData'!C:C,"&lt;&gt;*World*"),IF(OR(G197="",G197=0),"-",SUMPRODUCT(('RawData'!B$2:B$822=B197)*('RawData'!G$2:G$822&gt;G197)*(ISERROR(SEARCH("World",'RawData'!C$2:C$822)))*(ISERROR(SEARCH("Other",'RawData'!C$2:C$822))))+1)))</f>
        <v>-</v>
      </c>
      <c r="K197" s="14">
        <f>IF(ISNUMBER(SEARCH("World",'RawData'!C213)),"",'RawData'!H213)</f>
        <v>0</v>
      </c>
      <c r="L197" s="14">
        <f>IF(ISNUMBER(SEARCH("World",'RawData'!C213)),"",SUMIFS('RawData'!H:H,'RawData'!B:B,'RawData'!B213,'RawData'!C:C,"*World*"))</f>
        <v>0</v>
      </c>
      <c r="M197" s="15" t="str">
        <f>IF(ISNUMBER(SEARCH("World",'RawData'!C213)),"",IFERROR(K197/L197,"-"))</f>
        <v>-</v>
      </c>
      <c r="N197" s="7" t="str">
        <f>IF(ISNUMBER(SEARCH("World",'RawData'!C213)),"",IF(ISNUMBER(SEARCH("Other",C197)),COUNTIFS('RawData'!B:B,B197,'RawData'!C:C,"&lt;&gt;*World*"),IF(OR(K197="",K197=0),"-",SUMPRODUCT(('RawData'!B$2:B$822=B197)*('RawData'!H$2:H$822&gt;K197)*(ISERROR(SEARCH("World",'RawData'!C$2:C$822)))*(ISERROR(SEARCH("Other",'RawData'!C$2:C$822))))+1)))</f>
        <v>-</v>
      </c>
    </row>
    <row r="198" spans="1:14" x14ac:dyDescent="0.3">
      <c r="A198" s="4" t="str">
        <f>IF(ISNUMBER(SEARCH("World",'RawData'!C215)),"",'RawData'!A215)</f>
        <v>MCS2026</v>
      </c>
      <c r="B198" s="4" t="str">
        <f>IF(ISNUMBER(SEARCH("World",'RawData'!C215)),"",'RawData'!B215)</f>
        <v>Garnet</v>
      </c>
      <c r="C198" s="4" t="str">
        <f>IF(ISNUMBER(SEARCH("World",'RawData'!C215)),"",'RawData'!C215)</f>
        <v>Australia</v>
      </c>
      <c r="D198" s="4" t="str">
        <f>IF(ISNUMBER(SEARCH("World",'RawData'!C215)),"",'RawData'!D215)</f>
        <v>Mine production, estimated</v>
      </c>
      <c r="E198" s="4" t="str">
        <f>IF(ISNUMBER(SEARCH("World",'RawData'!C215)),"",IF('RawData'!E215="WT001","kg",IF('RawData'!E215="WT002","ton",IF('RawData'!E215="WT003","k ton",""))))</f>
        <v>ton</v>
      </c>
      <c r="F198" s="14">
        <f>IF(ISNUMBER(SEARCH("World",'RawData'!C215)),"",'RawData'!F215)</f>
        <v>348000</v>
      </c>
      <c r="G198" s="14">
        <f>IF(ISNUMBER(SEARCH("World",'RawData'!C215)),"",'RawData'!G215)</f>
        <v>350000</v>
      </c>
      <c r="H198" s="14">
        <f>IF(ISNUMBER(SEARCH("World",'RawData'!C215)),"",SUMIFS('RawData'!G:G,'RawData'!B:B,'RawData'!B215,'RawData'!C:C,"*World*"))</f>
        <v>730000</v>
      </c>
      <c r="I198" s="15">
        <f>IF(ISNUMBER(SEARCH("World",'RawData'!C215)),"",IFERROR(G198/H198,"-"))</f>
        <v>0.47945205479452052</v>
      </c>
      <c r="J198" s="7">
        <f>IF(ISNUMBER(SEARCH("World",'RawData'!C215)),"",IF(ISNUMBER(SEARCH("Other",C198)),COUNTIFS('RawData'!B:B,B198,'RawData'!C:C,"&lt;&gt;*World*"),IF(OR(G198="",G198=0),"-",SUMPRODUCT(('RawData'!B$2:B$822=B198)*('RawData'!G$2:G$822&gt;G198)*(ISERROR(SEARCH("World",'RawData'!C$2:C$822)))*(ISERROR(SEARCH("Other",'RawData'!C$2:C$822))))+1)))</f>
        <v>1</v>
      </c>
      <c r="K198" s="14">
        <f>IF(ISNUMBER(SEARCH("World",'RawData'!C215)),"",'RawData'!H215)</f>
        <v>0</v>
      </c>
      <c r="L198" s="14">
        <f>IF(ISNUMBER(SEARCH("World",'RawData'!C215)),"",SUMIFS('RawData'!H:H,'RawData'!B:B,'RawData'!B215,'RawData'!C:C,"*World*"))</f>
        <v>0</v>
      </c>
      <c r="M198" s="15" t="str">
        <f>IF(ISNUMBER(SEARCH("World",'RawData'!C215)),"",IFERROR(K198/L198,"-"))</f>
        <v>-</v>
      </c>
      <c r="N198" s="7" t="str">
        <f>IF(ISNUMBER(SEARCH("World",'RawData'!C215)),"",IF(ISNUMBER(SEARCH("Other",C198)),COUNTIFS('RawData'!B:B,B198,'RawData'!C:C,"&lt;&gt;*World*"),IF(OR(K198="",K198=0),"-",SUMPRODUCT(('RawData'!B$2:B$822=B198)*('RawData'!H$2:H$822&gt;K198)*(ISERROR(SEARCH("World",'RawData'!C$2:C$822)))*(ISERROR(SEARCH("Other",'RawData'!C$2:C$822))))+1)))</f>
        <v>-</v>
      </c>
    </row>
    <row r="199" spans="1:14" x14ac:dyDescent="0.3">
      <c r="A199" s="4" t="str">
        <f>IF(ISNUMBER(SEARCH("World",'RawData'!C216)),"",'RawData'!A216)</f>
        <v>MCS2026</v>
      </c>
      <c r="B199" s="4" t="str">
        <f>IF(ISNUMBER(SEARCH("World",'RawData'!C216)),"",'RawData'!B216)</f>
        <v>Garnet</v>
      </c>
      <c r="C199" s="4" t="str">
        <f>IF(ISNUMBER(SEARCH("World",'RawData'!C216)),"",'RawData'!C216)</f>
        <v>China</v>
      </c>
      <c r="D199" s="4" t="str">
        <f>IF(ISNUMBER(SEARCH("World",'RawData'!C216)),"",'RawData'!D216)</f>
        <v>Mine production, estimated</v>
      </c>
      <c r="E199" s="4" t="str">
        <f>IF(ISNUMBER(SEARCH("World",'RawData'!C216)),"",IF('RawData'!E216="WT001","kg",IF('RawData'!E216="WT002","ton",IF('RawData'!E216="WT003","k ton",""))))</f>
        <v>ton</v>
      </c>
      <c r="F199" s="14">
        <f>IF(ISNUMBER(SEARCH("World",'RawData'!C216)),"",'RawData'!F216)</f>
        <v>250000</v>
      </c>
      <c r="G199" s="14">
        <f>IF(ISNUMBER(SEARCH("World",'RawData'!C216)),"",'RawData'!G216)</f>
        <v>280000</v>
      </c>
      <c r="H199" s="14">
        <f>IF(ISNUMBER(SEARCH("World",'RawData'!C216)),"",SUMIFS('RawData'!G:G,'RawData'!B:B,'RawData'!B216,'RawData'!C:C,"*World*"))</f>
        <v>730000</v>
      </c>
      <c r="I199" s="15">
        <f>IF(ISNUMBER(SEARCH("World",'RawData'!C216)),"",IFERROR(G199/H199,"-"))</f>
        <v>0.38356164383561642</v>
      </c>
      <c r="J199" s="7">
        <f>IF(ISNUMBER(SEARCH("World",'RawData'!C216)),"",IF(ISNUMBER(SEARCH("Other",C199)),COUNTIFS('RawData'!B:B,B199,'RawData'!C:C,"&lt;&gt;*World*"),IF(OR(G199="",G199=0),"-",SUMPRODUCT(('RawData'!B$2:B$822=B199)*('RawData'!G$2:G$822&gt;G199)*(ISERROR(SEARCH("World",'RawData'!C$2:C$822)))*(ISERROR(SEARCH("Other",'RawData'!C$2:C$822))))+1)))</f>
        <v>2</v>
      </c>
      <c r="K199" s="14">
        <f>IF(ISNUMBER(SEARCH("World",'RawData'!C216)),"",'RawData'!H216)</f>
        <v>37000000</v>
      </c>
      <c r="L199" s="14">
        <f>IF(ISNUMBER(SEARCH("World",'RawData'!C216)),"",SUMIFS('RawData'!H:H,'RawData'!B:B,'RawData'!B216,'RawData'!C:C,"*World*"))</f>
        <v>0</v>
      </c>
      <c r="M199" s="15" t="str">
        <f>IF(ISNUMBER(SEARCH("World",'RawData'!C216)),"",IFERROR(K199/L199,"-"))</f>
        <v>-</v>
      </c>
      <c r="N199" s="7">
        <f>IF(ISNUMBER(SEARCH("World",'RawData'!C216)),"",IF(ISNUMBER(SEARCH("Other",C199)),COUNTIFS('RawData'!B:B,B199,'RawData'!C:C,"&lt;&gt;*World*"),IF(OR(K199="",K199=0),"-",SUMPRODUCT(('RawData'!B$2:B$822=B199)*('RawData'!H$2:H$822&gt;K199)*(ISERROR(SEARCH("World",'RawData'!C$2:C$822)))*(ISERROR(SEARCH("Other",'RawData'!C$2:C$822))))+1)))</f>
        <v>1</v>
      </c>
    </row>
    <row r="200" spans="1:14" x14ac:dyDescent="0.3">
      <c r="A200" s="4" t="str">
        <f>IF(ISNUMBER(SEARCH("World",'RawData'!C217)),"",'RawData'!A217)</f>
        <v>MCS2026</v>
      </c>
      <c r="B200" s="4" t="str">
        <f>IF(ISNUMBER(SEARCH("World",'RawData'!C217)),"",'RawData'!B217)</f>
        <v>Garnet</v>
      </c>
      <c r="C200" s="4" t="str">
        <f>IF(ISNUMBER(SEARCH("World",'RawData'!C217)),"",'RawData'!C217)</f>
        <v>Czech</v>
      </c>
      <c r="D200" s="4" t="str">
        <f>IF(ISNUMBER(SEARCH("World",'RawData'!C217)),"",'RawData'!D217)</f>
        <v>Mine production, estimated</v>
      </c>
      <c r="E200" s="4" t="str">
        <f>IF(ISNUMBER(SEARCH("World",'RawData'!C217)),"",IF('RawData'!E217="WT001","kg",IF('RawData'!E217="WT002","ton",IF('RawData'!E217="WT003","k ton",""))))</f>
        <v>ton</v>
      </c>
      <c r="F200" s="14">
        <f>IF(ISNUMBER(SEARCH("World",'RawData'!C217)),"",'RawData'!F217)</f>
        <v>4000</v>
      </c>
      <c r="G200" s="14">
        <f>IF(ISNUMBER(SEARCH("World",'RawData'!C217)),"",'RawData'!G217)</f>
        <v>4000</v>
      </c>
      <c r="H200" s="14">
        <f>IF(ISNUMBER(SEARCH("World",'RawData'!C217)),"",SUMIFS('RawData'!G:G,'RawData'!B:B,'RawData'!B217,'RawData'!C:C,"*World*"))</f>
        <v>730000</v>
      </c>
      <c r="I200" s="15">
        <f>IF(ISNUMBER(SEARCH("World",'RawData'!C217)),"",IFERROR(G200/H200,"-"))</f>
        <v>5.4794520547945206E-3</v>
      </c>
      <c r="J200" s="7">
        <f>IF(ISNUMBER(SEARCH("World",'RawData'!C217)),"",IF(ISNUMBER(SEARCH("Other",C200)),COUNTIFS('RawData'!B:B,B200,'RawData'!C:C,"&lt;&gt;*World*"),IF(OR(G200="",G200=0),"-",SUMPRODUCT(('RawData'!B$2:B$822=B200)*('RawData'!G$2:G$822&gt;G200)*(ISERROR(SEARCH("World",'RawData'!C$2:C$822)))*(ISERROR(SEARCH("Other",'RawData'!C$2:C$822))))+1)))</f>
        <v>5</v>
      </c>
      <c r="K200" s="14">
        <f>IF(ISNUMBER(SEARCH("World",'RawData'!C217)),"",'RawData'!H217)</f>
        <v>0</v>
      </c>
      <c r="L200" s="14">
        <f>IF(ISNUMBER(SEARCH("World",'RawData'!C217)),"",SUMIFS('RawData'!H:H,'RawData'!B:B,'RawData'!B217,'RawData'!C:C,"*World*"))</f>
        <v>0</v>
      </c>
      <c r="M200" s="15" t="str">
        <f>IF(ISNUMBER(SEARCH("World",'RawData'!C217)),"",IFERROR(K200/L200,"-"))</f>
        <v>-</v>
      </c>
      <c r="N200" s="7" t="str">
        <f>IF(ISNUMBER(SEARCH("World",'RawData'!C217)),"",IF(ISNUMBER(SEARCH("Other",C200)),COUNTIFS('RawData'!B:B,B200,'RawData'!C:C,"&lt;&gt;*World*"),IF(OR(K200="",K200=0),"-",SUMPRODUCT(('RawData'!B$2:B$822=B200)*('RawData'!H$2:H$822&gt;K200)*(ISERROR(SEARCH("World",'RawData'!C$2:C$822)))*(ISERROR(SEARCH("Other",'RawData'!C$2:C$822))))+1)))</f>
        <v>-</v>
      </c>
    </row>
    <row r="201" spans="1:14" x14ac:dyDescent="0.3">
      <c r="A201" s="4" t="str">
        <f>IF(ISNUMBER(SEARCH("World",'RawData'!C218)),"",'RawData'!A218)</f>
        <v>MCS2026</v>
      </c>
      <c r="B201" s="4" t="str">
        <f>IF(ISNUMBER(SEARCH("World",'RawData'!C218)),"",'RawData'!B218)</f>
        <v>Garnet</v>
      </c>
      <c r="C201" s="4" t="str">
        <f>IF(ISNUMBER(SEARCH("World",'RawData'!C218)),"",'RawData'!C218)</f>
        <v>India</v>
      </c>
      <c r="D201" s="4" t="str">
        <f>IF(ISNUMBER(SEARCH("World",'RawData'!C218)),"",'RawData'!D218)</f>
        <v>Mine production, estimated</v>
      </c>
      <c r="E201" s="4" t="str">
        <f>IF(ISNUMBER(SEARCH("World",'RawData'!C218)),"",IF('RawData'!E218="WT001","kg",IF('RawData'!E218="WT002","ton",IF('RawData'!E218="WT003","k ton",""))))</f>
        <v>ton</v>
      </c>
      <c r="F201" s="14">
        <f>IF(ISNUMBER(SEARCH("World",'RawData'!C218)),"",'RawData'!F218)</f>
        <v>15000</v>
      </c>
      <c r="G201" s="14">
        <f>IF(ISNUMBER(SEARCH("World",'RawData'!C218)),"",'RawData'!G218)</f>
        <v>15000</v>
      </c>
      <c r="H201" s="14">
        <f>IF(ISNUMBER(SEARCH("World",'RawData'!C218)),"",SUMIFS('RawData'!G:G,'RawData'!B:B,'RawData'!B218,'RawData'!C:C,"*World*"))</f>
        <v>730000</v>
      </c>
      <c r="I201" s="15">
        <f>IF(ISNUMBER(SEARCH("World",'RawData'!C218)),"",IFERROR(G201/H201,"-"))</f>
        <v>2.0547945205479451E-2</v>
      </c>
      <c r="J201" s="7">
        <f>IF(ISNUMBER(SEARCH("World",'RawData'!C218)),"",IF(ISNUMBER(SEARCH("Other",C201)),COUNTIFS('RawData'!B:B,B201,'RawData'!C:C,"&lt;&gt;*World*"),IF(OR(G201="",G201=0),"-",SUMPRODUCT(('RawData'!B$2:B$822=B201)*('RawData'!G$2:G$822&gt;G201)*(ISERROR(SEARCH("World",'RawData'!C$2:C$822)))*(ISERROR(SEARCH("Other",'RawData'!C$2:C$822))))+1)))</f>
        <v>4</v>
      </c>
      <c r="K201" s="14">
        <f>IF(ISNUMBER(SEARCH("World",'RawData'!C218)),"",'RawData'!H218)</f>
        <v>8600000</v>
      </c>
      <c r="L201" s="14">
        <f>IF(ISNUMBER(SEARCH("World",'RawData'!C218)),"",SUMIFS('RawData'!H:H,'RawData'!B:B,'RawData'!B218,'RawData'!C:C,"*World*"))</f>
        <v>0</v>
      </c>
      <c r="M201" s="15" t="str">
        <f>IF(ISNUMBER(SEARCH("World",'RawData'!C218)),"",IFERROR(K201/L201,"-"))</f>
        <v>-</v>
      </c>
      <c r="N201" s="7">
        <f>IF(ISNUMBER(SEARCH("World",'RawData'!C218)),"",IF(ISNUMBER(SEARCH("Other",C201)),COUNTIFS('RawData'!B:B,B201,'RawData'!C:C,"&lt;&gt;*World*"),IF(OR(K201="",K201=0),"-",SUMPRODUCT(('RawData'!B$2:B$822=B201)*('RawData'!H$2:H$822&gt;K201)*(ISERROR(SEARCH("World",'RawData'!C$2:C$822)))*(ISERROR(SEARCH("Other",'RawData'!C$2:C$822))))+1)))</f>
        <v>2</v>
      </c>
    </row>
    <row r="202" spans="1:14" x14ac:dyDescent="0.3">
      <c r="A202" s="4" t="str">
        <f>IF(ISNUMBER(SEARCH("World",'RawData'!C219)),"",'RawData'!A219)</f>
        <v>MCS2026</v>
      </c>
      <c r="B202" s="4" t="str">
        <f>IF(ISNUMBER(SEARCH("World",'RawData'!C219)),"",'RawData'!B219)</f>
        <v>Garnet</v>
      </c>
      <c r="C202" s="4" t="str">
        <f>IF(ISNUMBER(SEARCH("World",'RawData'!C219)),"",'RawData'!C219)</f>
        <v>Pakistan</v>
      </c>
      <c r="D202" s="4" t="str">
        <f>IF(ISNUMBER(SEARCH("World",'RawData'!C219)),"",'RawData'!D219)</f>
        <v>Mine production, estimated</v>
      </c>
      <c r="E202" s="4" t="str">
        <f>IF(ISNUMBER(SEARCH("World",'RawData'!C219)),"",IF('RawData'!E219="WT001","kg",IF('RawData'!E219="WT002","ton",IF('RawData'!E219="WT003","k ton",""))))</f>
        <v>ton</v>
      </c>
      <c r="F202" s="14">
        <f>IF(ISNUMBER(SEARCH("World",'RawData'!C219)),"",'RawData'!F219)</f>
        <v>1900</v>
      </c>
      <c r="G202" s="14">
        <f>IF(ISNUMBER(SEARCH("World",'RawData'!C219)),"",'RawData'!G219)</f>
        <v>1900</v>
      </c>
      <c r="H202" s="14">
        <f>IF(ISNUMBER(SEARCH("World",'RawData'!C219)),"",SUMIFS('RawData'!G:G,'RawData'!B:B,'RawData'!B219,'RawData'!C:C,"*World*"))</f>
        <v>730000</v>
      </c>
      <c r="I202" s="15">
        <f>IF(ISNUMBER(SEARCH("World",'RawData'!C219)),"",IFERROR(G202/H202,"-"))</f>
        <v>2.6027397260273972E-3</v>
      </c>
      <c r="J202" s="7">
        <f>IF(ISNUMBER(SEARCH("World",'RawData'!C219)),"",IF(ISNUMBER(SEARCH("Other",C202)),COUNTIFS('RawData'!B:B,B202,'RawData'!C:C,"&lt;&gt;*World*"),IF(OR(G202="",G202=0),"-",SUMPRODUCT(('RawData'!B$2:B$822=B202)*('RawData'!G$2:G$822&gt;G202)*(ISERROR(SEARCH("World",'RawData'!C$2:C$822)))*(ISERROR(SEARCH("Other",'RawData'!C$2:C$822))))+1)))</f>
        <v>6</v>
      </c>
      <c r="K202" s="14">
        <f>IF(ISNUMBER(SEARCH("World",'RawData'!C219)),"",'RawData'!H219)</f>
        <v>0</v>
      </c>
      <c r="L202" s="14">
        <f>IF(ISNUMBER(SEARCH("World",'RawData'!C219)),"",SUMIFS('RawData'!H:H,'RawData'!B:B,'RawData'!B219,'RawData'!C:C,"*World*"))</f>
        <v>0</v>
      </c>
      <c r="M202" s="15" t="str">
        <f>IF(ISNUMBER(SEARCH("World",'RawData'!C219)),"",IFERROR(K202/L202,"-"))</f>
        <v>-</v>
      </c>
      <c r="N202" s="7" t="str">
        <f>IF(ISNUMBER(SEARCH("World",'RawData'!C219)),"",IF(ISNUMBER(SEARCH("Other",C202)),COUNTIFS('RawData'!B:B,B202,'RawData'!C:C,"&lt;&gt;*World*"),IF(OR(K202="",K202=0),"-",SUMPRODUCT(('RawData'!B$2:B$822=B202)*('RawData'!H$2:H$822&gt;K202)*(ISERROR(SEARCH("World",'RawData'!C$2:C$822)))*(ISERROR(SEARCH("Other",'RawData'!C$2:C$822))))+1)))</f>
        <v>-</v>
      </c>
    </row>
    <row r="203" spans="1:14" x14ac:dyDescent="0.3">
      <c r="A203" s="4" t="str">
        <f>IF(ISNUMBER(SEARCH("World",'RawData'!C220)),"",'RawData'!A220)</f>
        <v>MCS2026</v>
      </c>
      <c r="B203" s="4" t="str">
        <f>IF(ISNUMBER(SEARCH("World",'RawData'!C220)),"",'RawData'!B220)</f>
        <v>Garnet</v>
      </c>
      <c r="C203" s="4" t="str">
        <f>IF(ISNUMBER(SEARCH("World",'RawData'!C220)),"",'RawData'!C220)</f>
        <v xml:space="preserve">South Africa </v>
      </c>
      <c r="D203" s="4" t="str">
        <f>IF(ISNUMBER(SEARCH("World",'RawData'!C220)),"",'RawData'!D220)</f>
        <v>Mine production, estimated</v>
      </c>
      <c r="E203" s="4" t="str">
        <f>IF(ISNUMBER(SEARCH("World",'RawData'!C220)),"",IF('RawData'!E220="WT001","kg",IF('RawData'!E220="WT002","ton",IF('RawData'!E220="WT003","k ton",""))))</f>
        <v>ton</v>
      </c>
      <c r="F203" s="14">
        <f>IF(ISNUMBER(SEARCH("World",'RawData'!C220)),"",'RawData'!F220)</f>
        <v>40000</v>
      </c>
      <c r="G203" s="14">
        <f>IF(ISNUMBER(SEARCH("World",'RawData'!C220)),"",'RawData'!G220)</f>
        <v>0</v>
      </c>
      <c r="H203" s="14">
        <f>IF(ISNUMBER(SEARCH("World",'RawData'!C220)),"",SUMIFS('RawData'!G:G,'RawData'!B:B,'RawData'!B220,'RawData'!C:C,"*World*"))</f>
        <v>730000</v>
      </c>
      <c r="I203" s="15">
        <f>IF(ISNUMBER(SEARCH("World",'RawData'!C220)),"",IFERROR(G203/H203,"-"))</f>
        <v>0</v>
      </c>
      <c r="J203" s="7" t="str">
        <f>IF(ISNUMBER(SEARCH("World",'RawData'!C220)),"",IF(ISNUMBER(SEARCH("Other",C203)),COUNTIFS('RawData'!B:B,B203,'RawData'!C:C,"&lt;&gt;*World*"),IF(OR(G203="",G203=0),"-",SUMPRODUCT(('RawData'!B$2:B$822=B203)*('RawData'!G$2:G$822&gt;G203)*(ISERROR(SEARCH("World",'RawData'!C$2:C$822)))*(ISERROR(SEARCH("Other",'RawData'!C$2:C$822))))+1)))</f>
        <v>-</v>
      </c>
      <c r="K203" s="14">
        <f>IF(ISNUMBER(SEARCH("World",'RawData'!C220)),"",'RawData'!H220)</f>
        <v>1300000</v>
      </c>
      <c r="L203" s="14">
        <f>IF(ISNUMBER(SEARCH("World",'RawData'!C220)),"",SUMIFS('RawData'!H:H,'RawData'!B:B,'RawData'!B220,'RawData'!C:C,"*World*"))</f>
        <v>0</v>
      </c>
      <c r="M203" s="15" t="str">
        <f>IF(ISNUMBER(SEARCH("World",'RawData'!C220)),"",IFERROR(K203/L203,"-"))</f>
        <v>-</v>
      </c>
      <c r="N203" s="7">
        <f>IF(ISNUMBER(SEARCH("World",'RawData'!C220)),"",IF(ISNUMBER(SEARCH("Other",C203)),COUNTIFS('RawData'!B:B,B203,'RawData'!C:C,"&lt;&gt;*World*"),IF(OR(K203="",K203=0),"-",SUMPRODUCT(('RawData'!B$2:B$822=B203)*('RawData'!H$2:H$822&gt;K203)*(ISERROR(SEARCH("World",'RawData'!C$2:C$822)))*(ISERROR(SEARCH("Other",'RawData'!C$2:C$822))))+1)))</f>
        <v>4</v>
      </c>
    </row>
    <row r="204" spans="1:14" x14ac:dyDescent="0.3">
      <c r="A204" s="4" t="str">
        <f>IF(ISNUMBER(SEARCH("World",'RawData'!C221)),"",'RawData'!A221)</f>
        <v>MCS2026</v>
      </c>
      <c r="B204" s="4" t="str">
        <f>IF(ISNUMBER(SEARCH("World",'RawData'!C221)),"",'RawData'!B221)</f>
        <v>Garnet</v>
      </c>
      <c r="C204" s="4" t="str">
        <f>IF(ISNUMBER(SEARCH("World",'RawData'!C221)),"",'RawData'!C221)</f>
        <v>United States</v>
      </c>
      <c r="D204" s="4" t="str">
        <f>IF(ISNUMBER(SEARCH("World",'RawData'!C221)),"",'RawData'!D221)</f>
        <v>Mine production, estimated</v>
      </c>
      <c r="E204" s="4" t="str">
        <f>IF(ISNUMBER(SEARCH("World",'RawData'!C221)),"",IF('RawData'!E221="WT001","kg",IF('RawData'!E221="WT002","ton",IF('RawData'!E221="WT003","k ton",""))))</f>
        <v>ton</v>
      </c>
      <c r="F204" s="14">
        <f>IF(ISNUMBER(SEARCH("World",'RawData'!C221)),"",'RawData'!F221)</f>
        <v>74200</v>
      </c>
      <c r="G204" s="14">
        <f>IF(ISNUMBER(SEARCH("World",'RawData'!C221)),"",'RawData'!G221)</f>
        <v>77000</v>
      </c>
      <c r="H204" s="14">
        <f>IF(ISNUMBER(SEARCH("World",'RawData'!C221)),"",SUMIFS('RawData'!G:G,'RawData'!B:B,'RawData'!B221,'RawData'!C:C,"*World*"))</f>
        <v>730000</v>
      </c>
      <c r="I204" s="15">
        <f>IF(ISNUMBER(SEARCH("World",'RawData'!C221)),"",IFERROR(G204/H204,"-"))</f>
        <v>0.10547945205479452</v>
      </c>
      <c r="J204" s="7">
        <f>IF(ISNUMBER(SEARCH("World",'RawData'!C221)),"",IF(ISNUMBER(SEARCH("Other",C204)),COUNTIFS('RawData'!B:B,B204,'RawData'!C:C,"&lt;&gt;*World*"),IF(OR(G204="",G204=0),"-",SUMPRODUCT(('RawData'!B$2:B$822=B204)*('RawData'!G$2:G$822&gt;G204)*(ISERROR(SEARCH("World",'RawData'!C$2:C$822)))*(ISERROR(SEARCH("Other",'RawData'!C$2:C$822))))+1)))</f>
        <v>3</v>
      </c>
      <c r="K204" s="14">
        <f>IF(ISNUMBER(SEARCH("World",'RawData'!C221)),"",'RawData'!H221)</f>
        <v>5000000</v>
      </c>
      <c r="L204" s="14">
        <f>IF(ISNUMBER(SEARCH("World",'RawData'!C221)),"",SUMIFS('RawData'!H:H,'RawData'!B:B,'RawData'!B221,'RawData'!C:C,"*World*"))</f>
        <v>0</v>
      </c>
      <c r="M204" s="15" t="str">
        <f>IF(ISNUMBER(SEARCH("World",'RawData'!C221)),"",IFERROR(K204/L204,"-"))</f>
        <v>-</v>
      </c>
      <c r="N204" s="7">
        <f>IF(ISNUMBER(SEARCH("World",'RawData'!C221)),"",IF(ISNUMBER(SEARCH("Other",C204)),COUNTIFS('RawData'!B:B,B204,'RawData'!C:C,"&lt;&gt;*World*"),IF(OR(K204="",K204=0),"-",SUMPRODUCT(('RawData'!B$2:B$822=B204)*('RawData'!H$2:H$822&gt;K204)*(ISERROR(SEARCH("World",'RawData'!C$2:C$822)))*(ISERROR(SEARCH("Other",'RawData'!C$2:C$822))))+1)))</f>
        <v>3</v>
      </c>
    </row>
    <row r="205" spans="1:14" x14ac:dyDescent="0.3">
      <c r="A205" s="4" t="str">
        <f>IF(ISNUMBER(SEARCH("World",'RawData'!C231)),"",'RawData'!A231)</f>
        <v>MCS2026</v>
      </c>
      <c r="B205" s="4" t="str">
        <f>IF(ISNUMBER(SEARCH("World",'RawData'!C231)),"",'RawData'!B231)</f>
        <v xml:space="preserve">Gold </v>
      </c>
      <c r="C205" s="4" t="str">
        <f>IF(ISNUMBER(SEARCH("World",'RawData'!C231)),"",'RawData'!C231)</f>
        <v>Australia</v>
      </c>
      <c r="D205" s="4" t="str">
        <f>IF(ISNUMBER(SEARCH("World",'RawData'!C231)),"",'RawData'!D231)</f>
        <v>mine production, gold content</v>
      </c>
      <c r="E205" s="4" t="str">
        <f>IF(ISNUMBER(SEARCH("World",'RawData'!C231)),"",IF('RawData'!E231="WT001","kg",IF('RawData'!E231="WT002","ton",IF('RawData'!E231="WT003","k ton",""))))</f>
        <v>ton</v>
      </c>
      <c r="F205" s="14">
        <f>IF(ISNUMBER(SEARCH("World",'RawData'!C231)),"",'RawData'!F231)</f>
        <v>284</v>
      </c>
      <c r="G205" s="14">
        <f>IF(ISNUMBER(SEARCH("World",'RawData'!C231)),"",'RawData'!G231)</f>
        <v>280</v>
      </c>
      <c r="H205" s="14">
        <f>IF(ISNUMBER(SEARCH("World",'RawData'!C231)),"",SUMIFS('RawData'!G:G,'RawData'!B:B,'RawData'!B231,'RawData'!C:C,"*World*"))</f>
        <v>3300</v>
      </c>
      <c r="I205" s="15">
        <f>IF(ISNUMBER(SEARCH("World",'RawData'!C231)),"",IFERROR(G205/H205,"-"))</f>
        <v>8.4848484848484854E-2</v>
      </c>
      <c r="J205" s="7">
        <f>IF(ISNUMBER(SEARCH("World",'RawData'!C231)),"",IF(ISNUMBER(SEARCH("Other",C205)),COUNTIFS('RawData'!B:B,B205,'RawData'!C:C,"&lt;&gt;*World*"),IF(OR(G205="",G205=0),"-",SUMPRODUCT(('RawData'!B$2:B$822=B205)*('RawData'!G$2:G$822&gt;G205)*(ISERROR(SEARCH("World",'RawData'!C$2:C$822)))*(ISERROR(SEARCH("Other",'RawData'!C$2:C$822))))+1)))</f>
        <v>3</v>
      </c>
      <c r="K205" s="14">
        <f>IF(ISNUMBER(SEARCH("World",'RawData'!C231)),"",'RawData'!H231)</f>
        <v>13000</v>
      </c>
      <c r="L205" s="14">
        <f>IF(ISNUMBER(SEARCH("World",'RawData'!C231)),"",SUMIFS('RawData'!H:H,'RawData'!B:B,'RawData'!B231,'RawData'!C:C,"*World*"))</f>
        <v>66000</v>
      </c>
      <c r="M205" s="15">
        <f>IF(ISNUMBER(SEARCH("World",'RawData'!C231)),"",IFERROR(K205/L205,"-"))</f>
        <v>0.19696969696969696</v>
      </c>
      <c r="N205" s="7">
        <f>IF(ISNUMBER(SEARCH("World",'RawData'!C231)),"",IF(ISNUMBER(SEARCH("Other",C205)),COUNTIFS('RawData'!B:B,B205,'RawData'!C:C,"&lt;&gt;*World*"),IF(OR(K205="",K205=0),"-",SUMPRODUCT(('RawData'!B$2:B$822=B205)*('RawData'!H$2:H$822&gt;K205)*(ISERROR(SEARCH("World",'RawData'!C$2:C$822)))*(ISERROR(SEARCH("Other",'RawData'!C$2:C$822))))+1)))</f>
        <v>1</v>
      </c>
    </row>
    <row r="206" spans="1:14" x14ac:dyDescent="0.3">
      <c r="A206" s="4" t="str">
        <f>IF(ISNUMBER(SEARCH("World",'RawData'!C232)),"",'RawData'!A232)</f>
        <v>MCS2026</v>
      </c>
      <c r="B206" s="4" t="str">
        <f>IF(ISNUMBER(SEARCH("World",'RawData'!C232)),"",'RawData'!B232)</f>
        <v xml:space="preserve">Gold </v>
      </c>
      <c r="C206" s="4" t="str">
        <f>IF(ISNUMBER(SEARCH("World",'RawData'!C232)),"",'RawData'!C232)</f>
        <v>Brazil</v>
      </c>
      <c r="D206" s="4" t="str">
        <f>IF(ISNUMBER(SEARCH("World",'RawData'!C232)),"",'RawData'!D232)</f>
        <v>mine production, gold content</v>
      </c>
      <c r="E206" s="4" t="str">
        <f>IF(ISNUMBER(SEARCH("World",'RawData'!C232)),"",IF('RawData'!E232="WT001","kg",IF('RawData'!E232="WT002","ton",IF('RawData'!E232="WT003","k ton",""))))</f>
        <v>ton</v>
      </c>
      <c r="F206" s="14">
        <f>IF(ISNUMBER(SEARCH("World",'RawData'!C232)),"",'RawData'!F232)</f>
        <v>82</v>
      </c>
      <c r="G206" s="14">
        <f>IF(ISNUMBER(SEARCH("World",'RawData'!C232)),"",'RawData'!G232)</f>
        <v>80</v>
      </c>
      <c r="H206" s="14">
        <f>IF(ISNUMBER(SEARCH("World",'RawData'!C232)),"",SUMIFS('RawData'!G:G,'RawData'!B:B,'RawData'!B232,'RawData'!C:C,"*World*"))</f>
        <v>3300</v>
      </c>
      <c r="I206" s="15">
        <f>IF(ISNUMBER(SEARCH("World",'RawData'!C232)),"",IFERROR(G206/H206,"-"))</f>
        <v>2.4242424242424242E-2</v>
      </c>
      <c r="J206" s="7">
        <f>IF(ISNUMBER(SEARCH("World",'RawData'!C232)),"",IF(ISNUMBER(SEARCH("Other",C206)),COUNTIFS('RawData'!B:B,B206,'RawData'!C:C,"&lt;&gt;*World*"),IF(OR(G206="",G206=0),"-",SUMPRODUCT(('RawData'!B$2:B$822=B206)*('RawData'!G$2:G$822&gt;G206)*(ISERROR(SEARCH("World",'RawData'!C$2:C$822)))*(ISERROR(SEARCH("Other",'RawData'!C$2:C$822))))+1)))</f>
        <v>13</v>
      </c>
      <c r="K206" s="14">
        <f>IF(ISNUMBER(SEARCH("World",'RawData'!C232)),"",'RawData'!H232)</f>
        <v>2500</v>
      </c>
      <c r="L206" s="14">
        <f>IF(ISNUMBER(SEARCH("World",'RawData'!C232)),"",SUMIFS('RawData'!H:H,'RawData'!B:B,'RawData'!B232,'RawData'!C:C,"*World*"))</f>
        <v>66000</v>
      </c>
      <c r="M206" s="15">
        <f>IF(ISNUMBER(SEARCH("World",'RawData'!C232)),"",IFERROR(K206/L206,"-"))</f>
        <v>3.787878787878788E-2</v>
      </c>
      <c r="N206" s="7">
        <f>IF(ISNUMBER(SEARCH("World",'RawData'!C232)),"",IF(ISNUMBER(SEARCH("Other",C206)),COUNTIFS('RawData'!B:B,B206,'RawData'!C:C,"&lt;&gt;*World*"),IF(OR(K206="",K206=0),"-",SUMPRODUCT(('RawData'!B$2:B$822=B206)*('RawData'!H$2:H$822&gt;K206)*(ISERROR(SEARCH("World",'RawData'!C$2:C$822)))*(ISERROR(SEARCH("Other",'RawData'!C$2:C$822))))+1)))</f>
        <v>8</v>
      </c>
    </row>
    <row r="207" spans="1:14" x14ac:dyDescent="0.3">
      <c r="A207" s="4" t="str">
        <f>IF(ISNUMBER(SEARCH("World",'RawData'!C233)),"",'RawData'!A233)</f>
        <v>MCS2026</v>
      </c>
      <c r="B207" s="4" t="str">
        <f>IF(ISNUMBER(SEARCH("World",'RawData'!C233)),"",'RawData'!B233)</f>
        <v xml:space="preserve">Gold </v>
      </c>
      <c r="C207" s="4" t="str">
        <f>IF(ISNUMBER(SEARCH("World",'RawData'!C233)),"",'RawData'!C233)</f>
        <v xml:space="preserve">Canada </v>
      </c>
      <c r="D207" s="4" t="str">
        <f>IF(ISNUMBER(SEARCH("World",'RawData'!C233)),"",'RawData'!D233)</f>
        <v>mine production, gold content</v>
      </c>
      <c r="E207" s="4" t="str">
        <f>IF(ISNUMBER(SEARCH("World",'RawData'!C233)),"",IF('RawData'!E233="WT001","kg",IF('RawData'!E233="WT002","ton",IF('RawData'!E233="WT003","k ton",""))))</f>
        <v>ton</v>
      </c>
      <c r="F207" s="14">
        <f>IF(ISNUMBER(SEARCH("World",'RawData'!C233)),"",'RawData'!F233)</f>
        <v>200</v>
      </c>
      <c r="G207" s="14">
        <f>IF(ISNUMBER(SEARCH("World",'RawData'!C233)),"",'RawData'!G233)</f>
        <v>200</v>
      </c>
      <c r="H207" s="14">
        <f>IF(ISNUMBER(SEARCH("World",'RawData'!C233)),"",SUMIFS('RawData'!G:G,'RawData'!B:B,'RawData'!B233,'RawData'!C:C,"*World*"))</f>
        <v>3300</v>
      </c>
      <c r="I207" s="15">
        <f>IF(ISNUMBER(SEARCH("World",'RawData'!C233)),"",IFERROR(G207/H207,"-"))</f>
        <v>6.0606060606060608E-2</v>
      </c>
      <c r="J207" s="7">
        <f>IF(ISNUMBER(SEARCH("World",'RawData'!C233)),"",IF(ISNUMBER(SEARCH("Other",C207)),COUNTIFS('RawData'!B:B,B207,'RawData'!C:C,"&lt;&gt;*World*"),IF(OR(G207="",G207=0),"-",SUMPRODUCT(('RawData'!B$2:B$822=B207)*('RawData'!G$2:G$822&gt;G207)*(ISERROR(SEARCH("World",'RawData'!C$2:C$822)))*(ISERROR(SEARCH("Other",'RawData'!C$2:C$822))))+1)))</f>
        <v>4</v>
      </c>
      <c r="K207" s="14">
        <f>IF(ISNUMBER(SEARCH("World",'RawData'!C233)),"",'RawData'!H233)</f>
        <v>3200</v>
      </c>
      <c r="L207" s="14">
        <f>IF(ISNUMBER(SEARCH("World",'RawData'!C233)),"",SUMIFS('RawData'!H:H,'RawData'!B:B,'RawData'!B233,'RawData'!C:C,"*World*"))</f>
        <v>66000</v>
      </c>
      <c r="M207" s="15">
        <f>IF(ISNUMBER(SEARCH("World",'RawData'!C233)),"",IFERROR(K207/L207,"-"))</f>
        <v>4.8484848484848485E-2</v>
      </c>
      <c r="N207" s="7">
        <f>IF(ISNUMBER(SEARCH("World",'RawData'!C233)),"",IF(ISNUMBER(SEARCH("Other",C207)),COUNTIFS('RawData'!B:B,B207,'RawData'!C:C,"&lt;&gt;*World*"),IF(OR(K207="",K207=0),"-",SUMPRODUCT(('RawData'!B$2:B$822=B207)*('RawData'!H$2:H$822&gt;K207)*(ISERROR(SEARCH("World",'RawData'!C$2:C$822)))*(ISERROR(SEARCH("Other",'RawData'!C$2:C$822))))+1)))</f>
        <v>5</v>
      </c>
    </row>
    <row r="208" spans="1:14" x14ac:dyDescent="0.3">
      <c r="A208" s="4" t="str">
        <f>IF(ISNUMBER(SEARCH("World",'RawData'!C234)),"",'RawData'!A234)</f>
        <v>MCS2026</v>
      </c>
      <c r="B208" s="4" t="str">
        <f>IF(ISNUMBER(SEARCH("World",'RawData'!C234)),"",'RawData'!B234)</f>
        <v xml:space="preserve">Gold </v>
      </c>
      <c r="C208" s="4" t="str">
        <f>IF(ISNUMBER(SEARCH("World",'RawData'!C234)),"",'RawData'!C234)</f>
        <v>China</v>
      </c>
      <c r="D208" s="4" t="str">
        <f>IF(ISNUMBER(SEARCH("World",'RawData'!C234)),"",'RawData'!D234)</f>
        <v>mine production, gold content</v>
      </c>
      <c r="E208" s="4" t="str">
        <f>IF(ISNUMBER(SEARCH("World",'RawData'!C234)),"",IF('RawData'!E234="WT001","kg",IF('RawData'!E234="WT002","ton",IF('RawData'!E234="WT003","k ton",""))))</f>
        <v>ton</v>
      </c>
      <c r="F208" s="14">
        <f>IF(ISNUMBER(SEARCH("World",'RawData'!C234)),"",'RawData'!F234)</f>
        <v>377</v>
      </c>
      <c r="G208" s="14">
        <f>IF(ISNUMBER(SEARCH("World",'RawData'!C234)),"",'RawData'!G234)</f>
        <v>380</v>
      </c>
      <c r="H208" s="14">
        <f>IF(ISNUMBER(SEARCH("World",'RawData'!C234)),"",SUMIFS('RawData'!G:G,'RawData'!B:B,'RawData'!B234,'RawData'!C:C,"*World*"))</f>
        <v>3300</v>
      </c>
      <c r="I208" s="15">
        <f>IF(ISNUMBER(SEARCH("World",'RawData'!C234)),"",IFERROR(G208/H208,"-"))</f>
        <v>0.11515151515151516</v>
      </c>
      <c r="J208" s="7">
        <f>IF(ISNUMBER(SEARCH("World",'RawData'!C234)),"",IF(ISNUMBER(SEARCH("Other",C208)),COUNTIFS('RawData'!B:B,B208,'RawData'!C:C,"&lt;&gt;*World*"),IF(OR(G208="",G208=0),"-",SUMPRODUCT(('RawData'!B$2:B$822=B208)*('RawData'!G$2:G$822&gt;G208)*(ISERROR(SEARCH("World",'RawData'!C$2:C$822)))*(ISERROR(SEARCH("Other",'RawData'!C$2:C$822))))+1)))</f>
        <v>1</v>
      </c>
      <c r="K208" s="14">
        <f>IF(ISNUMBER(SEARCH("World",'RawData'!C234)),"",'RawData'!H234)</f>
        <v>3200</v>
      </c>
      <c r="L208" s="14">
        <f>IF(ISNUMBER(SEARCH("World",'RawData'!C234)),"",SUMIFS('RawData'!H:H,'RawData'!B:B,'RawData'!B234,'RawData'!C:C,"*World*"))</f>
        <v>66000</v>
      </c>
      <c r="M208" s="15">
        <f>IF(ISNUMBER(SEARCH("World",'RawData'!C234)),"",IFERROR(K208/L208,"-"))</f>
        <v>4.8484848484848485E-2</v>
      </c>
      <c r="N208" s="7">
        <f>IF(ISNUMBER(SEARCH("World",'RawData'!C234)),"",IF(ISNUMBER(SEARCH("Other",C208)),COUNTIFS('RawData'!B:B,B208,'RawData'!C:C,"&lt;&gt;*World*"),IF(OR(K208="",K208=0),"-",SUMPRODUCT(('RawData'!B$2:B$822=B208)*('RawData'!H$2:H$822&gt;K208)*(ISERROR(SEARCH("World",'RawData'!C$2:C$822)))*(ISERROR(SEARCH("Other",'RawData'!C$2:C$822))))+1)))</f>
        <v>5</v>
      </c>
    </row>
    <row r="209" spans="1:14" x14ac:dyDescent="0.3">
      <c r="A209" s="4" t="str">
        <f>IF(ISNUMBER(SEARCH("World",'RawData'!C235)),"",'RawData'!A235)</f>
        <v>MCS2026</v>
      </c>
      <c r="B209" s="4" t="str">
        <f>IF(ISNUMBER(SEARCH("World",'RawData'!C235)),"",'RawData'!B235)</f>
        <v xml:space="preserve">Gold </v>
      </c>
      <c r="C209" s="4" t="str">
        <f>IF(ISNUMBER(SEARCH("World",'RawData'!C235)),"",'RawData'!C235)</f>
        <v>Ghana</v>
      </c>
      <c r="D209" s="4" t="str">
        <f>IF(ISNUMBER(SEARCH("World",'RawData'!C235)),"",'RawData'!D235)</f>
        <v>mine production, gold content</v>
      </c>
      <c r="E209" s="4" t="str">
        <f>IF(ISNUMBER(SEARCH("World",'RawData'!C235)),"",IF('RawData'!E235="WT001","kg",IF('RawData'!E235="WT002","ton",IF('RawData'!E235="WT003","k ton",""))))</f>
        <v>ton</v>
      </c>
      <c r="F209" s="14">
        <f>IF(ISNUMBER(SEARCH("World",'RawData'!C235)),"",'RawData'!F235)</f>
        <v>149</v>
      </c>
      <c r="G209" s="14">
        <f>IF(ISNUMBER(SEARCH("World",'RawData'!C235)),"",'RawData'!G235)</f>
        <v>150</v>
      </c>
      <c r="H209" s="14">
        <f>IF(ISNUMBER(SEARCH("World",'RawData'!C235)),"",SUMIFS('RawData'!G:G,'RawData'!B:B,'RawData'!B235,'RawData'!C:C,"*World*"))</f>
        <v>3300</v>
      </c>
      <c r="I209" s="15">
        <f>IF(ISNUMBER(SEARCH("World",'RawData'!C235)),"",IFERROR(G209/H209,"-"))</f>
        <v>4.5454545454545456E-2</v>
      </c>
      <c r="J209" s="7">
        <f>IF(ISNUMBER(SEARCH("World",'RawData'!C235)),"",IF(ISNUMBER(SEARCH("Other",C209)),COUNTIFS('RawData'!B:B,B209,'RawData'!C:C,"&lt;&gt;*World*"),IF(OR(G209="",G209=0),"-",SUMPRODUCT(('RawData'!B$2:B$822=B209)*('RawData'!G$2:G$822&gt;G209)*(ISERROR(SEARCH("World",'RawData'!C$2:C$822)))*(ISERROR(SEARCH("Other",'RawData'!C$2:C$822))))+1)))</f>
        <v>6</v>
      </c>
      <c r="K209" s="14">
        <f>IF(ISNUMBER(SEARCH("World",'RawData'!C235)),"",'RawData'!H235)</f>
        <v>1000</v>
      </c>
      <c r="L209" s="14">
        <f>IF(ISNUMBER(SEARCH("World",'RawData'!C235)),"",SUMIFS('RawData'!H:H,'RawData'!B:B,'RawData'!B235,'RawData'!C:C,"*World*"))</f>
        <v>66000</v>
      </c>
      <c r="M209" s="15">
        <f>IF(ISNUMBER(SEARCH("World",'RawData'!C235)),"",IFERROR(K209/L209,"-"))</f>
        <v>1.5151515151515152E-2</v>
      </c>
      <c r="N209" s="7">
        <f>IF(ISNUMBER(SEARCH("World",'RawData'!C235)),"",IF(ISNUMBER(SEARCH("Other",C209)),COUNTIFS('RawData'!B:B,B209,'RawData'!C:C,"&lt;&gt;*World*"),IF(OR(K209="",K209=0),"-",SUMPRODUCT(('RawData'!B$2:B$822=B209)*('RawData'!H$2:H$822&gt;K209)*(ISERROR(SEARCH("World",'RawData'!C$2:C$822)))*(ISERROR(SEARCH("Other",'RawData'!C$2:C$822))))+1)))</f>
        <v>13</v>
      </c>
    </row>
    <row r="210" spans="1:14" x14ac:dyDescent="0.3">
      <c r="A210" s="4" t="str">
        <f>IF(ISNUMBER(SEARCH("World",'RawData'!C236)),"",'RawData'!A236)</f>
        <v>MCS2026</v>
      </c>
      <c r="B210" s="4" t="str">
        <f>IF(ISNUMBER(SEARCH("World",'RawData'!C236)),"",'RawData'!B236)</f>
        <v xml:space="preserve">Gold </v>
      </c>
      <c r="C210" s="4" t="str">
        <f>IF(ISNUMBER(SEARCH("World",'RawData'!C236)),"",'RawData'!C236)</f>
        <v>Indonesia</v>
      </c>
      <c r="D210" s="4" t="str">
        <f>IF(ISNUMBER(SEARCH("World",'RawData'!C236)),"",'RawData'!D236)</f>
        <v>mine production, gold content</v>
      </c>
      <c r="E210" s="4" t="str">
        <f>IF(ISNUMBER(SEARCH("World",'RawData'!C236)),"",IF('RawData'!E236="WT001","kg",IF('RawData'!E236="WT002","ton",IF('RawData'!E236="WT003","k ton",""))))</f>
        <v>ton</v>
      </c>
      <c r="F210" s="14">
        <f>IF(ISNUMBER(SEARCH("World",'RawData'!C236)),"",'RawData'!F236)</f>
        <v>94</v>
      </c>
      <c r="G210" s="14">
        <f>IF(ISNUMBER(SEARCH("World",'RawData'!C236)),"",'RawData'!G236)</f>
        <v>90</v>
      </c>
      <c r="H210" s="14">
        <f>IF(ISNUMBER(SEARCH("World",'RawData'!C236)),"",SUMIFS('RawData'!G:G,'RawData'!B:B,'RawData'!B236,'RawData'!C:C,"*World*"))</f>
        <v>3300</v>
      </c>
      <c r="I210" s="15">
        <f>IF(ISNUMBER(SEARCH("World",'RawData'!C236)),"",IFERROR(G210/H210,"-"))</f>
        <v>2.7272727272727271E-2</v>
      </c>
      <c r="J210" s="7">
        <f>IF(ISNUMBER(SEARCH("World",'RawData'!C236)),"",IF(ISNUMBER(SEARCH("Other",C210)),COUNTIFS('RawData'!B:B,B210,'RawData'!C:C,"&lt;&gt;*World*"),IF(OR(G210="",G210=0),"-",SUMPRODUCT(('RawData'!B$2:B$822=B210)*('RawData'!G$2:G$822&gt;G210)*(ISERROR(SEARCH("World",'RawData'!C$2:C$822)))*(ISERROR(SEARCH("Other",'RawData'!C$2:C$822))))+1)))</f>
        <v>11</v>
      </c>
      <c r="K210" s="14">
        <f>IF(ISNUMBER(SEARCH("World",'RawData'!C236)),"",'RawData'!H236)</f>
        <v>3600</v>
      </c>
      <c r="L210" s="14">
        <f>IF(ISNUMBER(SEARCH("World",'RawData'!C236)),"",SUMIFS('RawData'!H:H,'RawData'!B:B,'RawData'!B236,'RawData'!C:C,"*World*"))</f>
        <v>66000</v>
      </c>
      <c r="M210" s="15">
        <f>IF(ISNUMBER(SEARCH("World",'RawData'!C236)),"",IFERROR(K210/L210,"-"))</f>
        <v>5.4545454545454543E-2</v>
      </c>
      <c r="N210" s="7">
        <f>IF(ISNUMBER(SEARCH("World",'RawData'!C236)),"",IF(ISNUMBER(SEARCH("Other",C210)),COUNTIFS('RawData'!B:B,B210,'RawData'!C:C,"&lt;&gt;*World*"),IF(OR(K210="",K210=0),"-",SUMPRODUCT(('RawData'!B$2:B$822=B210)*('RawData'!H$2:H$822&gt;K210)*(ISERROR(SEARCH("World",'RawData'!C$2:C$822)))*(ISERROR(SEARCH("Other",'RawData'!C$2:C$822))))+1)))</f>
        <v>4</v>
      </c>
    </row>
    <row r="211" spans="1:14" x14ac:dyDescent="0.3">
      <c r="A211" s="4" t="str">
        <f>IF(ISNUMBER(SEARCH("World",'RawData'!C237)),"",'RawData'!A237)</f>
        <v>MCS2026</v>
      </c>
      <c r="B211" s="4" t="str">
        <f>IF(ISNUMBER(SEARCH("World",'RawData'!C237)),"",'RawData'!B237)</f>
        <v xml:space="preserve">Gold </v>
      </c>
      <c r="C211" s="4" t="str">
        <f>IF(ISNUMBER(SEARCH("World",'RawData'!C237)),"",'RawData'!C237)</f>
        <v>Kazakhstan</v>
      </c>
      <c r="D211" s="4" t="str">
        <f>IF(ISNUMBER(SEARCH("World",'RawData'!C237)),"",'RawData'!D237)</f>
        <v>mine production, gold content</v>
      </c>
      <c r="E211" s="4" t="str">
        <f>IF(ISNUMBER(SEARCH("World",'RawData'!C237)),"",IF('RawData'!E237="WT001","kg",IF('RawData'!E237="WT002","ton",IF('RawData'!E237="WT003","k ton",""))))</f>
        <v>ton</v>
      </c>
      <c r="F211" s="14">
        <f>IF(ISNUMBER(SEARCH("World",'RawData'!C237)),"",'RawData'!F237)</f>
        <v>130</v>
      </c>
      <c r="G211" s="14">
        <f>IF(ISNUMBER(SEARCH("World",'RawData'!C237)),"",'RawData'!G237)</f>
        <v>130</v>
      </c>
      <c r="H211" s="14">
        <f>IF(ISNUMBER(SEARCH("World",'RawData'!C237)),"",SUMIFS('RawData'!G:G,'RawData'!B:B,'RawData'!B237,'RawData'!C:C,"*World*"))</f>
        <v>3300</v>
      </c>
      <c r="I211" s="15">
        <f>IF(ISNUMBER(SEARCH("World",'RawData'!C237)),"",IFERROR(G211/H211,"-"))</f>
        <v>3.9393939393939391E-2</v>
      </c>
      <c r="J211" s="7">
        <f>IF(ISNUMBER(SEARCH("World",'RawData'!C237)),"",IF(ISNUMBER(SEARCH("Other",C211)),COUNTIFS('RawData'!B:B,B211,'RawData'!C:C,"&lt;&gt;*World*"),IF(OR(G211="",G211=0),"-",SUMPRODUCT(('RawData'!B$2:B$822=B211)*('RawData'!G$2:G$822&gt;G211)*(ISERROR(SEARCH("World",'RawData'!C$2:C$822)))*(ISERROR(SEARCH("Other",'RawData'!C$2:C$822))))+1)))</f>
        <v>8</v>
      </c>
      <c r="K211" s="14">
        <f>IF(ISNUMBER(SEARCH("World",'RawData'!C237)),"",'RawData'!H237)</f>
        <v>2300</v>
      </c>
      <c r="L211" s="14">
        <f>IF(ISNUMBER(SEARCH("World",'RawData'!C237)),"",SUMIFS('RawData'!H:H,'RawData'!B:B,'RawData'!B237,'RawData'!C:C,"*World*"))</f>
        <v>66000</v>
      </c>
      <c r="M211" s="15">
        <f>IF(ISNUMBER(SEARCH("World",'RawData'!C237)),"",IFERROR(K211/L211,"-"))</f>
        <v>3.4848484848484851E-2</v>
      </c>
      <c r="N211" s="7">
        <f>IF(ISNUMBER(SEARCH("World",'RawData'!C237)),"",IF(ISNUMBER(SEARCH("Other",C211)),COUNTIFS('RawData'!B:B,B211,'RawData'!C:C,"&lt;&gt;*World*"),IF(OR(K211="",K211=0),"-",SUMPRODUCT(('RawData'!B$2:B$822=B211)*('RawData'!H$2:H$822&gt;K211)*(ISERROR(SEARCH("World",'RawData'!C$2:C$822)))*(ISERROR(SEARCH("Other",'RawData'!C$2:C$822))))+1)))</f>
        <v>9</v>
      </c>
    </row>
    <row r="212" spans="1:14" x14ac:dyDescent="0.3">
      <c r="A212" s="4" t="str">
        <f>IF(ISNUMBER(SEARCH("World",'RawData'!C238)),"",'RawData'!A238)</f>
        <v>MCS2026</v>
      </c>
      <c r="B212" s="4" t="str">
        <f>IF(ISNUMBER(SEARCH("World",'RawData'!C238)),"",'RawData'!B238)</f>
        <v xml:space="preserve">Gold </v>
      </c>
      <c r="C212" s="4" t="str">
        <f>IF(ISNUMBER(SEARCH("World",'RawData'!C238)),"",'RawData'!C238)</f>
        <v>Mexico</v>
      </c>
      <c r="D212" s="4" t="str">
        <f>IF(ISNUMBER(SEARCH("World",'RawData'!C238)),"",'RawData'!D238)</f>
        <v>mine production, gold content</v>
      </c>
      <c r="E212" s="4" t="str">
        <f>IF(ISNUMBER(SEARCH("World",'RawData'!C238)),"",IF('RawData'!E238="WT001","kg",IF('RawData'!E238="WT002","ton",IF('RawData'!E238="WT003","k ton",""))))</f>
        <v>ton</v>
      </c>
      <c r="F212" s="14">
        <f>IF(ISNUMBER(SEARCH("World",'RawData'!C238)),"",'RawData'!F238)</f>
        <v>140</v>
      </c>
      <c r="G212" s="14">
        <f>IF(ISNUMBER(SEARCH("World",'RawData'!C238)),"",'RawData'!G238)</f>
        <v>140</v>
      </c>
      <c r="H212" s="14">
        <f>IF(ISNUMBER(SEARCH("World",'RawData'!C238)),"",SUMIFS('RawData'!G:G,'RawData'!B:B,'RawData'!B238,'RawData'!C:C,"*World*"))</f>
        <v>3300</v>
      </c>
      <c r="I212" s="15">
        <f>IF(ISNUMBER(SEARCH("World",'RawData'!C238)),"",IFERROR(G212/H212,"-"))</f>
        <v>4.2424242424242427E-2</v>
      </c>
      <c r="J212" s="7">
        <f>IF(ISNUMBER(SEARCH("World",'RawData'!C238)),"",IF(ISNUMBER(SEARCH("Other",C212)),COUNTIFS('RawData'!B:B,B212,'RawData'!C:C,"&lt;&gt;*World*"),IF(OR(G212="",G212=0),"-",SUMPRODUCT(('RawData'!B$2:B$822=B212)*('RawData'!G$2:G$822&gt;G212)*(ISERROR(SEARCH("World",'RawData'!C$2:C$822)))*(ISERROR(SEARCH("Other",'RawData'!C$2:C$822))))+1)))</f>
        <v>7</v>
      </c>
      <c r="K212" s="14">
        <f>IF(ISNUMBER(SEARCH("World",'RawData'!C238)),"",'RawData'!H238)</f>
        <v>1400</v>
      </c>
      <c r="L212" s="14">
        <f>IF(ISNUMBER(SEARCH("World",'RawData'!C238)),"",SUMIFS('RawData'!H:H,'RawData'!B:B,'RawData'!B238,'RawData'!C:C,"*World*"))</f>
        <v>66000</v>
      </c>
      <c r="M212" s="15">
        <f>IF(ISNUMBER(SEARCH("World",'RawData'!C238)),"",IFERROR(K212/L212,"-"))</f>
        <v>2.1212121212121213E-2</v>
      </c>
      <c r="N212" s="7">
        <f>IF(ISNUMBER(SEARCH("World",'RawData'!C238)),"",IF(ISNUMBER(SEARCH("Other",C212)),COUNTIFS('RawData'!B:B,B212,'RawData'!C:C,"&lt;&gt;*World*"),IF(OR(K212="",K212=0),"-",SUMPRODUCT(('RawData'!B$2:B$822=B212)*('RawData'!H$2:H$822&gt;K212)*(ISERROR(SEARCH("World",'RawData'!C$2:C$822)))*(ISERROR(SEARCH("Other",'RawData'!C$2:C$822))))+1)))</f>
        <v>12</v>
      </c>
    </row>
    <row r="213" spans="1:14" x14ac:dyDescent="0.3">
      <c r="A213" s="4" t="str">
        <f>IF(ISNUMBER(SEARCH("World",'RawData'!C239)),"",'RawData'!A239)</f>
        <v>MCS2026</v>
      </c>
      <c r="B213" s="4" t="str">
        <f>IF(ISNUMBER(SEARCH("World",'RawData'!C239)),"",'RawData'!B239)</f>
        <v xml:space="preserve">Gold </v>
      </c>
      <c r="C213" s="4" t="str">
        <f>IF(ISNUMBER(SEARCH("World",'RawData'!C239)),"",'RawData'!C239)</f>
        <v>Other Countries</v>
      </c>
      <c r="D213" s="4" t="str">
        <f>IF(ISNUMBER(SEARCH("World",'RawData'!C239)),"",'RawData'!D239)</f>
        <v>mine production, gold content</v>
      </c>
      <c r="E213" s="4" t="str">
        <f>IF(ISNUMBER(SEARCH("World",'RawData'!C239)),"",IF('RawData'!E239="WT001","kg",IF('RawData'!E239="WT002","ton",IF('RawData'!E239="WT003","k ton",""))))</f>
        <v>ton</v>
      </c>
      <c r="F213" s="14">
        <f>IF(ISNUMBER(SEARCH("World",'RawData'!C239)),"",'RawData'!F239)</f>
        <v>1020</v>
      </c>
      <c r="G213" s="14">
        <f>IF(ISNUMBER(SEARCH("World",'RawData'!C239)),"",'RawData'!G239)</f>
        <v>1000</v>
      </c>
      <c r="H213" s="14">
        <f>IF(ISNUMBER(SEARCH("World",'RawData'!C239)),"",SUMIFS('RawData'!G:G,'RawData'!B:B,'RawData'!B239,'RawData'!C:C,"*World*"))</f>
        <v>3300</v>
      </c>
      <c r="I213" s="15">
        <f>IF(ISNUMBER(SEARCH("World",'RawData'!C239)),"",IFERROR(G213/H213,"-"))</f>
        <v>0.30303030303030304</v>
      </c>
      <c r="J213" s="7">
        <f>IF(ISNUMBER(SEARCH("World",'RawData'!C239)),"",IF(ISNUMBER(SEARCH("Other",C213)),COUNTIFS('RawData'!B:B,B213,'RawData'!C:C,"&lt;&gt;*World*"),IF(OR(G213="",G213=0),"-",SUMPRODUCT(('RawData'!B$2:B$822=B213)*('RawData'!G$2:G$822&gt;G213)*(ISERROR(SEARCH("World",'RawData'!C$2:C$822)))*(ISERROR(SEARCH("Other",'RawData'!C$2:C$822))))+1)))</f>
        <v>14</v>
      </c>
      <c r="K213" s="14">
        <f>IF(ISNUMBER(SEARCH("World",'RawData'!C239)),"",'RawData'!H239)</f>
        <v>11000</v>
      </c>
      <c r="L213" s="14">
        <f>IF(ISNUMBER(SEARCH("World",'RawData'!C239)),"",SUMIFS('RawData'!H:H,'RawData'!B:B,'RawData'!B239,'RawData'!C:C,"*World*"))</f>
        <v>66000</v>
      </c>
      <c r="M213" s="15">
        <f>IF(ISNUMBER(SEARCH("World",'RawData'!C239)),"",IFERROR(K213/L213,"-"))</f>
        <v>0.16666666666666666</v>
      </c>
      <c r="N213" s="7">
        <f>IF(ISNUMBER(SEARCH("World",'RawData'!C239)),"",IF(ISNUMBER(SEARCH("Other",C213)),COUNTIFS('RawData'!B:B,B213,'RawData'!C:C,"&lt;&gt;*World*"),IF(OR(K213="",K213=0),"-",SUMPRODUCT(('RawData'!B$2:B$822=B213)*('RawData'!H$2:H$822&gt;K213)*(ISERROR(SEARCH("World",'RawData'!C$2:C$822)))*(ISERROR(SEARCH("Other",'RawData'!C$2:C$822))))+1)))</f>
        <v>14</v>
      </c>
    </row>
    <row r="214" spans="1:14" x14ac:dyDescent="0.3">
      <c r="A214" s="4" t="str">
        <f>IF(ISNUMBER(SEARCH("World",'RawData'!C240)),"",'RawData'!A240)</f>
        <v>MCS2026</v>
      </c>
      <c r="B214" s="4" t="str">
        <f>IF(ISNUMBER(SEARCH("World",'RawData'!C240)),"",'RawData'!B240)</f>
        <v xml:space="preserve">Gold </v>
      </c>
      <c r="C214" s="4" t="str">
        <f>IF(ISNUMBER(SEARCH("World",'RawData'!C240)),"",'RawData'!C240)</f>
        <v>Peru</v>
      </c>
      <c r="D214" s="4" t="str">
        <f>IF(ISNUMBER(SEARCH("World",'RawData'!C240)),"",'RawData'!D240)</f>
        <v>mine production, gold content</v>
      </c>
      <c r="E214" s="4" t="str">
        <f>IF(ISNUMBER(SEARCH("World",'RawData'!C240)),"",IF('RawData'!E240="WT001","kg",IF('RawData'!E240="WT002","ton",IF('RawData'!E240="WT003","k ton",""))))</f>
        <v>ton</v>
      </c>
      <c r="F214" s="14">
        <f>IF(ISNUMBER(SEARCH("World",'RawData'!C240)),"",'RawData'!F240)</f>
        <v>108</v>
      </c>
      <c r="G214" s="14">
        <f>IF(ISNUMBER(SEARCH("World",'RawData'!C240)),"",'RawData'!G240)</f>
        <v>110</v>
      </c>
      <c r="H214" s="14">
        <f>IF(ISNUMBER(SEARCH("World",'RawData'!C240)),"",SUMIFS('RawData'!G:G,'RawData'!B:B,'RawData'!B240,'RawData'!C:C,"*World*"))</f>
        <v>3300</v>
      </c>
      <c r="I214" s="15">
        <f>IF(ISNUMBER(SEARCH("World",'RawData'!C240)),"",IFERROR(G214/H214,"-"))</f>
        <v>3.3333333333333333E-2</v>
      </c>
      <c r="J214" s="7">
        <f>IF(ISNUMBER(SEARCH("World",'RawData'!C240)),"",IF(ISNUMBER(SEARCH("Other",C214)),COUNTIFS('RawData'!B:B,B214,'RawData'!C:C,"&lt;&gt;*World*"),IF(OR(G214="",G214=0),"-",SUMPRODUCT(('RawData'!B$2:B$822=B214)*('RawData'!G$2:G$822&gt;G214)*(ISERROR(SEARCH("World",'RawData'!C$2:C$822)))*(ISERROR(SEARCH("Other",'RawData'!C$2:C$822))))+1)))</f>
        <v>10</v>
      </c>
      <c r="K214" s="14">
        <f>IF(ISNUMBER(SEARCH("World",'RawData'!C240)),"",'RawData'!H240)</f>
        <v>2200</v>
      </c>
      <c r="L214" s="14">
        <f>IF(ISNUMBER(SEARCH("World",'RawData'!C240)),"",SUMIFS('RawData'!H:H,'RawData'!B:B,'RawData'!B240,'RawData'!C:C,"*World*"))</f>
        <v>66000</v>
      </c>
      <c r="M214" s="15">
        <f>IF(ISNUMBER(SEARCH("World",'RawData'!C240)),"",IFERROR(K214/L214,"-"))</f>
        <v>3.3333333333333333E-2</v>
      </c>
      <c r="N214" s="7">
        <f>IF(ISNUMBER(SEARCH("World",'RawData'!C240)),"",IF(ISNUMBER(SEARCH("Other",C214)),COUNTIFS('RawData'!B:B,B214,'RawData'!C:C,"&lt;&gt;*World*"),IF(OR(K214="",K214=0),"-",SUMPRODUCT(('RawData'!B$2:B$822=B214)*('RawData'!H$2:H$822&gt;K214)*(ISERROR(SEARCH("World",'RawData'!C$2:C$822)))*(ISERROR(SEARCH("Other",'RawData'!C$2:C$822))))+1)))</f>
        <v>10</v>
      </c>
    </row>
    <row r="215" spans="1:14" x14ac:dyDescent="0.3">
      <c r="A215" s="4" t="str">
        <f>IF(ISNUMBER(SEARCH("World",'RawData'!C241)),"",'RawData'!A241)</f>
        <v>MCS2026</v>
      </c>
      <c r="B215" s="4" t="str">
        <f>IF(ISNUMBER(SEARCH("World",'RawData'!C241)),"",'RawData'!B241)</f>
        <v xml:space="preserve">Gold </v>
      </c>
      <c r="C215" s="4" t="str">
        <f>IF(ISNUMBER(SEARCH("World",'RawData'!C241)),"",'RawData'!C241)</f>
        <v xml:space="preserve">Russia </v>
      </c>
      <c r="D215" s="4" t="str">
        <f>IF(ISNUMBER(SEARCH("World",'RawData'!C241)),"",'RawData'!D241)</f>
        <v>mine production, gold content</v>
      </c>
      <c r="E215" s="4" t="str">
        <f>IF(ISNUMBER(SEARCH("World",'RawData'!C241)),"",IF('RawData'!E241="WT001","kg",IF('RawData'!E241="WT002","ton",IF('RawData'!E241="WT003","k ton",""))))</f>
        <v>ton</v>
      </c>
      <c r="F215" s="14">
        <f>IF(ISNUMBER(SEARCH("World",'RawData'!C241)),"",'RawData'!F241)</f>
        <v>310</v>
      </c>
      <c r="G215" s="14">
        <f>IF(ISNUMBER(SEARCH("World",'RawData'!C241)),"",'RawData'!G241)</f>
        <v>310</v>
      </c>
      <c r="H215" s="14">
        <f>IF(ISNUMBER(SEARCH("World",'RawData'!C241)),"",SUMIFS('RawData'!G:G,'RawData'!B:B,'RawData'!B241,'RawData'!C:C,"*World*"))</f>
        <v>3300</v>
      </c>
      <c r="I215" s="15">
        <f>IF(ISNUMBER(SEARCH("World",'RawData'!C241)),"",IFERROR(G215/H215,"-"))</f>
        <v>9.3939393939393934E-2</v>
      </c>
      <c r="J215" s="7">
        <f>IF(ISNUMBER(SEARCH("World",'RawData'!C241)),"",IF(ISNUMBER(SEARCH("Other",C215)),COUNTIFS('RawData'!B:B,B215,'RawData'!C:C,"&lt;&gt;*World*"),IF(OR(G215="",G215=0),"-",SUMPRODUCT(('RawData'!B$2:B$822=B215)*('RawData'!G$2:G$822&gt;G215)*(ISERROR(SEARCH("World",'RawData'!C$2:C$822)))*(ISERROR(SEARCH("Other",'RawData'!C$2:C$822))))+1)))</f>
        <v>2</v>
      </c>
      <c r="K215" s="14">
        <f>IF(ISNUMBER(SEARCH("World",'RawData'!C241)),"",'RawData'!H241)</f>
        <v>12000</v>
      </c>
      <c r="L215" s="14">
        <f>IF(ISNUMBER(SEARCH("World",'RawData'!C241)),"",SUMIFS('RawData'!H:H,'RawData'!B:B,'RawData'!B241,'RawData'!C:C,"*World*"))</f>
        <v>66000</v>
      </c>
      <c r="M215" s="15">
        <f>IF(ISNUMBER(SEARCH("World",'RawData'!C241)),"",IFERROR(K215/L215,"-"))</f>
        <v>0.18181818181818182</v>
      </c>
      <c r="N215" s="7">
        <f>IF(ISNUMBER(SEARCH("World",'RawData'!C241)),"",IF(ISNUMBER(SEARCH("Other",C215)),COUNTIFS('RawData'!B:B,B215,'RawData'!C:C,"&lt;&gt;*World*"),IF(OR(K215="",K215=0),"-",SUMPRODUCT(('RawData'!B$2:B$822=B215)*('RawData'!H$2:H$822&gt;K215)*(ISERROR(SEARCH("World",'RawData'!C$2:C$822)))*(ISERROR(SEARCH("Other",'RawData'!C$2:C$822))))+1)))</f>
        <v>2</v>
      </c>
    </row>
    <row r="216" spans="1:14" x14ac:dyDescent="0.3">
      <c r="A216" s="4" t="str">
        <f>IF(ISNUMBER(SEARCH("World",'RawData'!C242)),"",'RawData'!A242)</f>
        <v>MCS2026</v>
      </c>
      <c r="B216" s="4" t="str">
        <f>IF(ISNUMBER(SEARCH("World",'RawData'!C242)),"",'RawData'!B242)</f>
        <v xml:space="preserve">Gold </v>
      </c>
      <c r="C216" s="4" t="str">
        <f>IF(ISNUMBER(SEARCH("World",'RawData'!C242)),"",'RawData'!C242)</f>
        <v xml:space="preserve">South Africa </v>
      </c>
      <c r="D216" s="4" t="str">
        <f>IF(ISNUMBER(SEARCH("World",'RawData'!C242)),"",'RawData'!D242)</f>
        <v>mine production, gold content</v>
      </c>
      <c r="E216" s="4" t="str">
        <f>IF(ISNUMBER(SEARCH("World",'RawData'!C242)),"",IF('RawData'!E242="WT001","kg",IF('RawData'!E242="WT002","ton",IF('RawData'!E242="WT003","k ton",""))))</f>
        <v>ton</v>
      </c>
      <c r="F216" s="14">
        <f>IF(ISNUMBER(SEARCH("World",'RawData'!C242)),"",'RawData'!F242)</f>
        <v>90</v>
      </c>
      <c r="G216" s="14">
        <f>IF(ISNUMBER(SEARCH("World",'RawData'!C242)),"",'RawData'!G242)</f>
        <v>90</v>
      </c>
      <c r="H216" s="14">
        <f>IF(ISNUMBER(SEARCH("World",'RawData'!C242)),"",SUMIFS('RawData'!G:G,'RawData'!B:B,'RawData'!B242,'RawData'!C:C,"*World*"))</f>
        <v>3300</v>
      </c>
      <c r="I216" s="15">
        <f>IF(ISNUMBER(SEARCH("World",'RawData'!C242)),"",IFERROR(G216/H216,"-"))</f>
        <v>2.7272727272727271E-2</v>
      </c>
      <c r="J216" s="7">
        <f>IF(ISNUMBER(SEARCH("World",'RawData'!C242)),"",IF(ISNUMBER(SEARCH("Other",C216)),COUNTIFS('RawData'!B:B,B216,'RawData'!C:C,"&lt;&gt;*World*"),IF(OR(G216="",G216=0),"-",SUMPRODUCT(('RawData'!B$2:B$822=B216)*('RawData'!G$2:G$822&gt;G216)*(ISERROR(SEARCH("World",'RawData'!C$2:C$822)))*(ISERROR(SEARCH("Other",'RawData'!C$2:C$822))))+1)))</f>
        <v>11</v>
      </c>
      <c r="K216" s="14">
        <f>IF(ISNUMBER(SEARCH("World",'RawData'!C242)),"",'RawData'!H242)</f>
        <v>5000</v>
      </c>
      <c r="L216" s="14">
        <f>IF(ISNUMBER(SEARCH("World",'RawData'!C242)),"",SUMIFS('RawData'!H:H,'RawData'!B:B,'RawData'!B242,'RawData'!C:C,"*World*"))</f>
        <v>66000</v>
      </c>
      <c r="M216" s="15">
        <f>IF(ISNUMBER(SEARCH("World",'RawData'!C242)),"",IFERROR(K216/L216,"-"))</f>
        <v>7.575757575757576E-2</v>
      </c>
      <c r="N216" s="7">
        <f>IF(ISNUMBER(SEARCH("World",'RawData'!C242)),"",IF(ISNUMBER(SEARCH("Other",C216)),COUNTIFS('RawData'!B:B,B216,'RawData'!C:C,"&lt;&gt;*World*"),IF(OR(K216="",K216=0),"-",SUMPRODUCT(('RawData'!B$2:B$822=B216)*('RawData'!H$2:H$822&gt;K216)*(ISERROR(SEARCH("World",'RawData'!C$2:C$822)))*(ISERROR(SEARCH("Other",'RawData'!C$2:C$822))))+1)))</f>
        <v>3</v>
      </c>
    </row>
    <row r="217" spans="1:14" x14ac:dyDescent="0.3">
      <c r="A217" s="4" t="str">
        <f>IF(ISNUMBER(SEARCH("World",'RawData'!C243)),"",'RawData'!A243)</f>
        <v>MCS2026</v>
      </c>
      <c r="B217" s="4" t="str">
        <f>IF(ISNUMBER(SEARCH("World",'RawData'!C243)),"",'RawData'!B243)</f>
        <v xml:space="preserve">Gold </v>
      </c>
      <c r="C217" s="4" t="str">
        <f>IF(ISNUMBER(SEARCH("World",'RawData'!C243)),"",'RawData'!C243)</f>
        <v>United States</v>
      </c>
      <c r="D217" s="4" t="str">
        <f>IF(ISNUMBER(SEARCH("World",'RawData'!C243)),"",'RawData'!D243)</f>
        <v>mine production, gold content</v>
      </c>
      <c r="E217" s="4" t="str">
        <f>IF(ISNUMBER(SEARCH("World",'RawData'!C243)),"",IF('RawData'!E243="WT001","kg",IF('RawData'!E243="WT002","ton",IF('RawData'!E243="WT003","k ton",""))))</f>
        <v>ton</v>
      </c>
      <c r="F217" s="14">
        <f>IF(ISNUMBER(SEARCH("World",'RawData'!C243)),"",'RawData'!F243)</f>
        <v>163</v>
      </c>
      <c r="G217" s="14">
        <f>IF(ISNUMBER(SEARCH("World",'RawData'!C243)),"",'RawData'!G243)</f>
        <v>160</v>
      </c>
      <c r="H217" s="14">
        <f>IF(ISNUMBER(SEARCH("World",'RawData'!C243)),"",SUMIFS('RawData'!G:G,'RawData'!B:B,'RawData'!B243,'RawData'!C:C,"*World*"))</f>
        <v>3300</v>
      </c>
      <c r="I217" s="15">
        <f>IF(ISNUMBER(SEARCH("World",'RawData'!C243)),"",IFERROR(G217/H217,"-"))</f>
        <v>4.8484848484848485E-2</v>
      </c>
      <c r="J217" s="7">
        <f>IF(ISNUMBER(SEARCH("World",'RawData'!C243)),"",IF(ISNUMBER(SEARCH("Other",C217)),COUNTIFS('RawData'!B:B,B217,'RawData'!C:C,"&lt;&gt;*World*"),IF(OR(G217="",G217=0),"-",SUMPRODUCT(('RawData'!B$2:B$822=B217)*('RawData'!G$2:G$822&gt;G217)*(ISERROR(SEARCH("World",'RawData'!C$2:C$822)))*(ISERROR(SEARCH("Other",'RawData'!C$2:C$822))))+1)))</f>
        <v>5</v>
      </c>
      <c r="K217" s="14">
        <f>IF(ISNUMBER(SEARCH("World",'RawData'!C243)),"",'RawData'!H243)</f>
        <v>3000</v>
      </c>
      <c r="L217" s="14">
        <f>IF(ISNUMBER(SEARCH("World",'RawData'!C243)),"",SUMIFS('RawData'!H:H,'RawData'!B:B,'RawData'!B243,'RawData'!C:C,"*World*"))</f>
        <v>66000</v>
      </c>
      <c r="M217" s="15">
        <f>IF(ISNUMBER(SEARCH("World",'RawData'!C243)),"",IFERROR(K217/L217,"-"))</f>
        <v>4.5454545454545456E-2</v>
      </c>
      <c r="N217" s="7">
        <f>IF(ISNUMBER(SEARCH("World",'RawData'!C243)),"",IF(ISNUMBER(SEARCH("Other",C217)),COUNTIFS('RawData'!B:B,B217,'RawData'!C:C,"&lt;&gt;*World*"),IF(OR(K217="",K217=0),"-",SUMPRODUCT(('RawData'!B$2:B$822=B217)*('RawData'!H$2:H$822&gt;K217)*(ISERROR(SEARCH("World",'RawData'!C$2:C$822)))*(ISERROR(SEARCH("Other",'RawData'!C$2:C$822))))+1)))</f>
        <v>7</v>
      </c>
    </row>
    <row r="218" spans="1:14" x14ac:dyDescent="0.3">
      <c r="A218" s="4" t="str">
        <f>IF(ISNUMBER(SEARCH("World",'RawData'!C244)),"",'RawData'!A244)</f>
        <v>MCS2026</v>
      </c>
      <c r="B218" s="4" t="str">
        <f>IF(ISNUMBER(SEARCH("World",'RawData'!C244)),"",'RawData'!B244)</f>
        <v xml:space="preserve">Gold </v>
      </c>
      <c r="C218" s="4" t="str">
        <f>IF(ISNUMBER(SEARCH("World",'RawData'!C244)),"",'RawData'!C244)</f>
        <v>Uzbekistan</v>
      </c>
      <c r="D218" s="4" t="str">
        <f>IF(ISNUMBER(SEARCH("World",'RawData'!C244)),"",'RawData'!D244)</f>
        <v>mine production, gold content</v>
      </c>
      <c r="E218" s="4" t="str">
        <f>IF(ISNUMBER(SEARCH("World",'RawData'!C244)),"",IF('RawData'!E244="WT001","kg",IF('RawData'!E244="WT002","ton",IF('RawData'!E244="WT003","k ton",""))))</f>
        <v>ton</v>
      </c>
      <c r="F218" s="14">
        <f>IF(ISNUMBER(SEARCH("World",'RawData'!C244)),"",'RawData'!F244)</f>
        <v>129</v>
      </c>
      <c r="G218" s="14">
        <f>IF(ISNUMBER(SEARCH("World",'RawData'!C244)),"",'RawData'!G244)</f>
        <v>130</v>
      </c>
      <c r="H218" s="14">
        <f>IF(ISNUMBER(SEARCH("World",'RawData'!C244)),"",SUMIFS('RawData'!G:G,'RawData'!B:B,'RawData'!B244,'RawData'!C:C,"*World*"))</f>
        <v>3300</v>
      </c>
      <c r="I218" s="15">
        <f>IF(ISNUMBER(SEARCH("World",'RawData'!C244)),"",IFERROR(G218/H218,"-"))</f>
        <v>3.9393939393939391E-2</v>
      </c>
      <c r="J218" s="7">
        <f>IF(ISNUMBER(SEARCH("World",'RawData'!C244)),"",IF(ISNUMBER(SEARCH("Other",C218)),COUNTIFS('RawData'!B:B,B218,'RawData'!C:C,"&lt;&gt;*World*"),IF(OR(G218="",G218=0),"-",SUMPRODUCT(('RawData'!B$2:B$822=B218)*('RawData'!G$2:G$822&gt;G218)*(ISERROR(SEARCH("World",'RawData'!C$2:C$822)))*(ISERROR(SEARCH("Other",'RawData'!C$2:C$822))))+1)))</f>
        <v>8</v>
      </c>
      <c r="K218" s="14">
        <f>IF(ISNUMBER(SEARCH("World",'RawData'!C244)),"",'RawData'!H244)</f>
        <v>2200</v>
      </c>
      <c r="L218" s="14">
        <f>IF(ISNUMBER(SEARCH("World",'RawData'!C244)),"",SUMIFS('RawData'!H:H,'RawData'!B:B,'RawData'!B244,'RawData'!C:C,"*World*"))</f>
        <v>66000</v>
      </c>
      <c r="M218" s="15">
        <f>IF(ISNUMBER(SEARCH("World",'RawData'!C244)),"",IFERROR(K218/L218,"-"))</f>
        <v>3.3333333333333333E-2</v>
      </c>
      <c r="N218" s="7">
        <f>IF(ISNUMBER(SEARCH("World",'RawData'!C244)),"",IF(ISNUMBER(SEARCH("Other",C218)),COUNTIFS('RawData'!B:B,B218,'RawData'!C:C,"&lt;&gt;*World*"),IF(OR(K218="",K218=0),"-",SUMPRODUCT(('RawData'!B$2:B$822=B218)*('RawData'!H$2:H$822&gt;K218)*(ISERROR(SEARCH("World",'RawData'!C$2:C$822)))*(ISERROR(SEARCH("Other",'RawData'!C$2:C$822))))+1)))</f>
        <v>10</v>
      </c>
    </row>
    <row r="219" spans="1:14" x14ac:dyDescent="0.3">
      <c r="A219" s="4" t="str">
        <f>IF(ISNUMBER(SEARCH("World",'RawData'!C246)),"",'RawData'!A246)</f>
        <v>MCS2026</v>
      </c>
      <c r="B219" s="4" t="str">
        <f>IF(ISNUMBER(SEARCH("World",'RawData'!C246)),"",'RawData'!B246)</f>
        <v>Graphite</v>
      </c>
      <c r="C219" s="4" t="str">
        <f>IF(ISNUMBER(SEARCH("World",'RawData'!C246)),"",'RawData'!C246)</f>
        <v>Austria</v>
      </c>
      <c r="D219" s="4" t="str">
        <f>IF(ISNUMBER(SEARCH("World",'RawData'!C246)),"",'RawData'!D246)</f>
        <v>Mine production</v>
      </c>
      <c r="E219" s="4" t="str">
        <f>IF(ISNUMBER(SEARCH("World",'RawData'!C246)),"",IF('RawData'!E246="WT001","kg",IF('RawData'!E246="WT002","ton",IF('RawData'!E246="WT003","k ton",""))))</f>
        <v>ton</v>
      </c>
      <c r="F219" s="14">
        <f>IF(ISNUMBER(SEARCH("World",'RawData'!C246)),"",'RawData'!F246)</f>
        <v>100</v>
      </c>
      <c r="G219" s="14">
        <f>IF(ISNUMBER(SEARCH("World",'RawData'!C246)),"",'RawData'!G246)</f>
        <v>200</v>
      </c>
      <c r="H219" s="14">
        <f>IF(ISNUMBER(SEARCH("World",'RawData'!C246)),"",SUMIFS('RawData'!G:G,'RawData'!B:B,'RawData'!B246,'RawData'!C:C,"*World*"))</f>
        <v>1800000</v>
      </c>
      <c r="I219" s="15">
        <f>IF(ISNUMBER(SEARCH("World",'RawData'!C246)),"",IFERROR(G219/H219,"-"))</f>
        <v>1.1111111111111112E-4</v>
      </c>
      <c r="J219" s="7">
        <f>IF(ISNUMBER(SEARCH("World",'RawData'!C246)),"",IF(ISNUMBER(SEARCH("Other",C219)),COUNTIFS('RawData'!B:B,B219,'RawData'!C:C,"&lt;&gt;*World*"),IF(OR(G219="",G219=0),"-",SUMPRODUCT(('RawData'!B$2:B$822=B219)*('RawData'!G$2:G$822&gt;G219)*(ISERROR(SEARCH("World",'RawData'!C$2:C$822)))*(ISERROR(SEARCH("Other",'RawData'!C$2:C$822))))+1)))</f>
        <v>17</v>
      </c>
      <c r="K219" s="14">
        <f>IF(ISNUMBER(SEARCH("World",'RawData'!C246)),"",'RawData'!H246)</f>
        <v>0</v>
      </c>
      <c r="L219" s="14">
        <f>IF(ISNUMBER(SEARCH("World",'RawData'!C246)),"",SUMIFS('RawData'!H:H,'RawData'!B:B,'RawData'!B246,'RawData'!C:C,"*World*"))</f>
        <v>310000000</v>
      </c>
      <c r="M219" s="15">
        <f>IF(ISNUMBER(SEARCH("World",'RawData'!C246)),"",IFERROR(K219/L219,"-"))</f>
        <v>0</v>
      </c>
      <c r="N219" s="7" t="str">
        <f>IF(ISNUMBER(SEARCH("World",'RawData'!C246)),"",IF(ISNUMBER(SEARCH("Other",C219)),COUNTIFS('RawData'!B:B,B219,'RawData'!C:C,"&lt;&gt;*World*"),IF(OR(K219="",K219=0),"-",SUMPRODUCT(('RawData'!B$2:B$822=B219)*('RawData'!H$2:H$822&gt;K219)*(ISERROR(SEARCH("World",'RawData'!C$2:C$822)))*(ISERROR(SEARCH("Other",'RawData'!C$2:C$822))))+1)))</f>
        <v>-</v>
      </c>
    </row>
    <row r="220" spans="1:14" x14ac:dyDescent="0.3">
      <c r="A220" s="4" t="str">
        <f>IF(ISNUMBER(SEARCH("World",'RawData'!C247)),"",'RawData'!A247)</f>
        <v>MCS2026</v>
      </c>
      <c r="B220" s="4" t="str">
        <f>IF(ISNUMBER(SEARCH("World",'RawData'!C247)),"",'RawData'!B247)</f>
        <v>Graphite</v>
      </c>
      <c r="C220" s="4" t="str">
        <f>IF(ISNUMBER(SEARCH("World",'RawData'!C247)),"",'RawData'!C247)</f>
        <v>Brazil</v>
      </c>
      <c r="D220" s="4" t="str">
        <f>IF(ISNUMBER(SEARCH("World",'RawData'!C247)),"",'RawData'!D247)</f>
        <v>Mine production</v>
      </c>
      <c r="E220" s="4" t="str">
        <f>IF(ISNUMBER(SEARCH("World",'RawData'!C247)),"",IF('RawData'!E247="WT001","kg",IF('RawData'!E247="WT002","ton",IF('RawData'!E247="WT003","k ton",""))))</f>
        <v>ton</v>
      </c>
      <c r="F220" s="14">
        <f>IF(ISNUMBER(SEARCH("World",'RawData'!C247)),"",'RawData'!F247)</f>
        <v>58000</v>
      </c>
      <c r="G220" s="14">
        <f>IF(ISNUMBER(SEARCH("World",'RawData'!C247)),"",'RawData'!G247)</f>
        <v>65000</v>
      </c>
      <c r="H220" s="14">
        <f>IF(ISNUMBER(SEARCH("World",'RawData'!C247)),"",SUMIFS('RawData'!G:G,'RawData'!B:B,'RawData'!B247,'RawData'!C:C,"*World*"))</f>
        <v>1800000</v>
      </c>
      <c r="I220" s="15">
        <f>IF(ISNUMBER(SEARCH("World",'RawData'!C247)),"",IFERROR(G220/H220,"-"))</f>
        <v>3.6111111111111108E-2</v>
      </c>
      <c r="J220" s="7">
        <f>IF(ISNUMBER(SEARCH("World",'RawData'!C247)),"",IF(ISNUMBER(SEARCH("Other",C220)),COUNTIFS('RawData'!B:B,B220,'RawData'!C:C,"&lt;&gt;*World*"),IF(OR(G220="",G220=0),"-",SUMPRODUCT(('RawData'!B$2:B$822=B220)*('RawData'!G$2:G$822&gt;G220)*(ISERROR(SEARCH("World",'RawData'!C$2:C$822)))*(ISERROR(SEARCH("Other",'RawData'!C$2:C$822))))+1)))</f>
        <v>4</v>
      </c>
      <c r="K220" s="14">
        <f>IF(ISNUMBER(SEARCH("World",'RawData'!C247)),"",'RawData'!H247)</f>
        <v>74000000</v>
      </c>
      <c r="L220" s="14">
        <f>IF(ISNUMBER(SEARCH("World",'RawData'!C247)),"",SUMIFS('RawData'!H:H,'RawData'!B:B,'RawData'!B247,'RawData'!C:C,"*World*"))</f>
        <v>310000000</v>
      </c>
      <c r="M220" s="15">
        <f>IF(ISNUMBER(SEARCH("World",'RawData'!C247)),"",IFERROR(K220/L220,"-"))</f>
        <v>0.23870967741935484</v>
      </c>
      <c r="N220" s="7">
        <f>IF(ISNUMBER(SEARCH("World",'RawData'!C247)),"",IF(ISNUMBER(SEARCH("Other",C220)),COUNTIFS('RawData'!B:B,B220,'RawData'!C:C,"&lt;&gt;*World*"),IF(OR(K220="",K220=0),"-",SUMPRODUCT(('RawData'!B$2:B$822=B220)*('RawData'!H$2:H$822&gt;K220)*(ISERROR(SEARCH("World",'RawData'!C$2:C$822)))*(ISERROR(SEARCH("Other",'RawData'!C$2:C$822))))+1)))</f>
        <v>2</v>
      </c>
    </row>
    <row r="221" spans="1:14" x14ac:dyDescent="0.3">
      <c r="A221" s="4" t="str">
        <f>IF(ISNUMBER(SEARCH("World",'RawData'!C248)),"",'RawData'!A248)</f>
        <v>MCS2026</v>
      </c>
      <c r="B221" s="4" t="str">
        <f>IF(ISNUMBER(SEARCH("World",'RawData'!C248)),"",'RawData'!B248)</f>
        <v>Graphite</v>
      </c>
      <c r="C221" s="4" t="str">
        <f>IF(ISNUMBER(SEARCH("World",'RawData'!C248)),"",'RawData'!C248)</f>
        <v xml:space="preserve">Canada </v>
      </c>
      <c r="D221" s="4" t="str">
        <f>IF(ISNUMBER(SEARCH("World",'RawData'!C248)),"",'RawData'!D248)</f>
        <v>Mine production</v>
      </c>
      <c r="E221" s="4" t="str">
        <f>IF(ISNUMBER(SEARCH("World",'RawData'!C248)),"",IF('RawData'!E248="WT001","kg",IF('RawData'!E248="WT002","ton",IF('RawData'!E248="WT003","k ton",""))))</f>
        <v>ton</v>
      </c>
      <c r="F221" s="14">
        <f>IF(ISNUMBER(SEARCH("World",'RawData'!C248)),"",'RawData'!F248)</f>
        <v>11700</v>
      </c>
      <c r="G221" s="14">
        <f>IF(ISNUMBER(SEARCH("World",'RawData'!C248)),"",'RawData'!G248)</f>
        <v>8000</v>
      </c>
      <c r="H221" s="14">
        <f>IF(ISNUMBER(SEARCH("World",'RawData'!C248)),"",SUMIFS('RawData'!G:G,'RawData'!B:B,'RawData'!B248,'RawData'!C:C,"*World*"))</f>
        <v>1800000</v>
      </c>
      <c r="I221" s="15">
        <f>IF(ISNUMBER(SEARCH("World",'RawData'!C248)),"",IFERROR(G221/H221,"-"))</f>
        <v>4.4444444444444444E-3</v>
      </c>
      <c r="J221" s="7">
        <f>IF(ISNUMBER(SEARCH("World",'RawData'!C248)),"",IF(ISNUMBER(SEARCH("Other",C221)),COUNTIFS('RawData'!B:B,B221,'RawData'!C:C,"&lt;&gt;*World*"),IF(OR(G221="",G221=0),"-",SUMPRODUCT(('RawData'!B$2:B$822=B221)*('RawData'!G$2:G$822&gt;G221)*(ISERROR(SEARCH("World",'RawData'!C$2:C$822)))*(ISERROR(SEARCH("Other",'RawData'!C$2:C$822))))+1)))</f>
        <v>8</v>
      </c>
      <c r="K221" s="14">
        <f>IF(ISNUMBER(SEARCH("World",'RawData'!C248)),"",'RawData'!H248)</f>
        <v>5900000</v>
      </c>
      <c r="L221" s="14">
        <f>IF(ISNUMBER(SEARCH("World",'RawData'!C248)),"",SUMIFS('RawData'!H:H,'RawData'!B:B,'RawData'!B248,'RawData'!C:C,"*World*"))</f>
        <v>310000000</v>
      </c>
      <c r="M221" s="15">
        <f>IF(ISNUMBER(SEARCH("World",'RawData'!C248)),"",IFERROR(K221/L221,"-"))</f>
        <v>1.9032258064516128E-2</v>
      </c>
      <c r="N221" s="7">
        <f>IF(ISNUMBER(SEARCH("World",'RawData'!C248)),"",IF(ISNUMBER(SEARCH("Other",C221)),COUNTIFS('RawData'!B:B,B221,'RawData'!C:C,"&lt;&gt;*World*"),IF(OR(K221="",K221=0),"-",SUMPRODUCT(('RawData'!B$2:B$822=B221)*('RawData'!H$2:H$822&gt;K221)*(ISERROR(SEARCH("World",'RawData'!C$2:C$822)))*(ISERROR(SEARCH("Other",'RawData'!C$2:C$822))))+1)))</f>
        <v>10</v>
      </c>
    </row>
    <row r="222" spans="1:14" x14ac:dyDescent="0.3">
      <c r="A222" s="4" t="str">
        <f>IF(ISNUMBER(SEARCH("World",'RawData'!C249)),"",'RawData'!A249)</f>
        <v>MCS2026</v>
      </c>
      <c r="B222" s="4" t="str">
        <f>IF(ISNUMBER(SEARCH("World",'RawData'!C249)),"",'RawData'!B249)</f>
        <v>Graphite</v>
      </c>
      <c r="C222" s="4" t="str">
        <f>IF(ISNUMBER(SEARCH("World",'RawData'!C249)),"",'RawData'!C249)</f>
        <v>China</v>
      </c>
      <c r="D222" s="4" t="str">
        <f>IF(ISNUMBER(SEARCH("World",'RawData'!C249)),"",'RawData'!D249)</f>
        <v>Mine production</v>
      </c>
      <c r="E222" s="4" t="str">
        <f>IF(ISNUMBER(SEARCH("World",'RawData'!C249)),"",IF('RawData'!E249="WT001","kg",IF('RawData'!E249="WT002","ton",IF('RawData'!E249="WT003","k ton",""))))</f>
        <v>ton</v>
      </c>
      <c r="F222" s="14">
        <f>IF(ISNUMBER(SEARCH("World",'RawData'!C249)),"",'RawData'!F249)</f>
        <v>1270000</v>
      </c>
      <c r="G222" s="14">
        <f>IF(ISNUMBER(SEARCH("World",'RawData'!C249)),"",'RawData'!G249)</f>
        <v>1400000</v>
      </c>
      <c r="H222" s="14">
        <f>IF(ISNUMBER(SEARCH("World",'RawData'!C249)),"",SUMIFS('RawData'!G:G,'RawData'!B:B,'RawData'!B249,'RawData'!C:C,"*World*"))</f>
        <v>1800000</v>
      </c>
      <c r="I222" s="15">
        <f>IF(ISNUMBER(SEARCH("World",'RawData'!C249)),"",IFERROR(G222/H222,"-"))</f>
        <v>0.77777777777777779</v>
      </c>
      <c r="J222" s="7">
        <f>IF(ISNUMBER(SEARCH("World",'RawData'!C249)),"",IF(ISNUMBER(SEARCH("Other",C222)),COUNTIFS('RawData'!B:B,B222,'RawData'!C:C,"&lt;&gt;*World*"),IF(OR(G222="",G222=0),"-",SUMPRODUCT(('RawData'!B$2:B$822=B222)*('RawData'!G$2:G$822&gt;G222)*(ISERROR(SEARCH("World",'RawData'!C$2:C$822)))*(ISERROR(SEARCH("Other",'RawData'!C$2:C$822))))+1)))</f>
        <v>1</v>
      </c>
      <c r="K222" s="14">
        <f>IF(ISNUMBER(SEARCH("World",'RawData'!C249)),"",'RawData'!H249)</f>
        <v>100000000</v>
      </c>
      <c r="L222" s="14">
        <f>IF(ISNUMBER(SEARCH("World",'RawData'!C249)),"",SUMIFS('RawData'!H:H,'RawData'!B:B,'RawData'!B249,'RawData'!C:C,"*World*"))</f>
        <v>310000000</v>
      </c>
      <c r="M222" s="15">
        <f>IF(ISNUMBER(SEARCH("World",'RawData'!C249)),"",IFERROR(K222/L222,"-"))</f>
        <v>0.32258064516129031</v>
      </c>
      <c r="N222" s="7">
        <f>IF(ISNUMBER(SEARCH("World",'RawData'!C249)),"",IF(ISNUMBER(SEARCH("Other",C222)),COUNTIFS('RawData'!B:B,B222,'RawData'!C:C,"&lt;&gt;*World*"),IF(OR(K222="",K222=0),"-",SUMPRODUCT(('RawData'!B$2:B$822=B222)*('RawData'!H$2:H$822&gt;K222)*(ISERROR(SEARCH("World",'RawData'!C$2:C$822)))*(ISERROR(SEARCH("Other",'RawData'!C$2:C$822))))+1)))</f>
        <v>1</v>
      </c>
    </row>
    <row r="223" spans="1:14" x14ac:dyDescent="0.3">
      <c r="A223" s="4" t="str">
        <f>IF(ISNUMBER(SEARCH("World",'RawData'!C250)),"",'RawData'!A250)</f>
        <v>MCS2026</v>
      </c>
      <c r="B223" s="4" t="str">
        <f>IF(ISNUMBER(SEARCH("World",'RawData'!C250)),"",'RawData'!B250)</f>
        <v>Graphite</v>
      </c>
      <c r="C223" s="4" t="str">
        <f>IF(ISNUMBER(SEARCH("World",'RawData'!C250)),"",'RawData'!C250)</f>
        <v>Germany</v>
      </c>
      <c r="D223" s="4" t="str">
        <f>IF(ISNUMBER(SEARCH("World",'RawData'!C250)),"",'RawData'!D250)</f>
        <v>Mine production</v>
      </c>
      <c r="E223" s="4" t="str">
        <f>IF(ISNUMBER(SEARCH("World",'RawData'!C250)),"",IF('RawData'!E250="WT001","kg",IF('RawData'!E250="WT002","ton",IF('RawData'!E250="WT003","k ton",""))))</f>
        <v>ton</v>
      </c>
      <c r="F223" s="14">
        <f>IF(ISNUMBER(SEARCH("World",'RawData'!C250)),"",'RawData'!F250)</f>
        <v>140</v>
      </c>
      <c r="G223" s="14">
        <f>IF(ISNUMBER(SEARCH("World",'RawData'!C250)),"",'RawData'!G250)</f>
        <v>140</v>
      </c>
      <c r="H223" s="14">
        <f>IF(ISNUMBER(SEARCH("World",'RawData'!C250)),"",SUMIFS('RawData'!G:G,'RawData'!B:B,'RawData'!B250,'RawData'!C:C,"*World*"))</f>
        <v>1800000</v>
      </c>
      <c r="I223" s="15">
        <f>IF(ISNUMBER(SEARCH("World",'RawData'!C250)),"",IFERROR(G223/H223,"-"))</f>
        <v>7.7777777777777782E-5</v>
      </c>
      <c r="J223" s="7">
        <f>IF(ISNUMBER(SEARCH("World",'RawData'!C250)),"",IF(ISNUMBER(SEARCH("Other",C223)),COUNTIFS('RawData'!B:B,B223,'RawData'!C:C,"&lt;&gt;*World*"),IF(OR(G223="",G223=0),"-",SUMPRODUCT(('RawData'!B$2:B$822=B223)*('RawData'!G$2:G$822&gt;G223)*(ISERROR(SEARCH("World",'RawData'!C$2:C$822)))*(ISERROR(SEARCH("Other",'RawData'!C$2:C$822))))+1)))</f>
        <v>18</v>
      </c>
      <c r="K223" s="14">
        <f>IF(ISNUMBER(SEARCH("World",'RawData'!C250)),"",'RawData'!H250)</f>
        <v>0</v>
      </c>
      <c r="L223" s="14">
        <f>IF(ISNUMBER(SEARCH("World",'RawData'!C250)),"",SUMIFS('RawData'!H:H,'RawData'!B:B,'RawData'!B250,'RawData'!C:C,"*World*"))</f>
        <v>310000000</v>
      </c>
      <c r="M223" s="15">
        <f>IF(ISNUMBER(SEARCH("World",'RawData'!C250)),"",IFERROR(K223/L223,"-"))</f>
        <v>0</v>
      </c>
      <c r="N223" s="7" t="str">
        <f>IF(ISNUMBER(SEARCH("World",'RawData'!C250)),"",IF(ISNUMBER(SEARCH("Other",C223)),COUNTIFS('RawData'!B:B,B223,'RawData'!C:C,"&lt;&gt;*World*"),IF(OR(K223="",K223=0),"-",SUMPRODUCT(('RawData'!B$2:B$822=B223)*('RawData'!H$2:H$822&gt;K223)*(ISERROR(SEARCH("World",'RawData'!C$2:C$822)))*(ISERROR(SEARCH("Other",'RawData'!C$2:C$822))))+1)))</f>
        <v>-</v>
      </c>
    </row>
    <row r="224" spans="1:14" x14ac:dyDescent="0.3">
      <c r="A224" s="4" t="str">
        <f>IF(ISNUMBER(SEARCH("World",'RawData'!C251)),"",'RawData'!A251)</f>
        <v>MCS2026</v>
      </c>
      <c r="B224" s="4" t="str">
        <f>IF(ISNUMBER(SEARCH("World",'RawData'!C251)),"",'RawData'!B251)</f>
        <v>Graphite</v>
      </c>
      <c r="C224" s="4" t="str">
        <f>IF(ISNUMBER(SEARCH("World",'RawData'!C251)),"",'RawData'!C251)</f>
        <v>India</v>
      </c>
      <c r="D224" s="4" t="str">
        <f>IF(ISNUMBER(SEARCH("World",'RawData'!C251)),"",'RawData'!D251)</f>
        <v>Mine production</v>
      </c>
      <c r="E224" s="4" t="str">
        <f>IF(ISNUMBER(SEARCH("World",'RawData'!C251)),"",IF('RawData'!E251="WT001","kg",IF('RawData'!E251="WT002","ton",IF('RawData'!E251="WT003","k ton",""))))</f>
        <v>ton</v>
      </c>
      <c r="F224" s="14">
        <f>IF(ISNUMBER(SEARCH("World",'RawData'!C251)),"",'RawData'!F251)</f>
        <v>17600</v>
      </c>
      <c r="G224" s="14">
        <f>IF(ISNUMBER(SEARCH("World",'RawData'!C251)),"",'RawData'!G251)</f>
        <v>17000</v>
      </c>
      <c r="H224" s="14">
        <f>IF(ISNUMBER(SEARCH("World",'RawData'!C251)),"",SUMIFS('RawData'!G:G,'RawData'!B:B,'RawData'!B251,'RawData'!C:C,"*World*"))</f>
        <v>1800000</v>
      </c>
      <c r="I224" s="15">
        <f>IF(ISNUMBER(SEARCH("World",'RawData'!C251)),"",IFERROR(G224/H224,"-"))</f>
        <v>9.4444444444444445E-3</v>
      </c>
      <c r="J224" s="7">
        <f>IF(ISNUMBER(SEARCH("World",'RawData'!C251)),"",IF(ISNUMBER(SEARCH("Other",C224)),COUNTIFS('RawData'!B:B,B224,'RawData'!C:C,"&lt;&gt;*World*"),IF(OR(G224="",G224=0),"-",SUMPRODUCT(('RawData'!B$2:B$822=B224)*('RawData'!G$2:G$822&gt;G224)*(ISERROR(SEARCH("World",'RawData'!C$2:C$822)))*(ISERROR(SEARCH("Other",'RawData'!C$2:C$822))))+1)))</f>
        <v>7</v>
      </c>
      <c r="K224" s="14">
        <f>IF(ISNUMBER(SEARCH("World",'RawData'!C251)),"",'RawData'!H251)</f>
        <v>8600000</v>
      </c>
      <c r="L224" s="14">
        <f>IF(ISNUMBER(SEARCH("World",'RawData'!C251)),"",SUMIFS('RawData'!H:H,'RawData'!B:B,'RawData'!B251,'RawData'!C:C,"*World*"))</f>
        <v>310000000</v>
      </c>
      <c r="M224" s="15">
        <f>IF(ISNUMBER(SEARCH("World",'RawData'!C251)),"",IFERROR(K224/L224,"-"))</f>
        <v>2.7741935483870966E-2</v>
      </c>
      <c r="N224" s="7">
        <f>IF(ISNUMBER(SEARCH("World",'RawData'!C251)),"",IF(ISNUMBER(SEARCH("Other",C224)),COUNTIFS('RawData'!B:B,B224,'RawData'!C:C,"&lt;&gt;*World*"),IF(OR(K224="",K224=0),"-",SUMPRODUCT(('RawData'!B$2:B$822=B224)*('RawData'!H$2:H$822&gt;K224)*(ISERROR(SEARCH("World",'RawData'!C$2:C$822)))*(ISERROR(SEARCH("Other",'RawData'!C$2:C$822))))+1)))</f>
        <v>8</v>
      </c>
    </row>
    <row r="225" spans="1:14" x14ac:dyDescent="0.3">
      <c r="A225" s="4" t="str">
        <f>IF(ISNUMBER(SEARCH("World",'RawData'!C252)),"",'RawData'!A252)</f>
        <v>MCS2026</v>
      </c>
      <c r="B225" s="4" t="str">
        <f>IF(ISNUMBER(SEARCH("World",'RawData'!C252)),"",'RawData'!B252)</f>
        <v>Graphite</v>
      </c>
      <c r="C225" s="4" t="str">
        <f>IF(ISNUMBER(SEARCH("World",'RawData'!C252)),"",'RawData'!C252)</f>
        <v>Madagascar</v>
      </c>
      <c r="D225" s="4" t="str">
        <f>IF(ISNUMBER(SEARCH("World",'RawData'!C252)),"",'RawData'!D252)</f>
        <v>Mine production</v>
      </c>
      <c r="E225" s="4" t="str">
        <f>IF(ISNUMBER(SEARCH("World",'RawData'!C252)),"",IF('RawData'!E252="WT001","kg",IF('RawData'!E252="WT002","ton",IF('RawData'!E252="WT003","k ton",""))))</f>
        <v>ton</v>
      </c>
      <c r="F225" s="14">
        <f>IF(ISNUMBER(SEARCH("World",'RawData'!C252)),"",'RawData'!F252)</f>
        <v>85000</v>
      </c>
      <c r="G225" s="14">
        <f>IF(ISNUMBER(SEARCH("World",'RawData'!C252)),"",'RawData'!G252)</f>
        <v>80000</v>
      </c>
      <c r="H225" s="14">
        <f>IF(ISNUMBER(SEARCH("World",'RawData'!C252)),"",SUMIFS('RawData'!G:G,'RawData'!B:B,'RawData'!B252,'RawData'!C:C,"*World*"))</f>
        <v>1800000</v>
      </c>
      <c r="I225" s="15">
        <f>IF(ISNUMBER(SEARCH("World",'RawData'!C252)),"",IFERROR(G225/H225,"-"))</f>
        <v>4.4444444444444446E-2</v>
      </c>
      <c r="J225" s="7">
        <f>IF(ISNUMBER(SEARCH("World",'RawData'!C252)),"",IF(ISNUMBER(SEARCH("Other",C225)),COUNTIFS('RawData'!B:B,B225,'RawData'!C:C,"&lt;&gt;*World*"),IF(OR(G225="",G225=0),"-",SUMPRODUCT(('RawData'!B$2:B$822=B225)*('RawData'!G$2:G$822&gt;G225)*(ISERROR(SEARCH("World",'RawData'!C$2:C$822)))*(ISERROR(SEARCH("Other",'RawData'!C$2:C$822))))+1)))</f>
        <v>2</v>
      </c>
      <c r="K225" s="14">
        <f>IF(ISNUMBER(SEARCH("World",'RawData'!C252)),"",'RawData'!H252)</f>
        <v>27000000</v>
      </c>
      <c r="L225" s="14">
        <f>IF(ISNUMBER(SEARCH("World",'RawData'!C252)),"",SUMIFS('RawData'!H:H,'RawData'!B:B,'RawData'!B252,'RawData'!C:C,"*World*"))</f>
        <v>310000000</v>
      </c>
      <c r="M225" s="15">
        <f>IF(ISNUMBER(SEARCH("World",'RawData'!C252)),"",IFERROR(K225/L225,"-"))</f>
        <v>8.7096774193548387E-2</v>
      </c>
      <c r="N225" s="7">
        <f>IF(ISNUMBER(SEARCH("World",'RawData'!C252)),"",IF(ISNUMBER(SEARCH("Other",C225)),COUNTIFS('RawData'!B:B,B225,'RawData'!C:C,"&lt;&gt;*World*"),IF(OR(K225="",K225=0),"-",SUMPRODUCT(('RawData'!B$2:B$822=B225)*('RawData'!H$2:H$822&gt;K225)*(ISERROR(SEARCH("World",'RawData'!C$2:C$822)))*(ISERROR(SEARCH("Other",'RawData'!C$2:C$822))))+1)))</f>
        <v>3</v>
      </c>
    </row>
    <row r="226" spans="1:14" x14ac:dyDescent="0.3">
      <c r="A226" s="4" t="str">
        <f>IF(ISNUMBER(SEARCH("World",'RawData'!C253)),"",'RawData'!A253)</f>
        <v>MCS2026</v>
      </c>
      <c r="B226" s="4" t="str">
        <f>IF(ISNUMBER(SEARCH("World",'RawData'!C253)),"",'RawData'!B253)</f>
        <v>Graphite</v>
      </c>
      <c r="C226" s="4" t="str">
        <f>IF(ISNUMBER(SEARCH("World",'RawData'!C253)),"",'RawData'!C253)</f>
        <v>Mexico</v>
      </c>
      <c r="D226" s="4" t="str">
        <f>IF(ISNUMBER(SEARCH("World",'RawData'!C253)),"",'RawData'!D253)</f>
        <v>Mine production</v>
      </c>
      <c r="E226" s="4" t="str">
        <f>IF(ISNUMBER(SEARCH("World",'RawData'!C253)),"",IF('RawData'!E253="WT001","kg",IF('RawData'!E253="WT002","ton",IF('RawData'!E253="WT003","k ton",""))))</f>
        <v>ton</v>
      </c>
      <c r="F226" s="14">
        <f>IF(ISNUMBER(SEARCH("World",'RawData'!C253)),"",'RawData'!F253)</f>
        <v>706</v>
      </c>
      <c r="G226" s="14">
        <f>IF(ISNUMBER(SEARCH("World",'RawData'!C253)),"",'RawData'!G253)</f>
        <v>740</v>
      </c>
      <c r="H226" s="14">
        <f>IF(ISNUMBER(SEARCH("World",'RawData'!C253)),"",SUMIFS('RawData'!G:G,'RawData'!B:B,'RawData'!B253,'RawData'!C:C,"*World*"))</f>
        <v>1800000</v>
      </c>
      <c r="I226" s="15">
        <f>IF(ISNUMBER(SEARCH("World",'RawData'!C253)),"",IFERROR(G226/H226,"-"))</f>
        <v>4.1111111111111112E-4</v>
      </c>
      <c r="J226" s="7">
        <f>IF(ISNUMBER(SEARCH("World",'RawData'!C253)),"",IF(ISNUMBER(SEARCH("Other",C226)),COUNTIFS('RawData'!B:B,B226,'RawData'!C:C,"&lt;&gt;*World*"),IF(OR(G226="",G226=0),"-",SUMPRODUCT(('RawData'!B$2:B$822=B226)*('RawData'!G$2:G$822&gt;G226)*(ISERROR(SEARCH("World",'RawData'!C$2:C$822)))*(ISERROR(SEARCH("Other",'RawData'!C$2:C$822))))+1)))</f>
        <v>14</v>
      </c>
      <c r="K226" s="14">
        <f>IF(ISNUMBER(SEARCH("World",'RawData'!C253)),"",'RawData'!H253)</f>
        <v>3100000</v>
      </c>
      <c r="L226" s="14">
        <f>IF(ISNUMBER(SEARCH("World",'RawData'!C253)),"",SUMIFS('RawData'!H:H,'RawData'!B:B,'RawData'!B253,'RawData'!C:C,"*World*"))</f>
        <v>310000000</v>
      </c>
      <c r="M226" s="15">
        <f>IF(ISNUMBER(SEARCH("World",'RawData'!C253)),"",IFERROR(K226/L226,"-"))</f>
        <v>0.01</v>
      </c>
      <c r="N226" s="7">
        <f>IF(ISNUMBER(SEARCH("World",'RawData'!C253)),"",IF(ISNUMBER(SEARCH("Other",C226)),COUNTIFS('RawData'!B:B,B226,'RawData'!C:C,"&lt;&gt;*World*"),IF(OR(K226="",K226=0),"-",SUMPRODUCT(('RawData'!B$2:B$822=B226)*('RawData'!H$2:H$822&gt;K226)*(ISERROR(SEARCH("World",'RawData'!C$2:C$822)))*(ISERROR(SEARCH("Other",'RawData'!C$2:C$822))))+1)))</f>
        <v>11</v>
      </c>
    </row>
    <row r="227" spans="1:14" x14ac:dyDescent="0.3">
      <c r="A227" s="4" t="str">
        <f>IF(ISNUMBER(SEARCH("World",'RawData'!C254)),"",'RawData'!A254)</f>
        <v>MCS2026</v>
      </c>
      <c r="B227" s="4" t="str">
        <f>IF(ISNUMBER(SEARCH("World",'RawData'!C254)),"",'RawData'!B254)</f>
        <v>Graphite</v>
      </c>
      <c r="C227" s="4" t="str">
        <f>IF(ISNUMBER(SEARCH("World",'RawData'!C254)),"",'RawData'!C254)</f>
        <v>Mozambique</v>
      </c>
      <c r="D227" s="4" t="str">
        <f>IF(ISNUMBER(SEARCH("World",'RawData'!C254)),"",'RawData'!D254)</f>
        <v>Mine production</v>
      </c>
      <c r="E227" s="4" t="str">
        <f>IF(ISNUMBER(SEARCH("World",'RawData'!C254)),"",IF('RawData'!E254="WT001","kg",IF('RawData'!E254="WT002","ton",IF('RawData'!E254="WT003","k ton",""))))</f>
        <v>ton</v>
      </c>
      <c r="F227" s="14">
        <f>IF(ISNUMBER(SEARCH("World",'RawData'!C254)),"",'RawData'!F254)</f>
        <v>39000</v>
      </c>
      <c r="G227" s="14">
        <f>IF(ISNUMBER(SEARCH("World",'RawData'!C254)),"",'RawData'!G254)</f>
        <v>60000</v>
      </c>
      <c r="H227" s="14">
        <f>IF(ISNUMBER(SEARCH("World",'RawData'!C254)),"",SUMIFS('RawData'!G:G,'RawData'!B:B,'RawData'!B254,'RawData'!C:C,"*World*"))</f>
        <v>1800000</v>
      </c>
      <c r="I227" s="15">
        <f>IF(ISNUMBER(SEARCH("World",'RawData'!C254)),"",IFERROR(G227/H227,"-"))</f>
        <v>3.3333333333333333E-2</v>
      </c>
      <c r="J227" s="7">
        <f>IF(ISNUMBER(SEARCH("World",'RawData'!C254)),"",IF(ISNUMBER(SEARCH("Other",C227)),COUNTIFS('RawData'!B:B,B227,'RawData'!C:C,"&lt;&gt;*World*"),IF(OR(G227="",G227=0),"-",SUMPRODUCT(('RawData'!B$2:B$822=B227)*('RawData'!G$2:G$822&gt;G227)*(ISERROR(SEARCH("World",'RawData'!C$2:C$822)))*(ISERROR(SEARCH("Other",'RawData'!C$2:C$822))))+1)))</f>
        <v>5</v>
      </c>
      <c r="K227" s="14">
        <f>IF(ISNUMBER(SEARCH("World",'RawData'!C254)),"",'RawData'!H254)</f>
        <v>25000000</v>
      </c>
      <c r="L227" s="14">
        <f>IF(ISNUMBER(SEARCH("World",'RawData'!C254)),"",SUMIFS('RawData'!H:H,'RawData'!B:B,'RawData'!B254,'RawData'!C:C,"*World*"))</f>
        <v>310000000</v>
      </c>
      <c r="M227" s="15">
        <f>IF(ISNUMBER(SEARCH("World",'RawData'!C254)),"",IFERROR(K227/L227,"-"))</f>
        <v>8.0645161290322578E-2</v>
      </c>
      <c r="N227" s="7">
        <f>IF(ISNUMBER(SEARCH("World",'RawData'!C254)),"",IF(ISNUMBER(SEARCH("Other",C227)),COUNTIFS('RawData'!B:B,B227,'RawData'!C:C,"&lt;&gt;*World*"),IF(OR(K227="",K227=0),"-",SUMPRODUCT(('RawData'!B$2:B$822=B227)*('RawData'!H$2:H$822&gt;K227)*(ISERROR(SEARCH("World",'RawData'!C$2:C$822)))*(ISERROR(SEARCH("Other",'RawData'!C$2:C$822))))+1)))</f>
        <v>4</v>
      </c>
    </row>
    <row r="228" spans="1:14" x14ac:dyDescent="0.3">
      <c r="A228" s="4" t="str">
        <f>IF(ISNUMBER(SEARCH("World",'RawData'!C255)),"",'RawData'!A255)</f>
        <v>MCS2026</v>
      </c>
      <c r="B228" s="4" t="str">
        <f>IF(ISNUMBER(SEARCH("World",'RawData'!C255)),"",'RawData'!B255)</f>
        <v>Graphite</v>
      </c>
      <c r="C228" s="4" t="str">
        <f>IF(ISNUMBER(SEARCH("World",'RawData'!C255)),"",'RawData'!C255)</f>
        <v>North Korea</v>
      </c>
      <c r="D228" s="4" t="str">
        <f>IF(ISNUMBER(SEARCH("World",'RawData'!C255)),"",'RawData'!D255)</f>
        <v>Mine production</v>
      </c>
      <c r="E228" s="4" t="str">
        <f>IF(ISNUMBER(SEARCH("World",'RawData'!C255)),"",IF('RawData'!E255="WT001","kg",IF('RawData'!E255="WT002","ton",IF('RawData'!E255="WT003","k ton",""))))</f>
        <v>ton</v>
      </c>
      <c r="F228" s="14">
        <f>IF(ISNUMBER(SEARCH("World",'RawData'!C255)),"",'RawData'!F255)</f>
        <v>8100</v>
      </c>
      <c r="G228" s="14">
        <f>IF(ISNUMBER(SEARCH("World",'RawData'!C255)),"",'RawData'!G255)</f>
        <v>8000</v>
      </c>
      <c r="H228" s="14">
        <f>IF(ISNUMBER(SEARCH("World",'RawData'!C255)),"",SUMIFS('RawData'!G:G,'RawData'!B:B,'RawData'!B255,'RawData'!C:C,"*World*"))</f>
        <v>1800000</v>
      </c>
      <c r="I228" s="15">
        <f>IF(ISNUMBER(SEARCH("World",'RawData'!C255)),"",IFERROR(G228/H228,"-"))</f>
        <v>4.4444444444444444E-3</v>
      </c>
      <c r="J228" s="7">
        <f>IF(ISNUMBER(SEARCH("World",'RawData'!C255)),"",IF(ISNUMBER(SEARCH("Other",C228)),COUNTIFS('RawData'!B:B,B228,'RawData'!C:C,"&lt;&gt;*World*"),IF(OR(G228="",G228=0),"-",SUMPRODUCT(('RawData'!B$2:B$822=B228)*('RawData'!G$2:G$822&gt;G228)*(ISERROR(SEARCH("World",'RawData'!C$2:C$822)))*(ISERROR(SEARCH("Other",'RawData'!C$2:C$822))))+1)))</f>
        <v>8</v>
      </c>
      <c r="K228" s="14">
        <f>IF(ISNUMBER(SEARCH("World",'RawData'!C255)),"",'RawData'!H255)</f>
        <v>2000000</v>
      </c>
      <c r="L228" s="14">
        <f>IF(ISNUMBER(SEARCH("World",'RawData'!C255)),"",SUMIFS('RawData'!H:H,'RawData'!B:B,'RawData'!B255,'RawData'!C:C,"*World*"))</f>
        <v>310000000</v>
      </c>
      <c r="M228" s="15">
        <f>IF(ISNUMBER(SEARCH("World",'RawData'!C255)),"",IFERROR(K228/L228,"-"))</f>
        <v>6.4516129032258064E-3</v>
      </c>
      <c r="N228" s="7">
        <f>IF(ISNUMBER(SEARCH("World",'RawData'!C255)),"",IF(ISNUMBER(SEARCH("Other",C228)),COUNTIFS('RawData'!B:B,B228,'RawData'!C:C,"&lt;&gt;*World*"),IF(OR(K228="",K228=0),"-",SUMPRODUCT(('RawData'!B$2:B$822=B228)*('RawData'!H$2:H$822&gt;K228)*(ISERROR(SEARCH("World",'RawData'!C$2:C$822)))*(ISERROR(SEARCH("Other",'RawData'!C$2:C$822))))+1)))</f>
        <v>12</v>
      </c>
    </row>
    <row r="229" spans="1:14" x14ac:dyDescent="0.3">
      <c r="A229" s="4" t="str">
        <f>IF(ISNUMBER(SEARCH("World",'RawData'!C256)),"",'RawData'!A256)</f>
        <v>MCS2026</v>
      </c>
      <c r="B229" s="4" t="str">
        <f>IF(ISNUMBER(SEARCH("World",'RawData'!C256)),"",'RawData'!B256)</f>
        <v>Graphite</v>
      </c>
      <c r="C229" s="4" t="str">
        <f>IF(ISNUMBER(SEARCH("World",'RawData'!C256)),"",'RawData'!C256)</f>
        <v>Norway</v>
      </c>
      <c r="D229" s="4" t="str">
        <f>IF(ISNUMBER(SEARCH("World",'RawData'!C256)),"",'RawData'!D256)</f>
        <v>Mine production</v>
      </c>
      <c r="E229" s="4" t="str">
        <f>IF(ISNUMBER(SEARCH("World",'RawData'!C256)),"",IF('RawData'!E256="WT001","kg",IF('RawData'!E256="WT002","ton",IF('RawData'!E256="WT003","k ton",""))))</f>
        <v>ton</v>
      </c>
      <c r="F229" s="14">
        <f>IF(ISNUMBER(SEARCH("World",'RawData'!C256)),"",'RawData'!F256)</f>
        <v>5340</v>
      </c>
      <c r="G229" s="14">
        <f>IF(ISNUMBER(SEARCH("World",'RawData'!C256)),"",'RawData'!G256)</f>
        <v>6600</v>
      </c>
      <c r="H229" s="14">
        <f>IF(ISNUMBER(SEARCH("World",'RawData'!C256)),"",SUMIFS('RawData'!G:G,'RawData'!B:B,'RawData'!B256,'RawData'!C:C,"*World*"))</f>
        <v>1800000</v>
      </c>
      <c r="I229" s="15">
        <f>IF(ISNUMBER(SEARCH("World",'RawData'!C256)),"",IFERROR(G229/H229,"-"))</f>
        <v>3.6666666666666666E-3</v>
      </c>
      <c r="J229" s="7">
        <f>IF(ISNUMBER(SEARCH("World",'RawData'!C256)),"",IF(ISNUMBER(SEARCH("Other",C229)),COUNTIFS('RawData'!B:B,B229,'RawData'!C:C,"&lt;&gt;*World*"),IF(OR(G229="",G229=0),"-",SUMPRODUCT(('RawData'!B$2:B$822=B229)*('RawData'!G$2:G$822&gt;G229)*(ISERROR(SEARCH("World",'RawData'!C$2:C$822)))*(ISERROR(SEARCH("Other",'RawData'!C$2:C$822))))+1)))</f>
        <v>10</v>
      </c>
      <c r="K229" s="14">
        <f>IF(ISNUMBER(SEARCH("World",'RawData'!C256)),"",'RawData'!H256)</f>
        <v>600000</v>
      </c>
      <c r="L229" s="14">
        <f>IF(ISNUMBER(SEARCH("World",'RawData'!C256)),"",SUMIFS('RawData'!H:H,'RawData'!B:B,'RawData'!B256,'RawData'!C:C,"*World*"))</f>
        <v>310000000</v>
      </c>
      <c r="M229" s="15">
        <f>IF(ISNUMBER(SEARCH("World",'RawData'!C256)),"",IFERROR(K229/L229,"-"))</f>
        <v>1.9354838709677419E-3</v>
      </c>
      <c r="N229" s="7">
        <f>IF(ISNUMBER(SEARCH("World",'RawData'!C256)),"",IF(ISNUMBER(SEARCH("Other",C229)),COUNTIFS('RawData'!B:B,B229,'RawData'!C:C,"&lt;&gt;*World*"),IF(OR(K229="",K229=0),"-",SUMPRODUCT(('RawData'!B$2:B$822=B229)*('RawData'!H$2:H$822&gt;K229)*(ISERROR(SEARCH("World",'RawData'!C$2:C$822)))*(ISERROR(SEARCH("Other",'RawData'!C$2:C$822))))+1)))</f>
        <v>15</v>
      </c>
    </row>
    <row r="230" spans="1:14" x14ac:dyDescent="0.3">
      <c r="A230" s="4" t="str">
        <f>IF(ISNUMBER(SEARCH("World",'RawData'!C257)),"",'RawData'!A257)</f>
        <v>MCS2026</v>
      </c>
      <c r="B230" s="4" t="str">
        <f>IF(ISNUMBER(SEARCH("World",'RawData'!C257)),"",'RawData'!B257)</f>
        <v>Graphite</v>
      </c>
      <c r="C230" s="4" t="str">
        <f>IF(ISNUMBER(SEARCH("World",'RawData'!C257)),"",'RawData'!C257)</f>
        <v>Turkiye</v>
      </c>
      <c r="D230" s="4" t="str">
        <f>IF(ISNUMBER(SEARCH("World",'RawData'!C257)),"",'RawData'!D257)</f>
        <v>Mine production</v>
      </c>
      <c r="E230" s="4" t="str">
        <f>IF(ISNUMBER(SEARCH("World",'RawData'!C257)),"",IF('RawData'!E257="WT001","kg",IF('RawData'!E257="WT002","ton",IF('RawData'!E257="WT003","k ton",""))))</f>
        <v>ton</v>
      </c>
      <c r="F230" s="14">
        <f>IF(ISNUMBER(SEARCH("World",'RawData'!C257)),"",'RawData'!F257)</f>
        <v>2600</v>
      </c>
      <c r="G230" s="14">
        <f>IF(ISNUMBER(SEARCH("World",'RawData'!C257)),"",'RawData'!G257)</f>
        <v>2200</v>
      </c>
      <c r="H230" s="14">
        <f>IF(ISNUMBER(SEARCH("World",'RawData'!C257)),"",SUMIFS('RawData'!G:G,'RawData'!B:B,'RawData'!B257,'RawData'!C:C,"*World*"))</f>
        <v>1800000</v>
      </c>
      <c r="I230" s="15">
        <f>IF(ISNUMBER(SEARCH("World",'RawData'!C257)),"",IFERROR(G230/H230,"-"))</f>
        <v>1.2222222222222222E-3</v>
      </c>
      <c r="J230" s="7">
        <f>IF(ISNUMBER(SEARCH("World",'RawData'!C257)),"",IF(ISNUMBER(SEARCH("Other",C230)),COUNTIFS('RawData'!B:B,B230,'RawData'!C:C,"&lt;&gt;*World*"),IF(OR(G230="",G230=0),"-",SUMPRODUCT(('RawData'!B$2:B$822=B230)*('RawData'!G$2:G$822&gt;G230)*(ISERROR(SEARCH("World",'RawData'!C$2:C$822)))*(ISERROR(SEARCH("Other",'RawData'!C$2:C$822))))+1)))</f>
        <v>12</v>
      </c>
      <c r="K230" s="14">
        <f>IF(ISNUMBER(SEARCH("World",'RawData'!C257)),"",'RawData'!H257)</f>
        <v>6900000</v>
      </c>
      <c r="L230" s="14">
        <f>IF(ISNUMBER(SEARCH("World",'RawData'!C257)),"",SUMIFS('RawData'!H:H,'RawData'!B:B,'RawData'!B257,'RawData'!C:C,"*World*"))</f>
        <v>310000000</v>
      </c>
      <c r="M230" s="15">
        <f>IF(ISNUMBER(SEARCH("World",'RawData'!C257)),"",IFERROR(K230/L230,"-"))</f>
        <v>2.2258064516129033E-2</v>
      </c>
      <c r="N230" s="7">
        <f>IF(ISNUMBER(SEARCH("World",'RawData'!C257)),"",IF(ISNUMBER(SEARCH("Other",C230)),COUNTIFS('RawData'!B:B,B230,'RawData'!C:C,"&lt;&gt;*World*"),IF(OR(K230="",K230=0),"-",SUMPRODUCT(('RawData'!B$2:B$822=B230)*('RawData'!H$2:H$822&gt;K230)*(ISERROR(SEARCH("World",'RawData'!C$2:C$822)))*(ISERROR(SEARCH("Other",'RawData'!C$2:C$822))))+1)))</f>
        <v>9</v>
      </c>
    </row>
    <row r="231" spans="1:14" x14ac:dyDescent="0.3">
      <c r="A231" s="4" t="str">
        <f>IF(ISNUMBER(SEARCH("World",'RawData'!C258)),"",'RawData'!A258)</f>
        <v>MCS2026</v>
      </c>
      <c r="B231" s="4" t="str">
        <f>IF(ISNUMBER(SEARCH("World",'RawData'!C258)),"",'RawData'!B258)</f>
        <v>Graphite</v>
      </c>
      <c r="C231" s="4" t="str">
        <f>IF(ISNUMBER(SEARCH("World",'RawData'!C258)),"",'RawData'!C258)</f>
        <v xml:space="preserve">Russia </v>
      </c>
      <c r="D231" s="4" t="str">
        <f>IF(ISNUMBER(SEARCH("World",'RawData'!C258)),"",'RawData'!D258)</f>
        <v>Mine production</v>
      </c>
      <c r="E231" s="4" t="str">
        <f>IF(ISNUMBER(SEARCH("World",'RawData'!C258)),"",IF('RawData'!E258="WT001","kg",IF('RawData'!E258="WT002","ton",IF('RawData'!E258="WT003","k ton",""))))</f>
        <v>ton</v>
      </c>
      <c r="F231" s="14">
        <f>IF(ISNUMBER(SEARCH("World",'RawData'!C258)),"",'RawData'!F258)</f>
        <v>20000</v>
      </c>
      <c r="G231" s="14">
        <f>IF(ISNUMBER(SEARCH("World",'RawData'!C258)),"",'RawData'!G258)</f>
        <v>25000</v>
      </c>
      <c r="H231" s="14">
        <f>IF(ISNUMBER(SEARCH("World",'RawData'!C258)),"",SUMIFS('RawData'!G:G,'RawData'!B:B,'RawData'!B258,'RawData'!C:C,"*World*"))</f>
        <v>1800000</v>
      </c>
      <c r="I231" s="15">
        <f>IF(ISNUMBER(SEARCH("World",'RawData'!C258)),"",IFERROR(G231/H231,"-"))</f>
        <v>1.3888888888888888E-2</v>
      </c>
      <c r="J231" s="7">
        <f>IF(ISNUMBER(SEARCH("World",'RawData'!C258)),"",IF(ISNUMBER(SEARCH("Other",C231)),COUNTIFS('RawData'!B:B,B231,'RawData'!C:C,"&lt;&gt;*World*"),IF(OR(G231="",G231=0),"-",SUMPRODUCT(('RawData'!B$2:B$822=B231)*('RawData'!G$2:G$822&gt;G231)*(ISERROR(SEARCH("World",'RawData'!C$2:C$822)))*(ISERROR(SEARCH("Other",'RawData'!C$2:C$822))))+1)))</f>
        <v>6</v>
      </c>
      <c r="K231" s="14">
        <f>IF(ISNUMBER(SEARCH("World",'RawData'!C258)),"",'RawData'!H258)</f>
        <v>14000000</v>
      </c>
      <c r="L231" s="14">
        <f>IF(ISNUMBER(SEARCH("World",'RawData'!C258)),"",SUMIFS('RawData'!H:H,'RawData'!B:B,'RawData'!B258,'RawData'!C:C,"*World*"))</f>
        <v>310000000</v>
      </c>
      <c r="M231" s="15">
        <f>IF(ISNUMBER(SEARCH("World",'RawData'!C258)),"",IFERROR(K231/L231,"-"))</f>
        <v>4.5161290322580643E-2</v>
      </c>
      <c r="N231" s="7">
        <f>IF(ISNUMBER(SEARCH("World",'RawData'!C258)),"",IF(ISNUMBER(SEARCH("Other",C231)),COUNTIFS('RawData'!B:B,B231,'RawData'!C:C,"&lt;&gt;*World*"),IF(OR(K231="",K231=0),"-",SUMPRODUCT(('RawData'!B$2:B$822=B231)*('RawData'!H$2:H$822&gt;K231)*(ISERROR(SEARCH("World",'RawData'!C$2:C$822)))*(ISERROR(SEARCH("Other",'RawData'!C$2:C$822))))+1)))</f>
        <v>6</v>
      </c>
    </row>
    <row r="232" spans="1:14" x14ac:dyDescent="0.3">
      <c r="A232" s="4" t="str">
        <f>IF(ISNUMBER(SEARCH("World",'RawData'!C259)),"",'RawData'!A259)</f>
        <v>MCS2026</v>
      </c>
      <c r="B232" s="4" t="str">
        <f>IF(ISNUMBER(SEARCH("World",'RawData'!C259)),"",'RawData'!B259)</f>
        <v>Graphite</v>
      </c>
      <c r="C232" s="4" t="str">
        <f>IF(ISNUMBER(SEARCH("World",'RawData'!C259)),"",'RawData'!C259)</f>
        <v>South Korea</v>
      </c>
      <c r="D232" s="4" t="str">
        <f>IF(ISNUMBER(SEARCH("World",'RawData'!C259)),"",'RawData'!D259)</f>
        <v>Mine production</v>
      </c>
      <c r="E232" s="4" t="str">
        <f>IF(ISNUMBER(SEARCH("World",'RawData'!C259)),"",IF('RawData'!E259="WT001","kg",IF('RawData'!E259="WT002","ton",IF('RawData'!E259="WT003","k ton",""))))</f>
        <v>ton</v>
      </c>
      <c r="F232" s="14">
        <f>IF(ISNUMBER(SEARCH("World",'RawData'!C259)),"",'RawData'!F259)</f>
        <v>1000</v>
      </c>
      <c r="G232" s="14">
        <f>IF(ISNUMBER(SEARCH("World",'RawData'!C259)),"",'RawData'!G259)</f>
        <v>500</v>
      </c>
      <c r="H232" s="14">
        <f>IF(ISNUMBER(SEARCH("World",'RawData'!C259)),"",SUMIFS('RawData'!G:G,'RawData'!B:B,'RawData'!B259,'RawData'!C:C,"*World*"))</f>
        <v>1800000</v>
      </c>
      <c r="I232" s="15">
        <f>IF(ISNUMBER(SEARCH("World",'RawData'!C259)),"",IFERROR(G232/H232,"-"))</f>
        <v>2.7777777777777778E-4</v>
      </c>
      <c r="J232" s="7">
        <f>IF(ISNUMBER(SEARCH("World",'RawData'!C259)),"",IF(ISNUMBER(SEARCH("Other",C232)),COUNTIFS('RawData'!B:B,B232,'RawData'!C:C,"&lt;&gt;*World*"),IF(OR(G232="",G232=0),"-",SUMPRODUCT(('RawData'!B$2:B$822=B232)*('RawData'!G$2:G$822&gt;G232)*(ISERROR(SEARCH("World",'RawData'!C$2:C$822)))*(ISERROR(SEARCH("Other",'RawData'!C$2:C$822))))+1)))</f>
        <v>15</v>
      </c>
      <c r="K232" s="14">
        <f>IF(ISNUMBER(SEARCH("World",'RawData'!C259)),"",'RawData'!H259)</f>
        <v>1800000</v>
      </c>
      <c r="L232" s="14">
        <f>IF(ISNUMBER(SEARCH("World",'RawData'!C259)),"",SUMIFS('RawData'!H:H,'RawData'!B:B,'RawData'!B259,'RawData'!C:C,"*World*"))</f>
        <v>310000000</v>
      </c>
      <c r="M232" s="15">
        <f>IF(ISNUMBER(SEARCH("World",'RawData'!C259)),"",IFERROR(K232/L232,"-"))</f>
        <v>5.8064516129032262E-3</v>
      </c>
      <c r="N232" s="7">
        <f>IF(ISNUMBER(SEARCH("World",'RawData'!C259)),"",IF(ISNUMBER(SEARCH("Other",C232)),COUNTIFS('RawData'!B:B,B232,'RawData'!C:C,"&lt;&gt;*World*"),IF(OR(K232="",K232=0),"-",SUMPRODUCT(('RawData'!B$2:B$822=B232)*('RawData'!H$2:H$822&gt;K232)*(ISERROR(SEARCH("World",'RawData'!C$2:C$822)))*(ISERROR(SEARCH("Other",'RawData'!C$2:C$822))))+1)))</f>
        <v>13</v>
      </c>
    </row>
    <row r="233" spans="1:14" x14ac:dyDescent="0.3">
      <c r="A233" s="4" t="str">
        <f>IF(ISNUMBER(SEARCH("World",'RawData'!C260)),"",'RawData'!A260)</f>
        <v>MCS2026</v>
      </c>
      <c r="B233" s="4" t="str">
        <f>IF(ISNUMBER(SEARCH("World",'RawData'!C260)),"",'RawData'!B260)</f>
        <v>Graphite</v>
      </c>
      <c r="C233" s="4" t="str">
        <f>IF(ISNUMBER(SEARCH("World",'RawData'!C260)),"",'RawData'!C260)</f>
        <v>Sri Lanka</v>
      </c>
      <c r="D233" s="4" t="str">
        <f>IF(ISNUMBER(SEARCH("World",'RawData'!C260)),"",'RawData'!D260)</f>
        <v>Mine production</v>
      </c>
      <c r="E233" s="4" t="str">
        <f>IF(ISNUMBER(SEARCH("World",'RawData'!C260)),"",IF('RawData'!E260="WT001","kg",IF('RawData'!E260="WT002","ton",IF('RawData'!E260="WT003","k ton",""))))</f>
        <v>ton</v>
      </c>
      <c r="F233" s="14">
        <f>IF(ISNUMBER(SEARCH("World",'RawData'!C260)),"",'RawData'!F260)</f>
        <v>3000</v>
      </c>
      <c r="G233" s="14">
        <f>IF(ISNUMBER(SEARCH("World",'RawData'!C260)),"",'RawData'!G260)</f>
        <v>3200</v>
      </c>
      <c r="H233" s="14">
        <f>IF(ISNUMBER(SEARCH("World",'RawData'!C260)),"",SUMIFS('RawData'!G:G,'RawData'!B:B,'RawData'!B260,'RawData'!C:C,"*World*"))</f>
        <v>1800000</v>
      </c>
      <c r="I233" s="15">
        <f>IF(ISNUMBER(SEARCH("World",'RawData'!C260)),"",IFERROR(G233/H233,"-"))</f>
        <v>1.7777777777777779E-3</v>
      </c>
      <c r="J233" s="7">
        <f>IF(ISNUMBER(SEARCH("World",'RawData'!C260)),"",IF(ISNUMBER(SEARCH("Other",C233)),COUNTIFS('RawData'!B:B,B233,'RawData'!C:C,"&lt;&gt;*World*"),IF(OR(G233="",G233=0),"-",SUMPRODUCT(('RawData'!B$2:B$822=B233)*('RawData'!G$2:G$822&gt;G233)*(ISERROR(SEARCH("World",'RawData'!C$2:C$822)))*(ISERROR(SEARCH("Other",'RawData'!C$2:C$822))))+1)))</f>
        <v>11</v>
      </c>
      <c r="K233" s="14">
        <f>IF(ISNUMBER(SEARCH("World",'RawData'!C260)),"",'RawData'!H260)</f>
        <v>1500000</v>
      </c>
      <c r="L233" s="14">
        <f>IF(ISNUMBER(SEARCH("World",'RawData'!C260)),"",SUMIFS('RawData'!H:H,'RawData'!B:B,'RawData'!B260,'RawData'!C:C,"*World*"))</f>
        <v>310000000</v>
      </c>
      <c r="M233" s="15">
        <f>IF(ISNUMBER(SEARCH("World",'RawData'!C260)),"",IFERROR(K233/L233,"-"))</f>
        <v>4.8387096774193551E-3</v>
      </c>
      <c r="N233" s="7">
        <f>IF(ISNUMBER(SEARCH("World",'RawData'!C260)),"",IF(ISNUMBER(SEARCH("Other",C233)),COUNTIFS('RawData'!B:B,B233,'RawData'!C:C,"&lt;&gt;*World*"),IF(OR(K233="",K233=0),"-",SUMPRODUCT(('RawData'!B$2:B$822=B233)*('RawData'!H$2:H$822&gt;K233)*(ISERROR(SEARCH("World",'RawData'!C$2:C$822)))*(ISERROR(SEARCH("Other",'RawData'!C$2:C$822))))+1)))</f>
        <v>14</v>
      </c>
    </row>
    <row r="234" spans="1:14" x14ac:dyDescent="0.3">
      <c r="A234" s="4" t="str">
        <f>IF(ISNUMBER(SEARCH("World",'RawData'!C261)),"",'RawData'!A261)</f>
        <v>MCS2026</v>
      </c>
      <c r="B234" s="4" t="str">
        <f>IF(ISNUMBER(SEARCH("World",'RawData'!C261)),"",'RawData'!B261)</f>
        <v>Graphite</v>
      </c>
      <c r="C234" s="4" t="str">
        <f>IF(ISNUMBER(SEARCH("World",'RawData'!C261)),"",'RawData'!C261)</f>
        <v>Tanzania</v>
      </c>
      <c r="D234" s="4" t="str">
        <f>IF(ISNUMBER(SEARCH("World",'RawData'!C261)),"",'RawData'!D261)</f>
        <v>Mine production</v>
      </c>
      <c r="E234" s="4" t="str">
        <f>IF(ISNUMBER(SEARCH("World",'RawData'!C261)),"",IF('RawData'!E261="WT001","kg",IF('RawData'!E261="WT002","ton",IF('RawData'!E261="WT003","k ton",""))))</f>
        <v>ton</v>
      </c>
      <c r="F234" s="14">
        <f>IF(ISNUMBER(SEARCH("World",'RawData'!C261)),"",'RawData'!F261)</f>
        <v>27000</v>
      </c>
      <c r="G234" s="14">
        <f>IF(ISNUMBER(SEARCH("World",'RawData'!C261)),"",'RawData'!G261)</f>
        <v>75000</v>
      </c>
      <c r="H234" s="14">
        <f>IF(ISNUMBER(SEARCH("World",'RawData'!C261)),"",SUMIFS('RawData'!G:G,'RawData'!B:B,'RawData'!B261,'RawData'!C:C,"*World*"))</f>
        <v>1800000</v>
      </c>
      <c r="I234" s="15">
        <f>IF(ISNUMBER(SEARCH("World",'RawData'!C261)),"",IFERROR(G234/H234,"-"))</f>
        <v>4.1666666666666664E-2</v>
      </c>
      <c r="J234" s="7">
        <f>IF(ISNUMBER(SEARCH("World",'RawData'!C261)),"",IF(ISNUMBER(SEARCH("Other",C234)),COUNTIFS('RawData'!B:B,B234,'RawData'!C:C,"&lt;&gt;*World*"),IF(OR(G234="",G234=0),"-",SUMPRODUCT(('RawData'!B$2:B$822=B234)*('RawData'!G$2:G$822&gt;G234)*(ISERROR(SEARCH("World",'RawData'!C$2:C$822)))*(ISERROR(SEARCH("Other",'RawData'!C$2:C$822))))+1)))</f>
        <v>3</v>
      </c>
      <c r="K234" s="14">
        <f>IF(ISNUMBER(SEARCH("World",'RawData'!C261)),"",'RawData'!H261)</f>
        <v>18000000</v>
      </c>
      <c r="L234" s="14">
        <f>IF(ISNUMBER(SEARCH("World",'RawData'!C261)),"",SUMIFS('RawData'!H:H,'RawData'!B:B,'RawData'!B261,'RawData'!C:C,"*World*"))</f>
        <v>310000000</v>
      </c>
      <c r="M234" s="15">
        <f>IF(ISNUMBER(SEARCH("World",'RawData'!C261)),"",IFERROR(K234/L234,"-"))</f>
        <v>5.8064516129032261E-2</v>
      </c>
      <c r="N234" s="7">
        <f>IF(ISNUMBER(SEARCH("World",'RawData'!C261)),"",IF(ISNUMBER(SEARCH("Other",C234)),COUNTIFS('RawData'!B:B,B234,'RawData'!C:C,"&lt;&gt;*World*"),IF(OR(K234="",K234=0),"-",SUMPRODUCT(('RawData'!B$2:B$822=B234)*('RawData'!H$2:H$822&gt;K234)*(ISERROR(SEARCH("World",'RawData'!C$2:C$822)))*(ISERROR(SEARCH("Other",'RawData'!C$2:C$822))))+1)))</f>
        <v>5</v>
      </c>
    </row>
    <row r="235" spans="1:14" x14ac:dyDescent="0.3">
      <c r="A235" s="4" t="str">
        <f>IF(ISNUMBER(SEARCH("World",'RawData'!C262)),"",'RawData'!A262)</f>
        <v>MCS2026</v>
      </c>
      <c r="B235" s="4" t="str">
        <f>IF(ISNUMBER(SEARCH("World",'RawData'!C262)),"",'RawData'!B262)</f>
        <v>Graphite</v>
      </c>
      <c r="C235" s="4" t="str">
        <f>IF(ISNUMBER(SEARCH("World",'RawData'!C262)),"",'RawData'!C262)</f>
        <v>Ukraine</v>
      </c>
      <c r="D235" s="4" t="str">
        <f>IF(ISNUMBER(SEARCH("World",'RawData'!C262)),"",'RawData'!D262)</f>
        <v>Mine production</v>
      </c>
      <c r="E235" s="4" t="str">
        <f>IF(ISNUMBER(SEARCH("World",'RawData'!C262)),"",IF('RawData'!E262="WT001","kg",IF('RawData'!E262="WT002","ton",IF('RawData'!E262="WT003","k ton",""))))</f>
        <v>ton</v>
      </c>
      <c r="F235" s="14">
        <f>IF(ISNUMBER(SEARCH("World",'RawData'!C262)),"",'RawData'!F262)</f>
        <v>900</v>
      </c>
      <c r="G235" s="14">
        <f>IF(ISNUMBER(SEARCH("World",'RawData'!C262)),"",'RawData'!G262)</f>
        <v>800</v>
      </c>
      <c r="H235" s="14">
        <f>IF(ISNUMBER(SEARCH("World",'RawData'!C262)),"",SUMIFS('RawData'!G:G,'RawData'!B:B,'RawData'!B262,'RawData'!C:C,"*World*"))</f>
        <v>1800000</v>
      </c>
      <c r="I235" s="15">
        <f>IF(ISNUMBER(SEARCH("World",'RawData'!C262)),"",IFERROR(G235/H235,"-"))</f>
        <v>4.4444444444444447E-4</v>
      </c>
      <c r="J235" s="7">
        <f>IF(ISNUMBER(SEARCH("World",'RawData'!C262)),"",IF(ISNUMBER(SEARCH("Other",C235)),COUNTIFS('RawData'!B:B,B235,'RawData'!C:C,"&lt;&gt;*World*"),IF(OR(G235="",G235=0),"-",SUMPRODUCT(('RawData'!B$2:B$822=B235)*('RawData'!G$2:G$822&gt;G235)*(ISERROR(SEARCH("World",'RawData'!C$2:C$822)))*(ISERROR(SEARCH("Other",'RawData'!C$2:C$822))))+1)))</f>
        <v>13</v>
      </c>
      <c r="K235" s="14">
        <f>IF(ISNUMBER(SEARCH("World",'RawData'!C262)),"",'RawData'!H262)</f>
        <v>0</v>
      </c>
      <c r="L235" s="14">
        <f>IF(ISNUMBER(SEARCH("World",'RawData'!C262)),"",SUMIFS('RawData'!H:H,'RawData'!B:B,'RawData'!B262,'RawData'!C:C,"*World*"))</f>
        <v>310000000</v>
      </c>
      <c r="M235" s="15">
        <f>IF(ISNUMBER(SEARCH("World",'RawData'!C262)),"",IFERROR(K235/L235,"-"))</f>
        <v>0</v>
      </c>
      <c r="N235" s="7" t="str">
        <f>IF(ISNUMBER(SEARCH("World",'RawData'!C262)),"",IF(ISNUMBER(SEARCH("Other",C235)),COUNTIFS('RawData'!B:B,B235,'RawData'!C:C,"&lt;&gt;*World*"),IF(OR(K235="",K235=0),"-",SUMPRODUCT(('RawData'!B$2:B$822=B235)*('RawData'!H$2:H$822&gt;K235)*(ISERROR(SEARCH("World",'RawData'!C$2:C$822)))*(ISERROR(SEARCH("Other",'RawData'!C$2:C$822))))+1)))</f>
        <v>-</v>
      </c>
    </row>
    <row r="236" spans="1:14" x14ac:dyDescent="0.3">
      <c r="A236" s="4" t="str">
        <f>IF(ISNUMBER(SEARCH("World",'RawData'!C263)),"",'RawData'!A263)</f>
        <v>MCS2026</v>
      </c>
      <c r="B236" s="4" t="str">
        <f>IF(ISNUMBER(SEARCH("World",'RawData'!C263)),"",'RawData'!B263)</f>
        <v>Graphite</v>
      </c>
      <c r="C236" s="4" t="str">
        <f>IF(ISNUMBER(SEARCH("World",'RawData'!C263)),"",'RawData'!C263)</f>
        <v>United States</v>
      </c>
      <c r="D236" s="4" t="str">
        <f>IF(ISNUMBER(SEARCH("World",'RawData'!C263)),"",'RawData'!D263)</f>
        <v>Mine production</v>
      </c>
      <c r="E236" s="4" t="str">
        <f>IF(ISNUMBER(SEARCH("World",'RawData'!C263)),"",IF('RawData'!E263="WT001","kg",IF('RawData'!E263="WT002","ton",IF('RawData'!E263="WT003","k ton",""))))</f>
        <v>ton</v>
      </c>
      <c r="F236" s="14">
        <f>IF(ISNUMBER(SEARCH("World",'RawData'!C263)),"",'RawData'!F263)</f>
        <v>0</v>
      </c>
      <c r="G236" s="14">
        <f>IF(ISNUMBER(SEARCH("World",'RawData'!C263)),"",'RawData'!G263)</f>
        <v>0</v>
      </c>
      <c r="H236" s="14">
        <f>IF(ISNUMBER(SEARCH("World",'RawData'!C263)),"",SUMIFS('RawData'!G:G,'RawData'!B:B,'RawData'!B263,'RawData'!C:C,"*World*"))</f>
        <v>1800000</v>
      </c>
      <c r="I236" s="15">
        <f>IF(ISNUMBER(SEARCH("World",'RawData'!C263)),"",IFERROR(G236/H236,"-"))</f>
        <v>0</v>
      </c>
      <c r="J236" s="7" t="str">
        <f>IF(ISNUMBER(SEARCH("World",'RawData'!C263)),"",IF(ISNUMBER(SEARCH("Other",C236)),COUNTIFS('RawData'!B:B,B236,'RawData'!C:C,"&lt;&gt;*World*"),IF(OR(G236="",G236=0),"-",SUMPRODUCT(('RawData'!B$2:B$822=B236)*('RawData'!G$2:G$822&gt;G236)*(ISERROR(SEARCH("World",'RawData'!C$2:C$822)))*(ISERROR(SEARCH("Other",'RawData'!C$2:C$822))))+1)))</f>
        <v>-</v>
      </c>
      <c r="K236" s="14">
        <f>IF(ISNUMBER(SEARCH("World",'RawData'!C263)),"",'RawData'!H263)</f>
        <v>0</v>
      </c>
      <c r="L236" s="14">
        <f>IF(ISNUMBER(SEARCH("World",'RawData'!C263)),"",SUMIFS('RawData'!H:H,'RawData'!B:B,'RawData'!B263,'RawData'!C:C,"*World*"))</f>
        <v>310000000</v>
      </c>
      <c r="M236" s="15">
        <f>IF(ISNUMBER(SEARCH("World",'RawData'!C263)),"",IFERROR(K236/L236,"-"))</f>
        <v>0</v>
      </c>
      <c r="N236" s="7" t="str">
        <f>IF(ISNUMBER(SEARCH("World",'RawData'!C263)),"",IF(ISNUMBER(SEARCH("Other",C236)),COUNTIFS('RawData'!B:B,B236,'RawData'!C:C,"&lt;&gt;*World*"),IF(OR(K236="",K236=0),"-",SUMPRODUCT(('RawData'!B$2:B$822=B236)*('RawData'!H$2:H$822&gt;K236)*(ISERROR(SEARCH("World",'RawData'!C$2:C$822)))*(ISERROR(SEARCH("Other",'RawData'!C$2:C$822))))+1)))</f>
        <v>-</v>
      </c>
    </row>
    <row r="237" spans="1:14" x14ac:dyDescent="0.3">
      <c r="A237" s="4" t="str">
        <f>IF(ISNUMBER(SEARCH("World",'RawData'!C264)),"",'RawData'!A264)</f>
        <v>MCS2026</v>
      </c>
      <c r="B237" s="4" t="str">
        <f>IF(ISNUMBER(SEARCH("World",'RawData'!C264)),"",'RawData'!B264)</f>
        <v>Graphite</v>
      </c>
      <c r="C237" s="4" t="str">
        <f>IF(ISNUMBER(SEARCH("World",'RawData'!C264)),"",'RawData'!C264)</f>
        <v>Vietnam</v>
      </c>
      <c r="D237" s="4" t="str">
        <f>IF(ISNUMBER(SEARCH("World",'RawData'!C264)),"",'RawData'!D264)</f>
        <v>Mine production</v>
      </c>
      <c r="E237" s="4" t="str">
        <f>IF(ISNUMBER(SEARCH("World",'RawData'!C264)),"",IF('RawData'!E264="WT001","kg",IF('RawData'!E264="WT002","ton",IF('RawData'!E264="WT003","k ton",""))))</f>
        <v>ton</v>
      </c>
      <c r="F237" s="14">
        <f>IF(ISNUMBER(SEARCH("World",'RawData'!C264)),"",'RawData'!F264)</f>
        <v>500</v>
      </c>
      <c r="G237" s="14">
        <f>IF(ISNUMBER(SEARCH("World",'RawData'!C264)),"",'RawData'!G264)</f>
        <v>500</v>
      </c>
      <c r="H237" s="14">
        <f>IF(ISNUMBER(SEARCH("World",'RawData'!C264)),"",SUMIFS('RawData'!G:G,'RawData'!B:B,'RawData'!B264,'RawData'!C:C,"*World*"))</f>
        <v>1800000</v>
      </c>
      <c r="I237" s="15">
        <f>IF(ISNUMBER(SEARCH("World",'RawData'!C264)),"",IFERROR(G237/H237,"-"))</f>
        <v>2.7777777777777778E-4</v>
      </c>
      <c r="J237" s="7">
        <f>IF(ISNUMBER(SEARCH("World",'RawData'!C264)),"",IF(ISNUMBER(SEARCH("Other",C237)),COUNTIFS('RawData'!B:B,B237,'RawData'!C:C,"&lt;&gt;*World*"),IF(OR(G237="",G237=0),"-",SUMPRODUCT(('RawData'!B$2:B$822=B237)*('RawData'!G$2:G$822&gt;G237)*(ISERROR(SEARCH("World",'RawData'!C$2:C$822)))*(ISERROR(SEARCH("Other",'RawData'!C$2:C$822))))+1)))</f>
        <v>15</v>
      </c>
      <c r="K237" s="14">
        <f>IF(ISNUMBER(SEARCH("World",'RawData'!C264)),"",'RawData'!H264)</f>
        <v>9700000</v>
      </c>
      <c r="L237" s="14">
        <f>IF(ISNUMBER(SEARCH("World",'RawData'!C264)),"",SUMIFS('RawData'!H:H,'RawData'!B:B,'RawData'!B264,'RawData'!C:C,"*World*"))</f>
        <v>310000000</v>
      </c>
      <c r="M237" s="15">
        <f>IF(ISNUMBER(SEARCH("World",'RawData'!C264)),"",IFERROR(K237/L237,"-"))</f>
        <v>3.1290322580645159E-2</v>
      </c>
      <c r="N237" s="7">
        <f>IF(ISNUMBER(SEARCH("World",'RawData'!C264)),"",IF(ISNUMBER(SEARCH("Other",C237)),COUNTIFS('RawData'!B:B,B237,'RawData'!C:C,"&lt;&gt;*World*"),IF(OR(K237="",K237=0),"-",SUMPRODUCT(('RawData'!B$2:B$822=B237)*('RawData'!H$2:H$822&gt;K237)*(ISERROR(SEARCH("World",'RawData'!C$2:C$822)))*(ISERROR(SEARCH("Other",'RawData'!C$2:C$822))))+1)))</f>
        <v>7</v>
      </c>
    </row>
    <row r="238" spans="1:14" x14ac:dyDescent="0.3">
      <c r="A238" s="4" t="str">
        <f>IF(ISNUMBER(SEARCH("World",'RawData'!C266)),"",'RawData'!A266)</f>
        <v>MCS2026</v>
      </c>
      <c r="B238" s="4" t="str">
        <f>IF(ISNUMBER(SEARCH("World",'RawData'!C266)),"",'RawData'!B266)</f>
        <v>Gypsum</v>
      </c>
      <c r="C238" s="4" t="str">
        <f>IF(ISNUMBER(SEARCH("World",'RawData'!C266)),"",'RawData'!C266)</f>
        <v>Algeria</v>
      </c>
      <c r="D238" s="4" t="str">
        <f>IF(ISNUMBER(SEARCH("World",'RawData'!C266)),"",'RawData'!D266)</f>
        <v>Mine production, estimated</v>
      </c>
      <c r="E238" s="4" t="str">
        <f>IF(ISNUMBER(SEARCH("World",'RawData'!C266)),"",IF('RawData'!E266="WT001","kg",IF('RawData'!E266="WT002","ton",IF('RawData'!E266="WT003","k ton",""))))</f>
        <v>k ton</v>
      </c>
      <c r="F238" s="14">
        <f>IF(ISNUMBER(SEARCH("World",'RawData'!C266)),"",'RawData'!F266)</f>
        <v>2500</v>
      </c>
      <c r="G238" s="14">
        <f>IF(ISNUMBER(SEARCH("World",'RawData'!C266)),"",'RawData'!G266)</f>
        <v>2500</v>
      </c>
      <c r="H238" s="14">
        <f>IF(ISNUMBER(SEARCH("World",'RawData'!C266)),"",SUMIFS('RawData'!G:G,'RawData'!B:B,'RawData'!B266,'RawData'!C:C,"*World*"))</f>
        <v>160000</v>
      </c>
      <c r="I238" s="15">
        <f>IF(ISNUMBER(SEARCH("World",'RawData'!C266)),"",IFERROR(G238/H238,"-"))</f>
        <v>1.5625E-2</v>
      </c>
      <c r="J238" s="7">
        <f>IF(ISNUMBER(SEARCH("World",'RawData'!C266)),"",IF(ISNUMBER(SEARCH("Other",C238)),COUNTIFS('RawData'!B:B,B238,'RawData'!C:C,"&lt;&gt;*World*"),IF(OR(G238="",G238=0),"-",SUMPRODUCT(('RawData'!B$2:B$822=B238)*('RawData'!G$2:G$822&gt;G238)*(ISERROR(SEARCH("World",'RawData'!C$2:C$822)))*(ISERROR(SEARCH("Other",'RawData'!C$2:C$822))))+1)))</f>
        <v>17</v>
      </c>
      <c r="K238" s="14">
        <f>IF(ISNUMBER(SEARCH("World",'RawData'!C266)),"",'RawData'!H266)</f>
        <v>0</v>
      </c>
      <c r="L238" s="14">
        <f>IF(ISNUMBER(SEARCH("World",'RawData'!C266)),"",SUMIFS('RawData'!H:H,'RawData'!B:B,'RawData'!B266,'RawData'!C:C,"*World*"))</f>
        <v>0</v>
      </c>
      <c r="M238" s="15" t="str">
        <f>IF(ISNUMBER(SEARCH("World",'RawData'!C266)),"",IFERROR(K238/L238,"-"))</f>
        <v>-</v>
      </c>
      <c r="N238" s="7" t="str">
        <f>IF(ISNUMBER(SEARCH("World",'RawData'!C266)),"",IF(ISNUMBER(SEARCH("Other",C238)),COUNTIFS('RawData'!B:B,B238,'RawData'!C:C,"&lt;&gt;*World*"),IF(OR(K238="",K238=0),"-",SUMPRODUCT(('RawData'!B$2:B$822=B238)*('RawData'!H$2:H$822&gt;K238)*(ISERROR(SEARCH("World",'RawData'!C$2:C$822)))*(ISERROR(SEARCH("Other",'RawData'!C$2:C$822))))+1)))</f>
        <v>-</v>
      </c>
    </row>
    <row r="239" spans="1:14" x14ac:dyDescent="0.3">
      <c r="A239" s="4" t="str">
        <f>IF(ISNUMBER(SEARCH("World",'RawData'!C267)),"",'RawData'!A267)</f>
        <v>MCS2026</v>
      </c>
      <c r="B239" s="4" t="str">
        <f>IF(ISNUMBER(SEARCH("World",'RawData'!C267)),"",'RawData'!B267)</f>
        <v>Gypsum</v>
      </c>
      <c r="C239" s="4" t="str">
        <f>IF(ISNUMBER(SEARCH("World",'RawData'!C267)),"",'RawData'!C267)</f>
        <v>Australia</v>
      </c>
      <c r="D239" s="4" t="str">
        <f>IF(ISNUMBER(SEARCH("World",'RawData'!C267)),"",'RawData'!D267)</f>
        <v>Mine production, estimated</v>
      </c>
      <c r="E239" s="4" t="str">
        <f>IF(ISNUMBER(SEARCH("World",'RawData'!C267)),"",IF('RawData'!E267="WT001","kg",IF('RawData'!E267="WT002","ton",IF('RawData'!E267="WT003","k ton",""))))</f>
        <v>k ton</v>
      </c>
      <c r="F239" s="14">
        <f>IF(ISNUMBER(SEARCH("World",'RawData'!C267)),"",'RawData'!F267)</f>
        <v>4200</v>
      </c>
      <c r="G239" s="14">
        <f>IF(ISNUMBER(SEARCH("World",'RawData'!C267)),"",'RawData'!G267)</f>
        <v>4200</v>
      </c>
      <c r="H239" s="14">
        <f>IF(ISNUMBER(SEARCH("World",'RawData'!C267)),"",SUMIFS('RawData'!G:G,'RawData'!B:B,'RawData'!B267,'RawData'!C:C,"*World*"))</f>
        <v>160000</v>
      </c>
      <c r="I239" s="15">
        <f>IF(ISNUMBER(SEARCH("World",'RawData'!C267)),"",IFERROR(G239/H239,"-"))</f>
        <v>2.6249999999999999E-2</v>
      </c>
      <c r="J239" s="7">
        <f>IF(ISNUMBER(SEARCH("World",'RawData'!C267)),"",IF(ISNUMBER(SEARCH("Other",C239)),COUNTIFS('RawData'!B:B,B239,'RawData'!C:C,"&lt;&gt;*World*"),IF(OR(G239="",G239=0),"-",SUMPRODUCT(('RawData'!B$2:B$822=B239)*('RawData'!G$2:G$822&gt;G239)*(ISERROR(SEARCH("World",'RawData'!C$2:C$822)))*(ISERROR(SEARCH("Other",'RawData'!C$2:C$822))))+1)))</f>
        <v>14</v>
      </c>
      <c r="K239" s="14">
        <f>IF(ISNUMBER(SEARCH("World",'RawData'!C267)),"",'RawData'!H267)</f>
        <v>0</v>
      </c>
      <c r="L239" s="14">
        <f>IF(ISNUMBER(SEARCH("World",'RawData'!C267)),"",SUMIFS('RawData'!H:H,'RawData'!B:B,'RawData'!B267,'RawData'!C:C,"*World*"))</f>
        <v>0</v>
      </c>
      <c r="M239" s="15" t="str">
        <f>IF(ISNUMBER(SEARCH("World",'RawData'!C267)),"",IFERROR(K239/L239,"-"))</f>
        <v>-</v>
      </c>
      <c r="N239" s="7" t="str">
        <f>IF(ISNUMBER(SEARCH("World",'RawData'!C267)),"",IF(ISNUMBER(SEARCH("Other",C239)),COUNTIFS('RawData'!B:B,B239,'RawData'!C:C,"&lt;&gt;*World*"),IF(OR(K239="",K239=0),"-",SUMPRODUCT(('RawData'!B$2:B$822=B239)*('RawData'!H$2:H$822&gt;K239)*(ISERROR(SEARCH("World",'RawData'!C$2:C$822)))*(ISERROR(SEARCH("Other",'RawData'!C$2:C$822))))+1)))</f>
        <v>-</v>
      </c>
    </row>
    <row r="240" spans="1:14" x14ac:dyDescent="0.3">
      <c r="A240" s="4" t="str">
        <f>IF(ISNUMBER(SEARCH("World",'RawData'!C268)),"",'RawData'!A268)</f>
        <v>MCS2026</v>
      </c>
      <c r="B240" s="4" t="str">
        <f>IF(ISNUMBER(SEARCH("World",'RawData'!C268)),"",'RawData'!B268)</f>
        <v>Gypsum</v>
      </c>
      <c r="C240" s="4" t="str">
        <f>IF(ISNUMBER(SEARCH("World",'RawData'!C268)),"",'RawData'!C268)</f>
        <v>Brazil</v>
      </c>
      <c r="D240" s="4" t="str">
        <f>IF(ISNUMBER(SEARCH("World",'RawData'!C268)),"",'RawData'!D268)</f>
        <v>Mine production, estimated</v>
      </c>
      <c r="E240" s="4" t="str">
        <f>IF(ISNUMBER(SEARCH("World",'RawData'!C268)),"",IF('RawData'!E268="WT001","kg",IF('RawData'!E268="WT002","ton",IF('RawData'!E268="WT003","k ton",""))))</f>
        <v>k ton</v>
      </c>
      <c r="F240" s="14">
        <f>IF(ISNUMBER(SEARCH("World",'RawData'!C268)),"",'RawData'!F268)</f>
        <v>5800</v>
      </c>
      <c r="G240" s="14">
        <f>IF(ISNUMBER(SEARCH("World",'RawData'!C268)),"",'RawData'!G268)</f>
        <v>5800</v>
      </c>
      <c r="H240" s="14">
        <f>IF(ISNUMBER(SEARCH("World",'RawData'!C268)),"",SUMIFS('RawData'!G:G,'RawData'!B:B,'RawData'!B268,'RawData'!C:C,"*World*"))</f>
        <v>160000</v>
      </c>
      <c r="I240" s="15">
        <f>IF(ISNUMBER(SEARCH("World",'RawData'!C268)),"",IFERROR(G240/H240,"-"))</f>
        <v>3.6249999999999998E-2</v>
      </c>
      <c r="J240" s="7">
        <f>IF(ISNUMBER(SEARCH("World",'RawData'!C268)),"",IF(ISNUMBER(SEARCH("Other",C240)),COUNTIFS('RawData'!B:B,B240,'RawData'!C:C,"&lt;&gt;*World*"),IF(OR(G240="",G240=0),"-",SUMPRODUCT(('RawData'!B$2:B$822=B240)*('RawData'!G$2:G$822&gt;G240)*(ISERROR(SEARCH("World",'RawData'!C$2:C$822)))*(ISERROR(SEARCH("Other",'RawData'!C$2:C$822))))+1)))</f>
        <v>8</v>
      </c>
      <c r="K240" s="14">
        <f>IF(ISNUMBER(SEARCH("World",'RawData'!C268)),"",'RawData'!H268)</f>
        <v>450000</v>
      </c>
      <c r="L240" s="14">
        <f>IF(ISNUMBER(SEARCH("World",'RawData'!C268)),"",SUMIFS('RawData'!H:H,'RawData'!B:B,'RawData'!B268,'RawData'!C:C,"*World*"))</f>
        <v>0</v>
      </c>
      <c r="M240" s="15" t="str">
        <f>IF(ISNUMBER(SEARCH("World",'RawData'!C268)),"",IFERROR(K240/L240,"-"))</f>
        <v>-</v>
      </c>
      <c r="N240" s="7">
        <f>IF(ISNUMBER(SEARCH("World",'RawData'!C268)),"",IF(ISNUMBER(SEARCH("Other",C240)),COUNTIFS('RawData'!B:B,B240,'RawData'!C:C,"&lt;&gt;*World*"),IF(OR(K240="",K240=0),"-",SUMPRODUCT(('RawData'!B$2:B$822=B240)*('RawData'!H$2:H$822&gt;K240)*(ISERROR(SEARCH("World",'RawData'!C$2:C$822)))*(ISERROR(SEARCH("Other",'RawData'!C$2:C$822))))+1)))</f>
        <v>5</v>
      </c>
    </row>
    <row r="241" spans="1:14" x14ac:dyDescent="0.3">
      <c r="A241" s="4" t="str">
        <f>IF(ISNUMBER(SEARCH("World",'RawData'!C269)),"",'RawData'!A269)</f>
        <v>MCS2026</v>
      </c>
      <c r="B241" s="4" t="str">
        <f>IF(ISNUMBER(SEARCH("World",'RawData'!C269)),"",'RawData'!B269)</f>
        <v>Gypsum</v>
      </c>
      <c r="C241" s="4" t="str">
        <f>IF(ISNUMBER(SEARCH("World",'RawData'!C269)),"",'RawData'!C269)</f>
        <v xml:space="preserve">Canada </v>
      </c>
      <c r="D241" s="4" t="str">
        <f>IF(ISNUMBER(SEARCH("World",'RawData'!C269)),"",'RawData'!D269)</f>
        <v>Mine production, estimated</v>
      </c>
      <c r="E241" s="4" t="str">
        <f>IF(ISNUMBER(SEARCH("World",'RawData'!C269)),"",IF('RawData'!E269="WT001","kg",IF('RawData'!E269="WT002","ton",IF('RawData'!E269="WT003","k ton",""))))</f>
        <v>k ton</v>
      </c>
      <c r="F241" s="14">
        <f>IF(ISNUMBER(SEARCH("World",'RawData'!C269)),"",'RawData'!F269)</f>
        <v>3600</v>
      </c>
      <c r="G241" s="14">
        <f>IF(ISNUMBER(SEARCH("World",'RawData'!C269)),"",'RawData'!G269)</f>
        <v>3600</v>
      </c>
      <c r="H241" s="14">
        <f>IF(ISNUMBER(SEARCH("World",'RawData'!C269)),"",SUMIFS('RawData'!G:G,'RawData'!B:B,'RawData'!B269,'RawData'!C:C,"*World*"))</f>
        <v>160000</v>
      </c>
      <c r="I241" s="15">
        <f>IF(ISNUMBER(SEARCH("World",'RawData'!C269)),"",IFERROR(G241/H241,"-"))</f>
        <v>2.2499999999999999E-2</v>
      </c>
      <c r="J241" s="7">
        <f>IF(ISNUMBER(SEARCH("World",'RawData'!C269)),"",IF(ISNUMBER(SEARCH("Other",C241)),COUNTIFS('RawData'!B:B,B241,'RawData'!C:C,"&lt;&gt;*World*"),IF(OR(G241="",G241=0),"-",SUMPRODUCT(('RawData'!B$2:B$822=B241)*('RawData'!G$2:G$822&gt;G241)*(ISERROR(SEARCH("World",'RawData'!C$2:C$822)))*(ISERROR(SEARCH("Other",'RawData'!C$2:C$822))))+1)))</f>
        <v>16</v>
      </c>
      <c r="K241" s="14">
        <f>IF(ISNUMBER(SEARCH("World",'RawData'!C269)),"",'RawData'!H269)</f>
        <v>450000</v>
      </c>
      <c r="L241" s="14">
        <f>IF(ISNUMBER(SEARCH("World",'RawData'!C269)),"",SUMIFS('RawData'!H:H,'RawData'!B:B,'RawData'!B269,'RawData'!C:C,"*World*"))</f>
        <v>0</v>
      </c>
      <c r="M241" s="15" t="str">
        <f>IF(ISNUMBER(SEARCH("World",'RawData'!C269)),"",IFERROR(K241/L241,"-"))</f>
        <v>-</v>
      </c>
      <c r="N241" s="7">
        <f>IF(ISNUMBER(SEARCH("World",'RawData'!C269)),"",IF(ISNUMBER(SEARCH("Other",C241)),COUNTIFS('RawData'!B:B,B241,'RawData'!C:C,"&lt;&gt;*World*"),IF(OR(K241="",K241=0),"-",SUMPRODUCT(('RawData'!B$2:B$822=B241)*('RawData'!H$2:H$822&gt;K241)*(ISERROR(SEARCH("World",'RawData'!C$2:C$822)))*(ISERROR(SEARCH("Other",'RawData'!C$2:C$822))))+1)))</f>
        <v>5</v>
      </c>
    </row>
    <row r="242" spans="1:14" x14ac:dyDescent="0.3">
      <c r="A242" s="4" t="str">
        <f>IF(ISNUMBER(SEARCH("World",'RawData'!C270)),"",'RawData'!A270)</f>
        <v>MCS2026</v>
      </c>
      <c r="B242" s="4" t="str">
        <f>IF(ISNUMBER(SEARCH("World",'RawData'!C270)),"",'RawData'!B270)</f>
        <v>Gypsum</v>
      </c>
      <c r="C242" s="4" t="str">
        <f>IF(ISNUMBER(SEARCH("World",'RawData'!C270)),"",'RawData'!C270)</f>
        <v>China</v>
      </c>
      <c r="D242" s="4" t="str">
        <f>IF(ISNUMBER(SEARCH("World",'RawData'!C270)),"",'RawData'!D270)</f>
        <v>Mine production, estimated</v>
      </c>
      <c r="E242" s="4" t="str">
        <f>IF(ISNUMBER(SEARCH("World",'RawData'!C270)),"",IF('RawData'!E270="WT001","kg",IF('RawData'!E270="WT002","ton",IF('RawData'!E270="WT003","k ton",""))))</f>
        <v>k ton</v>
      </c>
      <c r="F242" s="14">
        <f>IF(ISNUMBER(SEARCH("World",'RawData'!C270)),"",'RawData'!F270)</f>
        <v>12000</v>
      </c>
      <c r="G242" s="14">
        <f>IF(ISNUMBER(SEARCH("World",'RawData'!C270)),"",'RawData'!G270)</f>
        <v>12000</v>
      </c>
      <c r="H242" s="14">
        <f>IF(ISNUMBER(SEARCH("World",'RawData'!C270)),"",SUMIFS('RawData'!G:G,'RawData'!B:B,'RawData'!B270,'RawData'!C:C,"*World*"))</f>
        <v>160000</v>
      </c>
      <c r="I242" s="15">
        <f>IF(ISNUMBER(SEARCH("World",'RawData'!C270)),"",IFERROR(G242/H242,"-"))</f>
        <v>7.4999999999999997E-2</v>
      </c>
      <c r="J242" s="7">
        <f>IF(ISNUMBER(SEARCH("World",'RawData'!C270)),"",IF(ISNUMBER(SEARCH("Other",C242)),COUNTIFS('RawData'!B:B,B242,'RawData'!C:C,"&lt;&gt;*World*"),IF(OR(G242="",G242=0),"-",SUMPRODUCT(('RawData'!B$2:B$822=B242)*('RawData'!G$2:G$822&gt;G242)*(ISERROR(SEARCH("World",'RawData'!C$2:C$822)))*(ISERROR(SEARCH("Other",'RawData'!C$2:C$822))))+1)))</f>
        <v>4</v>
      </c>
      <c r="K242" s="14">
        <f>IF(ISNUMBER(SEARCH("World",'RawData'!C270)),"",'RawData'!H270)</f>
        <v>1800000</v>
      </c>
      <c r="L242" s="14">
        <f>IF(ISNUMBER(SEARCH("World",'RawData'!C270)),"",SUMIFS('RawData'!H:H,'RawData'!B:B,'RawData'!B270,'RawData'!C:C,"*World*"))</f>
        <v>0</v>
      </c>
      <c r="M242" s="15" t="str">
        <f>IF(ISNUMBER(SEARCH("World",'RawData'!C270)),"",IFERROR(K242/L242,"-"))</f>
        <v>-</v>
      </c>
      <c r="N242" s="7">
        <f>IF(ISNUMBER(SEARCH("World",'RawData'!C270)),"",IF(ISNUMBER(SEARCH("Other",C242)),COUNTIFS('RawData'!B:B,B242,'RawData'!C:C,"&lt;&gt;*World*"),IF(OR(K242="",K242=0),"-",SUMPRODUCT(('RawData'!B$2:B$822=B242)*('RawData'!H$2:H$822&gt;K242)*(ISERROR(SEARCH("World",'RawData'!C$2:C$822)))*(ISERROR(SEARCH("Other",'RawData'!C$2:C$822))))+1)))</f>
        <v>1</v>
      </c>
    </row>
    <row r="243" spans="1:14" x14ac:dyDescent="0.3">
      <c r="A243" s="4" t="str">
        <f>IF(ISNUMBER(SEARCH("World",'RawData'!C271)),"",'RawData'!A271)</f>
        <v>MCS2026</v>
      </c>
      <c r="B243" s="4" t="str">
        <f>IF(ISNUMBER(SEARCH("World",'RawData'!C271)),"",'RawData'!B271)</f>
        <v>Gypsum</v>
      </c>
      <c r="C243" s="4" t="str">
        <f>IF(ISNUMBER(SEARCH("World",'RawData'!C271)),"",'RawData'!C271)</f>
        <v>France</v>
      </c>
      <c r="D243" s="4" t="str">
        <f>IF(ISNUMBER(SEARCH("World",'RawData'!C271)),"",'RawData'!D271)</f>
        <v>Mine production, estimated</v>
      </c>
      <c r="E243" s="4" t="str">
        <f>IF(ISNUMBER(SEARCH("World",'RawData'!C271)),"",IF('RawData'!E271="WT001","kg",IF('RawData'!E271="WT002","ton",IF('RawData'!E271="WT003","k ton",""))))</f>
        <v>k ton</v>
      </c>
      <c r="F243" s="14">
        <f>IF(ISNUMBER(SEARCH("World",'RawData'!C271)),"",'RawData'!F271)</f>
        <v>2400</v>
      </c>
      <c r="G243" s="14">
        <f>IF(ISNUMBER(SEARCH("World",'RawData'!C271)),"",'RawData'!G271)</f>
        <v>2400</v>
      </c>
      <c r="H243" s="14">
        <f>IF(ISNUMBER(SEARCH("World",'RawData'!C271)),"",SUMIFS('RawData'!G:G,'RawData'!B:B,'RawData'!B271,'RawData'!C:C,"*World*"))</f>
        <v>160000</v>
      </c>
      <c r="I243" s="15">
        <f>IF(ISNUMBER(SEARCH("World",'RawData'!C271)),"",IFERROR(G243/H243,"-"))</f>
        <v>1.4999999999999999E-2</v>
      </c>
      <c r="J243" s="7">
        <f>IF(ISNUMBER(SEARCH("World",'RawData'!C271)),"",IF(ISNUMBER(SEARCH("Other",C243)),COUNTIFS('RawData'!B:B,B243,'RawData'!C:C,"&lt;&gt;*World*"),IF(OR(G243="",G243=0),"-",SUMPRODUCT(('RawData'!B$2:B$822=B243)*('RawData'!G$2:G$822&gt;G243)*(ISERROR(SEARCH("World",'RawData'!C$2:C$822)))*(ISERROR(SEARCH("Other",'RawData'!C$2:C$822))))+1)))</f>
        <v>19</v>
      </c>
      <c r="K243" s="14">
        <f>IF(ISNUMBER(SEARCH("World",'RawData'!C271)),"",'RawData'!H271)</f>
        <v>300000</v>
      </c>
      <c r="L243" s="14">
        <f>IF(ISNUMBER(SEARCH("World",'RawData'!C271)),"",SUMIFS('RawData'!H:H,'RawData'!B:B,'RawData'!B271,'RawData'!C:C,"*World*"))</f>
        <v>0</v>
      </c>
      <c r="M243" s="15" t="str">
        <f>IF(ISNUMBER(SEARCH("World",'RawData'!C271)),"",IFERROR(K243/L243,"-"))</f>
        <v>-</v>
      </c>
      <c r="N243" s="7">
        <f>IF(ISNUMBER(SEARCH("World",'RawData'!C271)),"",IF(ISNUMBER(SEARCH("Other",C243)),COUNTIFS('RawData'!B:B,B243,'RawData'!C:C,"&lt;&gt;*World*"),IF(OR(K243="",K243=0),"-",SUMPRODUCT(('RawData'!B$2:B$822=B243)*('RawData'!H$2:H$822&gt;K243)*(ISERROR(SEARCH("World",'RawData'!C$2:C$822)))*(ISERROR(SEARCH("Other",'RawData'!C$2:C$822))))+1)))</f>
        <v>7</v>
      </c>
    </row>
    <row r="244" spans="1:14" x14ac:dyDescent="0.3">
      <c r="A244" s="4" t="str">
        <f>IF(ISNUMBER(SEARCH("World",'RawData'!C272)),"",'RawData'!A272)</f>
        <v>MCS2026</v>
      </c>
      <c r="B244" s="4" t="str">
        <f>IF(ISNUMBER(SEARCH("World",'RawData'!C272)),"",'RawData'!B272)</f>
        <v>Gypsum</v>
      </c>
      <c r="C244" s="4" t="str">
        <f>IF(ISNUMBER(SEARCH("World",'RawData'!C272)),"",'RawData'!C272)</f>
        <v>Germany</v>
      </c>
      <c r="D244" s="4" t="str">
        <f>IF(ISNUMBER(SEARCH("World",'RawData'!C272)),"",'RawData'!D272)</f>
        <v>Mine production, estimated</v>
      </c>
      <c r="E244" s="4" t="str">
        <f>IF(ISNUMBER(SEARCH("World",'RawData'!C272)),"",IF('RawData'!E272="WT001","kg",IF('RawData'!E272="WT002","ton",IF('RawData'!E272="WT003","k ton",""))))</f>
        <v>k ton</v>
      </c>
      <c r="F244" s="14">
        <f>IF(ISNUMBER(SEARCH("World",'RawData'!C272)),"",'RawData'!F272)</f>
        <v>4700</v>
      </c>
      <c r="G244" s="14">
        <f>IF(ISNUMBER(SEARCH("World",'RawData'!C272)),"",'RawData'!G272)</f>
        <v>4700</v>
      </c>
      <c r="H244" s="14">
        <f>IF(ISNUMBER(SEARCH("World",'RawData'!C272)),"",SUMIFS('RawData'!G:G,'RawData'!B:B,'RawData'!B272,'RawData'!C:C,"*World*"))</f>
        <v>160000</v>
      </c>
      <c r="I244" s="15">
        <f>IF(ISNUMBER(SEARCH("World",'RawData'!C272)),"",IFERROR(G244/H244,"-"))</f>
        <v>2.9374999999999998E-2</v>
      </c>
      <c r="J244" s="7">
        <f>IF(ISNUMBER(SEARCH("World",'RawData'!C272)),"",IF(ISNUMBER(SEARCH("Other",C244)),COUNTIFS('RawData'!B:B,B244,'RawData'!C:C,"&lt;&gt;*World*"),IF(OR(G244="",G244=0),"-",SUMPRODUCT(('RawData'!B$2:B$822=B244)*('RawData'!G$2:G$822&gt;G244)*(ISERROR(SEARCH("World",'RawData'!C$2:C$822)))*(ISERROR(SEARCH("Other",'RawData'!C$2:C$822))))+1)))</f>
        <v>10</v>
      </c>
      <c r="K244" s="14">
        <f>IF(ISNUMBER(SEARCH("World",'RawData'!C272)),"",'RawData'!H272)</f>
        <v>0</v>
      </c>
      <c r="L244" s="14">
        <f>IF(ISNUMBER(SEARCH("World",'RawData'!C272)),"",SUMIFS('RawData'!H:H,'RawData'!B:B,'RawData'!B272,'RawData'!C:C,"*World*"))</f>
        <v>0</v>
      </c>
      <c r="M244" s="15" t="str">
        <f>IF(ISNUMBER(SEARCH("World",'RawData'!C272)),"",IFERROR(K244/L244,"-"))</f>
        <v>-</v>
      </c>
      <c r="N244" s="7" t="str">
        <f>IF(ISNUMBER(SEARCH("World",'RawData'!C272)),"",IF(ISNUMBER(SEARCH("Other",C244)),COUNTIFS('RawData'!B:B,B244,'RawData'!C:C,"&lt;&gt;*World*"),IF(OR(K244="",K244=0),"-",SUMPRODUCT(('RawData'!B$2:B$822=B244)*('RawData'!H$2:H$822&gt;K244)*(ISERROR(SEARCH("World",'RawData'!C$2:C$822)))*(ISERROR(SEARCH("Other",'RawData'!C$2:C$822))))+1)))</f>
        <v>-</v>
      </c>
    </row>
    <row r="245" spans="1:14" x14ac:dyDescent="0.3">
      <c r="A245" s="4" t="str">
        <f>IF(ISNUMBER(SEARCH("World",'RawData'!C273)),"",'RawData'!A273)</f>
        <v>MCS2026</v>
      </c>
      <c r="B245" s="4" t="str">
        <f>IF(ISNUMBER(SEARCH("World",'RawData'!C273)),"",'RawData'!B273)</f>
        <v>Gypsum</v>
      </c>
      <c r="C245" s="4" t="str">
        <f>IF(ISNUMBER(SEARCH("World",'RawData'!C273)),"",'RawData'!C273)</f>
        <v>India</v>
      </c>
      <c r="D245" s="4" t="str">
        <f>IF(ISNUMBER(SEARCH("World",'RawData'!C273)),"",'RawData'!D273)</f>
        <v>Mine production, estimated</v>
      </c>
      <c r="E245" s="4" t="str">
        <f>IF(ISNUMBER(SEARCH("World",'RawData'!C273)),"",IF('RawData'!E273="WT001","kg",IF('RawData'!E273="WT002","ton",IF('RawData'!E273="WT003","k ton",""))))</f>
        <v>k ton</v>
      </c>
      <c r="F245" s="14">
        <f>IF(ISNUMBER(SEARCH("World",'RawData'!C273)),"",'RawData'!F273)</f>
        <v>4300</v>
      </c>
      <c r="G245" s="14">
        <f>IF(ISNUMBER(SEARCH("World",'RawData'!C273)),"",'RawData'!G273)</f>
        <v>4300</v>
      </c>
      <c r="H245" s="14">
        <f>IF(ISNUMBER(SEARCH("World",'RawData'!C273)),"",SUMIFS('RawData'!G:G,'RawData'!B:B,'RawData'!B273,'RawData'!C:C,"*World*"))</f>
        <v>160000</v>
      </c>
      <c r="I245" s="15">
        <f>IF(ISNUMBER(SEARCH("World",'RawData'!C273)),"",IFERROR(G245/H245,"-"))</f>
        <v>2.6875E-2</v>
      </c>
      <c r="J245" s="7">
        <f>IF(ISNUMBER(SEARCH("World",'RawData'!C273)),"",IF(ISNUMBER(SEARCH("Other",C245)),COUNTIFS('RawData'!B:B,B245,'RawData'!C:C,"&lt;&gt;*World*"),IF(OR(G245="",G245=0),"-",SUMPRODUCT(('RawData'!B$2:B$822=B245)*('RawData'!G$2:G$822&gt;G245)*(ISERROR(SEARCH("World",'RawData'!C$2:C$822)))*(ISERROR(SEARCH("Other",'RawData'!C$2:C$822))))+1)))</f>
        <v>11</v>
      </c>
      <c r="K245" s="14">
        <f>IF(ISNUMBER(SEARCH("World",'RawData'!C273)),"",'RawData'!H273)</f>
        <v>37000</v>
      </c>
      <c r="L245" s="14">
        <f>IF(ISNUMBER(SEARCH("World",'RawData'!C273)),"",SUMIFS('RawData'!H:H,'RawData'!B:B,'RawData'!B273,'RawData'!C:C,"*World*"))</f>
        <v>0</v>
      </c>
      <c r="M245" s="15" t="str">
        <f>IF(ISNUMBER(SEARCH("World",'RawData'!C273)),"",IFERROR(K245/L245,"-"))</f>
        <v>-</v>
      </c>
      <c r="N245" s="7">
        <f>IF(ISNUMBER(SEARCH("World",'RawData'!C273)),"",IF(ISNUMBER(SEARCH("Other",C245)),COUNTIFS('RawData'!B:B,B245,'RawData'!C:C,"&lt;&gt;*World*"),IF(OR(K245="",K245=0),"-",SUMPRODUCT(('RawData'!B$2:B$822=B245)*('RawData'!H$2:H$822&gt;K245)*(ISERROR(SEARCH("World",'RawData'!C$2:C$822)))*(ISERROR(SEARCH("Other",'RawData'!C$2:C$822))))+1)))</f>
        <v>9</v>
      </c>
    </row>
    <row r="246" spans="1:14" x14ac:dyDescent="0.3">
      <c r="A246" s="4" t="str">
        <f>IF(ISNUMBER(SEARCH("World",'RawData'!C274)),"",'RawData'!A274)</f>
        <v>MCS2026</v>
      </c>
      <c r="B246" s="4" t="str">
        <f>IF(ISNUMBER(SEARCH("World",'RawData'!C274)),"",'RawData'!B274)</f>
        <v>Gypsum</v>
      </c>
      <c r="C246" s="4" t="str">
        <f>IF(ISNUMBER(SEARCH("World",'RawData'!C274)),"",'RawData'!C274)</f>
        <v>Iran</v>
      </c>
      <c r="D246" s="4" t="str">
        <f>IF(ISNUMBER(SEARCH("World",'RawData'!C274)),"",'RawData'!D274)</f>
        <v>Mine production, estimated</v>
      </c>
      <c r="E246" s="4" t="str">
        <f>IF(ISNUMBER(SEARCH("World",'RawData'!C274)),"",IF('RawData'!E274="WT001","kg",IF('RawData'!E274="WT002","ton",IF('RawData'!E274="WT003","k ton",""))))</f>
        <v>k ton</v>
      </c>
      <c r="F246" s="14">
        <f>IF(ISNUMBER(SEARCH("World",'RawData'!C274)),"",'RawData'!F274)</f>
        <v>16000</v>
      </c>
      <c r="G246" s="14">
        <f>IF(ISNUMBER(SEARCH("World",'RawData'!C274)),"",'RawData'!G274)</f>
        <v>16000</v>
      </c>
      <c r="H246" s="14">
        <f>IF(ISNUMBER(SEARCH("World",'RawData'!C274)),"",SUMIFS('RawData'!G:G,'RawData'!B:B,'RawData'!B274,'RawData'!C:C,"*World*"))</f>
        <v>160000</v>
      </c>
      <c r="I246" s="15">
        <f>IF(ISNUMBER(SEARCH("World",'RawData'!C274)),"",IFERROR(G246/H246,"-"))</f>
        <v>0.1</v>
      </c>
      <c r="J246" s="7">
        <f>IF(ISNUMBER(SEARCH("World",'RawData'!C274)),"",IF(ISNUMBER(SEARCH("Other",C246)),COUNTIFS('RawData'!B:B,B246,'RawData'!C:C,"&lt;&gt;*World*"),IF(OR(G246="",G246=0),"-",SUMPRODUCT(('RawData'!B$2:B$822=B246)*('RawData'!G$2:G$822&gt;G246)*(ISERROR(SEARCH("World",'RawData'!C$2:C$822)))*(ISERROR(SEARCH("Other",'RawData'!C$2:C$822))))+1)))</f>
        <v>2</v>
      </c>
      <c r="K246" s="14">
        <f>IF(ISNUMBER(SEARCH("World",'RawData'!C274)),"",'RawData'!H274)</f>
        <v>750000</v>
      </c>
      <c r="L246" s="14">
        <f>IF(ISNUMBER(SEARCH("World",'RawData'!C274)),"",SUMIFS('RawData'!H:H,'RawData'!B:B,'RawData'!B274,'RawData'!C:C,"*World*"))</f>
        <v>0</v>
      </c>
      <c r="M246" s="15" t="str">
        <f>IF(ISNUMBER(SEARCH("World",'RawData'!C274)),"",IFERROR(K246/L246,"-"))</f>
        <v>-</v>
      </c>
      <c r="N246" s="7">
        <f>IF(ISNUMBER(SEARCH("World",'RawData'!C274)),"",IF(ISNUMBER(SEARCH("Other",C246)),COUNTIFS('RawData'!B:B,B246,'RawData'!C:C,"&lt;&gt;*World*"),IF(OR(K246="",K246=0),"-",SUMPRODUCT(('RawData'!B$2:B$822=B246)*('RawData'!H$2:H$822&gt;K246)*(ISERROR(SEARCH("World",'RawData'!C$2:C$822)))*(ISERROR(SEARCH("Other",'RawData'!C$2:C$822))))+1)))</f>
        <v>3</v>
      </c>
    </row>
    <row r="247" spans="1:14" x14ac:dyDescent="0.3">
      <c r="A247" s="4" t="str">
        <f>IF(ISNUMBER(SEARCH("World",'RawData'!C275)),"",'RawData'!A275)</f>
        <v>MCS2026</v>
      </c>
      <c r="B247" s="4" t="str">
        <f>IF(ISNUMBER(SEARCH("World",'RawData'!C275)),"",'RawData'!B275)</f>
        <v>Gypsum</v>
      </c>
      <c r="C247" s="4" t="str">
        <f>IF(ISNUMBER(SEARCH("World",'RawData'!C275)),"",'RawData'!C275)</f>
        <v>Japan</v>
      </c>
      <c r="D247" s="4" t="str">
        <f>IF(ISNUMBER(SEARCH("World",'RawData'!C275)),"",'RawData'!D275)</f>
        <v>Mine production, estimated</v>
      </c>
      <c r="E247" s="4" t="str">
        <f>IF(ISNUMBER(SEARCH("World",'RawData'!C275)),"",IF('RawData'!E275="WT001","kg",IF('RawData'!E275="WT002","ton",IF('RawData'!E275="WT003","k ton",""))))</f>
        <v>k ton</v>
      </c>
      <c r="F247" s="14">
        <f>IF(ISNUMBER(SEARCH("World",'RawData'!C275)),"",'RawData'!F275)</f>
        <v>4300</v>
      </c>
      <c r="G247" s="14">
        <f>IF(ISNUMBER(SEARCH("World",'RawData'!C275)),"",'RawData'!G275)</f>
        <v>4300</v>
      </c>
      <c r="H247" s="14">
        <f>IF(ISNUMBER(SEARCH("World",'RawData'!C275)),"",SUMIFS('RawData'!G:G,'RawData'!B:B,'RawData'!B275,'RawData'!C:C,"*World*"))</f>
        <v>160000</v>
      </c>
      <c r="I247" s="15">
        <f>IF(ISNUMBER(SEARCH("World",'RawData'!C275)),"",IFERROR(G247/H247,"-"))</f>
        <v>2.6875E-2</v>
      </c>
      <c r="J247" s="7">
        <f>IF(ISNUMBER(SEARCH("World",'RawData'!C275)),"",IF(ISNUMBER(SEARCH("Other",C247)),COUNTIFS('RawData'!B:B,B247,'RawData'!C:C,"&lt;&gt;*World*"),IF(OR(G247="",G247=0),"-",SUMPRODUCT(('RawData'!B$2:B$822=B247)*('RawData'!G$2:G$822&gt;G247)*(ISERROR(SEARCH("World",'RawData'!C$2:C$822)))*(ISERROR(SEARCH("Other",'RawData'!C$2:C$822))))+1)))</f>
        <v>11</v>
      </c>
      <c r="K247" s="14">
        <f>IF(ISNUMBER(SEARCH("World",'RawData'!C275)),"",'RawData'!H275)</f>
        <v>0</v>
      </c>
      <c r="L247" s="14">
        <f>IF(ISNUMBER(SEARCH("World",'RawData'!C275)),"",SUMIFS('RawData'!H:H,'RawData'!B:B,'RawData'!B275,'RawData'!C:C,"*World*"))</f>
        <v>0</v>
      </c>
      <c r="M247" s="15" t="str">
        <f>IF(ISNUMBER(SEARCH("World",'RawData'!C275)),"",IFERROR(K247/L247,"-"))</f>
        <v>-</v>
      </c>
      <c r="N247" s="7" t="str">
        <f>IF(ISNUMBER(SEARCH("World",'RawData'!C275)),"",IF(ISNUMBER(SEARCH("Other",C247)),COUNTIFS('RawData'!B:B,B247,'RawData'!C:C,"&lt;&gt;*World*"),IF(OR(K247="",K247=0),"-",SUMPRODUCT(('RawData'!B$2:B$822=B247)*('RawData'!H$2:H$822&gt;K247)*(ISERROR(SEARCH("World",'RawData'!C$2:C$822)))*(ISERROR(SEARCH("Other",'RawData'!C$2:C$822))))+1)))</f>
        <v>-</v>
      </c>
    </row>
    <row r="248" spans="1:14" x14ac:dyDescent="0.3">
      <c r="A248" s="4" t="str">
        <f>IF(ISNUMBER(SEARCH("World",'RawData'!C276)),"",'RawData'!A276)</f>
        <v>MCS2026</v>
      </c>
      <c r="B248" s="4" t="str">
        <f>IF(ISNUMBER(SEARCH("World",'RawData'!C276)),"",'RawData'!B276)</f>
        <v>Gypsum</v>
      </c>
      <c r="C248" s="4" t="str">
        <f>IF(ISNUMBER(SEARCH("World",'RawData'!C276)),"",'RawData'!C276)</f>
        <v>Mexico</v>
      </c>
      <c r="D248" s="4" t="str">
        <f>IF(ISNUMBER(SEARCH("World",'RawData'!C276)),"",'RawData'!D276)</f>
        <v>Mine production, estimated</v>
      </c>
      <c r="E248" s="4" t="str">
        <f>IF(ISNUMBER(SEARCH("World",'RawData'!C276)),"",IF('RawData'!E276="WT001","kg",IF('RawData'!E276="WT002","ton",IF('RawData'!E276="WT003","k ton",""))))</f>
        <v>k ton</v>
      </c>
      <c r="F248" s="14">
        <f>IF(ISNUMBER(SEARCH("World",'RawData'!C276)),"",'RawData'!F276)</f>
        <v>5400</v>
      </c>
      <c r="G248" s="14">
        <f>IF(ISNUMBER(SEARCH("World",'RawData'!C276)),"",'RawData'!G276)</f>
        <v>5400</v>
      </c>
      <c r="H248" s="14">
        <f>IF(ISNUMBER(SEARCH("World",'RawData'!C276)),"",SUMIFS('RawData'!G:G,'RawData'!B:B,'RawData'!B276,'RawData'!C:C,"*World*"))</f>
        <v>160000</v>
      </c>
      <c r="I248" s="15">
        <f>IF(ISNUMBER(SEARCH("World",'RawData'!C276)),"",IFERROR(G248/H248,"-"))</f>
        <v>3.3750000000000002E-2</v>
      </c>
      <c r="J248" s="7">
        <f>IF(ISNUMBER(SEARCH("World",'RawData'!C276)),"",IF(ISNUMBER(SEARCH("Other",C248)),COUNTIFS('RawData'!B:B,B248,'RawData'!C:C,"&lt;&gt;*World*"),IF(OR(G248="",G248=0),"-",SUMPRODUCT(('RawData'!B$2:B$822=B248)*('RawData'!G$2:G$822&gt;G248)*(ISERROR(SEARCH("World",'RawData'!C$2:C$822)))*(ISERROR(SEARCH("Other",'RawData'!C$2:C$822))))+1)))</f>
        <v>9</v>
      </c>
      <c r="K248" s="14">
        <f>IF(ISNUMBER(SEARCH("World",'RawData'!C276)),"",'RawData'!H276)</f>
        <v>0</v>
      </c>
      <c r="L248" s="14">
        <f>IF(ISNUMBER(SEARCH("World",'RawData'!C276)),"",SUMIFS('RawData'!H:H,'RawData'!B:B,'RawData'!B276,'RawData'!C:C,"*World*"))</f>
        <v>0</v>
      </c>
      <c r="M248" s="15" t="str">
        <f>IF(ISNUMBER(SEARCH("World",'RawData'!C276)),"",IFERROR(K248/L248,"-"))</f>
        <v>-</v>
      </c>
      <c r="N248" s="7" t="str">
        <f>IF(ISNUMBER(SEARCH("World",'RawData'!C276)),"",IF(ISNUMBER(SEARCH("Other",C248)),COUNTIFS('RawData'!B:B,B248,'RawData'!C:C,"&lt;&gt;*World*"),IF(OR(K248="",K248=0),"-",SUMPRODUCT(('RawData'!B$2:B$822=B248)*('RawData'!H$2:H$822&gt;K248)*(ISERROR(SEARCH("World",'RawData'!C$2:C$822)))*(ISERROR(SEARCH("Other",'RawData'!C$2:C$822))))+1)))</f>
        <v>-</v>
      </c>
    </row>
    <row r="249" spans="1:14" x14ac:dyDescent="0.3">
      <c r="A249" s="4" t="str">
        <f>IF(ISNUMBER(SEARCH("World",'RawData'!C277)),"",'RawData'!A277)</f>
        <v>MCS2026</v>
      </c>
      <c r="B249" s="4" t="str">
        <f>IF(ISNUMBER(SEARCH("World",'RawData'!C277)),"",'RawData'!B277)</f>
        <v>Gypsum</v>
      </c>
      <c r="C249" s="4" t="str">
        <f>IF(ISNUMBER(SEARCH("World",'RawData'!C277)),"",'RawData'!C277)</f>
        <v>Oman</v>
      </c>
      <c r="D249" s="4" t="str">
        <f>IF(ISNUMBER(SEARCH("World",'RawData'!C277)),"",'RawData'!D277)</f>
        <v>Mine production, estimated</v>
      </c>
      <c r="E249" s="4" t="str">
        <f>IF(ISNUMBER(SEARCH("World",'RawData'!C277)),"",IF('RawData'!E277="WT001","kg",IF('RawData'!E277="WT002","ton",IF('RawData'!E277="WT003","k ton",""))))</f>
        <v>k ton</v>
      </c>
      <c r="F249" s="14">
        <f>IF(ISNUMBER(SEARCH("World",'RawData'!C277)),"",'RawData'!F277)</f>
        <v>14000</v>
      </c>
      <c r="G249" s="14">
        <f>IF(ISNUMBER(SEARCH("World",'RawData'!C277)),"",'RawData'!G277)</f>
        <v>14000</v>
      </c>
      <c r="H249" s="14">
        <f>IF(ISNUMBER(SEARCH("World",'RawData'!C277)),"",SUMIFS('RawData'!G:G,'RawData'!B:B,'RawData'!B277,'RawData'!C:C,"*World*"))</f>
        <v>160000</v>
      </c>
      <c r="I249" s="15">
        <f>IF(ISNUMBER(SEARCH("World",'RawData'!C277)),"",IFERROR(G249/H249,"-"))</f>
        <v>8.7499999999999994E-2</v>
      </c>
      <c r="J249" s="7">
        <f>IF(ISNUMBER(SEARCH("World",'RawData'!C277)),"",IF(ISNUMBER(SEARCH("Other",C249)),COUNTIFS('RawData'!B:B,B249,'RawData'!C:C,"&lt;&gt;*World*"),IF(OR(G249="",G249=0),"-",SUMPRODUCT(('RawData'!B$2:B$822=B249)*('RawData'!G$2:G$822&gt;G249)*(ISERROR(SEARCH("World",'RawData'!C$2:C$822)))*(ISERROR(SEARCH("Other",'RawData'!C$2:C$822))))+1)))</f>
        <v>3</v>
      </c>
      <c r="K249" s="14">
        <f>IF(ISNUMBER(SEARCH("World",'RawData'!C277)),"",'RawData'!H277)</f>
        <v>0</v>
      </c>
      <c r="L249" s="14">
        <f>IF(ISNUMBER(SEARCH("World",'RawData'!C277)),"",SUMIFS('RawData'!H:H,'RawData'!B:B,'RawData'!B277,'RawData'!C:C,"*World*"))</f>
        <v>0</v>
      </c>
      <c r="M249" s="15" t="str">
        <f>IF(ISNUMBER(SEARCH("World",'RawData'!C277)),"",IFERROR(K249/L249,"-"))</f>
        <v>-</v>
      </c>
      <c r="N249" s="7" t="str">
        <f>IF(ISNUMBER(SEARCH("World",'RawData'!C277)),"",IF(ISNUMBER(SEARCH("Other",C249)),COUNTIFS('RawData'!B:B,B249,'RawData'!C:C,"&lt;&gt;*World*"),IF(OR(K249="",K249=0),"-",SUMPRODUCT(('RawData'!B$2:B$822=B249)*('RawData'!H$2:H$822&gt;K249)*(ISERROR(SEARCH("World",'RawData'!C$2:C$822)))*(ISERROR(SEARCH("Other",'RawData'!C$2:C$822))))+1)))</f>
        <v>-</v>
      </c>
    </row>
    <row r="250" spans="1:14" x14ac:dyDescent="0.3">
      <c r="A250" s="4" t="str">
        <f>IF(ISNUMBER(SEARCH("World",'RawData'!C278)),"",'RawData'!A278)</f>
        <v>MCS2026</v>
      </c>
      <c r="B250" s="4" t="str">
        <f>IF(ISNUMBER(SEARCH("World",'RawData'!C278)),"",'RawData'!B278)</f>
        <v>Gypsum</v>
      </c>
      <c r="C250" s="4" t="str">
        <f>IF(ISNUMBER(SEARCH("World",'RawData'!C278)),"",'RawData'!C278)</f>
        <v>Other Countries</v>
      </c>
      <c r="D250" s="4" t="str">
        <f>IF(ISNUMBER(SEARCH("World",'RawData'!C278)),"",'RawData'!D278)</f>
        <v>Mine production, estimated</v>
      </c>
      <c r="E250" s="4" t="str">
        <f>IF(ISNUMBER(SEARCH("World",'RawData'!C278)),"",IF('RawData'!E278="WT001","kg",IF('RawData'!E278="WT002","ton",IF('RawData'!E278="WT003","k ton",""))))</f>
        <v>k ton</v>
      </c>
      <c r="F250" s="14">
        <f>IF(ISNUMBER(SEARCH("World",'RawData'!C278)),"",'RawData'!F278)</f>
        <v>22000</v>
      </c>
      <c r="G250" s="14">
        <f>IF(ISNUMBER(SEARCH("World",'RawData'!C278)),"",'RawData'!G278)</f>
        <v>23000</v>
      </c>
      <c r="H250" s="14">
        <f>IF(ISNUMBER(SEARCH("World",'RawData'!C278)),"",SUMIFS('RawData'!G:G,'RawData'!B:B,'RawData'!B278,'RawData'!C:C,"*World*"))</f>
        <v>160000</v>
      </c>
      <c r="I250" s="15">
        <f>IF(ISNUMBER(SEARCH("World",'RawData'!C278)),"",IFERROR(G250/H250,"-"))</f>
        <v>0.14374999999999999</v>
      </c>
      <c r="J250" s="7">
        <f>IF(ISNUMBER(SEARCH("World",'RawData'!C278)),"",IF(ISNUMBER(SEARCH("Other",C250)),COUNTIFS('RawData'!B:B,B250,'RawData'!C:C,"&lt;&gt;*World*"),IF(OR(G250="",G250=0),"-",SUMPRODUCT(('RawData'!B$2:B$822=B250)*('RawData'!G$2:G$822&gt;G250)*(ISERROR(SEARCH("World",'RawData'!C$2:C$822)))*(ISERROR(SEARCH("Other",'RawData'!C$2:C$822))))+1)))</f>
        <v>20</v>
      </c>
      <c r="K250" s="14">
        <f>IF(ISNUMBER(SEARCH("World",'RawData'!C278)),"",'RawData'!H278)</f>
        <v>0</v>
      </c>
      <c r="L250" s="14">
        <f>IF(ISNUMBER(SEARCH("World",'RawData'!C278)),"",SUMIFS('RawData'!H:H,'RawData'!B:B,'RawData'!B278,'RawData'!C:C,"*World*"))</f>
        <v>0</v>
      </c>
      <c r="M250" s="15" t="str">
        <f>IF(ISNUMBER(SEARCH("World",'RawData'!C278)),"",IFERROR(K250/L250,"-"))</f>
        <v>-</v>
      </c>
      <c r="N250" s="7">
        <f>IF(ISNUMBER(SEARCH("World",'RawData'!C278)),"",IF(ISNUMBER(SEARCH("Other",C250)),COUNTIFS('RawData'!B:B,B250,'RawData'!C:C,"&lt;&gt;*World*"),IF(OR(K250="",K250=0),"-",SUMPRODUCT(('RawData'!B$2:B$822=B250)*('RawData'!H$2:H$822&gt;K250)*(ISERROR(SEARCH("World",'RawData'!C$2:C$822)))*(ISERROR(SEARCH("Other",'RawData'!C$2:C$822))))+1)))</f>
        <v>20</v>
      </c>
    </row>
    <row r="251" spans="1:14" x14ac:dyDescent="0.3">
      <c r="A251" s="4" t="str">
        <f>IF(ISNUMBER(SEARCH("World",'RawData'!C279)),"",'RawData'!A279)</f>
        <v>MCS2026</v>
      </c>
      <c r="B251" s="4" t="str">
        <f>IF(ISNUMBER(SEARCH("World",'RawData'!C279)),"",'RawData'!B279)</f>
        <v>Gypsum</v>
      </c>
      <c r="C251" s="4" t="str">
        <f>IF(ISNUMBER(SEARCH("World",'RawData'!C279)),"",'RawData'!C279)</f>
        <v>Turkiye</v>
      </c>
      <c r="D251" s="4" t="str">
        <f>IF(ISNUMBER(SEARCH("World",'RawData'!C279)),"",'RawData'!D279)</f>
        <v>Mine production, estimated</v>
      </c>
      <c r="E251" s="4" t="str">
        <f>IF(ISNUMBER(SEARCH("World",'RawData'!C279)),"",IF('RawData'!E279="WT001","kg",IF('RawData'!E279="WT002","ton",IF('RawData'!E279="WT003","k ton",""))))</f>
        <v>k ton</v>
      </c>
      <c r="F251" s="14">
        <f>IF(ISNUMBER(SEARCH("World",'RawData'!C279)),"",'RawData'!F279)</f>
        <v>10000</v>
      </c>
      <c r="G251" s="14">
        <f>IF(ISNUMBER(SEARCH("World",'RawData'!C279)),"",'RawData'!G279)</f>
        <v>10000</v>
      </c>
      <c r="H251" s="14">
        <f>IF(ISNUMBER(SEARCH("World",'RawData'!C279)),"",SUMIFS('RawData'!G:G,'RawData'!B:B,'RawData'!B279,'RawData'!C:C,"*World*"))</f>
        <v>160000</v>
      </c>
      <c r="I251" s="15">
        <f>IF(ISNUMBER(SEARCH("World",'RawData'!C279)),"",IFERROR(G251/H251,"-"))</f>
        <v>6.25E-2</v>
      </c>
      <c r="J251" s="7">
        <f>IF(ISNUMBER(SEARCH("World",'RawData'!C279)),"",IF(ISNUMBER(SEARCH("Other",C251)),COUNTIFS('RawData'!B:B,B251,'RawData'!C:C,"&lt;&gt;*World*"),IF(OR(G251="",G251=0),"-",SUMPRODUCT(('RawData'!B$2:B$822=B251)*('RawData'!G$2:G$822&gt;G251)*(ISERROR(SEARCH("World",'RawData'!C$2:C$822)))*(ISERROR(SEARCH("Other",'RawData'!C$2:C$822))))+1)))</f>
        <v>6</v>
      </c>
      <c r="K251" s="14">
        <f>IF(ISNUMBER(SEARCH("World",'RawData'!C279)),"",'RawData'!H279)</f>
        <v>200000</v>
      </c>
      <c r="L251" s="14">
        <f>IF(ISNUMBER(SEARCH("World",'RawData'!C279)),"",SUMIFS('RawData'!H:H,'RawData'!B:B,'RawData'!B279,'RawData'!C:C,"*World*"))</f>
        <v>0</v>
      </c>
      <c r="M251" s="15" t="str">
        <f>IF(ISNUMBER(SEARCH("World",'RawData'!C279)),"",IFERROR(K251/L251,"-"))</f>
        <v>-</v>
      </c>
      <c r="N251" s="7">
        <f>IF(ISNUMBER(SEARCH("World",'RawData'!C279)),"",IF(ISNUMBER(SEARCH("Other",C251)),COUNTIFS('RawData'!B:B,B251,'RawData'!C:C,"&lt;&gt;*World*"),IF(OR(K251="",K251=0),"-",SUMPRODUCT(('RawData'!B$2:B$822=B251)*('RawData'!H$2:H$822&gt;K251)*(ISERROR(SEARCH("World",'RawData'!C$2:C$822)))*(ISERROR(SEARCH("Other",'RawData'!C$2:C$822))))+1)))</f>
        <v>8</v>
      </c>
    </row>
    <row r="252" spans="1:14" x14ac:dyDescent="0.3">
      <c r="A252" s="4" t="str">
        <f>IF(ISNUMBER(SEARCH("World",'RawData'!C280)),"",'RawData'!A280)</f>
        <v>MCS2026</v>
      </c>
      <c r="B252" s="4" t="str">
        <f>IF(ISNUMBER(SEARCH("World",'RawData'!C280)),"",'RawData'!B280)</f>
        <v>Gypsum</v>
      </c>
      <c r="C252" s="4" t="str">
        <f>IF(ISNUMBER(SEARCH("World",'RawData'!C280)),"",'RawData'!C280)</f>
        <v xml:space="preserve">Russia </v>
      </c>
      <c r="D252" s="4" t="str">
        <f>IF(ISNUMBER(SEARCH("World",'RawData'!C280)),"",'RawData'!D280)</f>
        <v>Mine production, estimated</v>
      </c>
      <c r="E252" s="4" t="str">
        <f>IF(ISNUMBER(SEARCH("World",'RawData'!C280)),"",IF('RawData'!E280="WT001","kg",IF('RawData'!E280="WT002","ton",IF('RawData'!E280="WT003","k ton",""))))</f>
        <v>k ton</v>
      </c>
      <c r="F252" s="14">
        <f>IF(ISNUMBER(SEARCH("World",'RawData'!C280)),"",'RawData'!F280)</f>
        <v>4300</v>
      </c>
      <c r="G252" s="14">
        <f>IF(ISNUMBER(SEARCH("World",'RawData'!C280)),"",'RawData'!G280)</f>
        <v>4300</v>
      </c>
      <c r="H252" s="14">
        <f>IF(ISNUMBER(SEARCH("World",'RawData'!C280)),"",SUMIFS('RawData'!G:G,'RawData'!B:B,'RawData'!B280,'RawData'!C:C,"*World*"))</f>
        <v>160000</v>
      </c>
      <c r="I252" s="15">
        <f>IF(ISNUMBER(SEARCH("World",'RawData'!C280)),"",IFERROR(G252/H252,"-"))</f>
        <v>2.6875E-2</v>
      </c>
      <c r="J252" s="7">
        <f>IF(ISNUMBER(SEARCH("World",'RawData'!C280)),"",IF(ISNUMBER(SEARCH("Other",C252)),COUNTIFS('RawData'!B:B,B252,'RawData'!C:C,"&lt;&gt;*World*"),IF(OR(G252="",G252=0),"-",SUMPRODUCT(('RawData'!B$2:B$822=B252)*('RawData'!G$2:G$822&gt;G252)*(ISERROR(SEARCH("World",'RawData'!C$2:C$822)))*(ISERROR(SEARCH("Other",'RawData'!C$2:C$822))))+1)))</f>
        <v>11</v>
      </c>
      <c r="K252" s="14">
        <f>IF(ISNUMBER(SEARCH("World",'RawData'!C280)),"",'RawData'!H280)</f>
        <v>0</v>
      </c>
      <c r="L252" s="14">
        <f>IF(ISNUMBER(SEARCH("World",'RawData'!C280)),"",SUMIFS('RawData'!H:H,'RawData'!B:B,'RawData'!B280,'RawData'!C:C,"*World*"))</f>
        <v>0</v>
      </c>
      <c r="M252" s="15" t="str">
        <f>IF(ISNUMBER(SEARCH("World",'RawData'!C280)),"",IFERROR(K252/L252,"-"))</f>
        <v>-</v>
      </c>
      <c r="N252" s="7" t="str">
        <f>IF(ISNUMBER(SEARCH("World",'RawData'!C280)),"",IF(ISNUMBER(SEARCH("Other",C252)),COUNTIFS('RawData'!B:B,B252,'RawData'!C:C,"&lt;&gt;*World*"),IF(OR(K252="",K252=0),"-",SUMPRODUCT(('RawData'!B$2:B$822=B252)*('RawData'!H$2:H$822&gt;K252)*(ISERROR(SEARCH("World",'RawData'!C$2:C$822)))*(ISERROR(SEARCH("Other",'RawData'!C$2:C$822))))+1)))</f>
        <v>-</v>
      </c>
    </row>
    <row r="253" spans="1:14" x14ac:dyDescent="0.3">
      <c r="A253" s="4" t="str">
        <f>IF(ISNUMBER(SEARCH("World",'RawData'!C281)),"",'RawData'!A281)</f>
        <v>MCS2026</v>
      </c>
      <c r="B253" s="4" t="str">
        <f>IF(ISNUMBER(SEARCH("World",'RawData'!C281)),"",'RawData'!B281)</f>
        <v>Gypsum</v>
      </c>
      <c r="C253" s="4" t="str">
        <f>IF(ISNUMBER(SEARCH("World",'RawData'!C281)),"",'RawData'!C281)</f>
        <v>Saudi Arabia</v>
      </c>
      <c r="D253" s="4" t="str">
        <f>IF(ISNUMBER(SEARCH("World",'RawData'!C281)),"",'RawData'!D281)</f>
        <v>Mine production, estimated</v>
      </c>
      <c r="E253" s="4" t="str">
        <f>IF(ISNUMBER(SEARCH("World",'RawData'!C281)),"",IF('RawData'!E281="WT001","kg",IF('RawData'!E281="WT002","ton",IF('RawData'!E281="WT003","k ton",""))))</f>
        <v>k ton</v>
      </c>
      <c r="F253" s="14">
        <f>IF(ISNUMBER(SEARCH("World",'RawData'!C281)),"",'RawData'!F281)</f>
        <v>3800</v>
      </c>
      <c r="G253" s="14">
        <f>IF(ISNUMBER(SEARCH("World",'RawData'!C281)),"",'RawData'!G281)</f>
        <v>3800</v>
      </c>
      <c r="H253" s="14">
        <f>IF(ISNUMBER(SEARCH("World",'RawData'!C281)),"",SUMIFS('RawData'!G:G,'RawData'!B:B,'RawData'!B281,'RawData'!C:C,"*World*"))</f>
        <v>160000</v>
      </c>
      <c r="I253" s="15">
        <f>IF(ISNUMBER(SEARCH("World",'RawData'!C281)),"",IFERROR(G253/H253,"-"))</f>
        <v>2.375E-2</v>
      </c>
      <c r="J253" s="7">
        <f>IF(ISNUMBER(SEARCH("World",'RawData'!C281)),"",IF(ISNUMBER(SEARCH("Other",C253)),COUNTIFS('RawData'!B:B,B253,'RawData'!C:C,"&lt;&gt;*World*"),IF(OR(G253="",G253=0),"-",SUMPRODUCT(('RawData'!B$2:B$822=B253)*('RawData'!G$2:G$822&gt;G253)*(ISERROR(SEARCH("World",'RawData'!C$2:C$822)))*(ISERROR(SEARCH("Other",'RawData'!C$2:C$822))))+1)))</f>
        <v>15</v>
      </c>
      <c r="K253" s="14">
        <f>IF(ISNUMBER(SEARCH("World",'RawData'!C281)),"",'RawData'!H281)</f>
        <v>0</v>
      </c>
      <c r="L253" s="14">
        <f>IF(ISNUMBER(SEARCH("World",'RawData'!C281)),"",SUMIFS('RawData'!H:H,'RawData'!B:B,'RawData'!B281,'RawData'!C:C,"*World*"))</f>
        <v>0</v>
      </c>
      <c r="M253" s="15" t="str">
        <f>IF(ISNUMBER(SEARCH("World",'RawData'!C281)),"",IFERROR(K253/L253,"-"))</f>
        <v>-</v>
      </c>
      <c r="N253" s="7" t="str">
        <f>IF(ISNUMBER(SEARCH("World",'RawData'!C281)),"",IF(ISNUMBER(SEARCH("Other",C253)),COUNTIFS('RawData'!B:B,B253,'RawData'!C:C,"&lt;&gt;*World*"),IF(OR(K253="",K253=0),"-",SUMPRODUCT(('RawData'!B$2:B$822=B253)*('RawData'!H$2:H$822&gt;K253)*(ISERROR(SEARCH("World",'RawData'!C$2:C$822)))*(ISERROR(SEARCH("Other",'RawData'!C$2:C$822))))+1)))</f>
        <v>-</v>
      </c>
    </row>
    <row r="254" spans="1:14" x14ac:dyDescent="0.3">
      <c r="A254" s="4" t="str">
        <f>IF(ISNUMBER(SEARCH("World",'RawData'!C282)),"",'RawData'!A282)</f>
        <v>MCS2026</v>
      </c>
      <c r="B254" s="4" t="str">
        <f>IF(ISNUMBER(SEARCH("World",'RawData'!C282)),"",'RawData'!B282)</f>
        <v>Gypsum</v>
      </c>
      <c r="C254" s="4" t="str">
        <f>IF(ISNUMBER(SEARCH("World",'RawData'!C282)),"",'RawData'!C282)</f>
        <v>Spain</v>
      </c>
      <c r="D254" s="4" t="str">
        <f>IF(ISNUMBER(SEARCH("World",'RawData'!C282)),"",'RawData'!D282)</f>
        <v>Mine production, estimated</v>
      </c>
      <c r="E254" s="4" t="str">
        <f>IF(ISNUMBER(SEARCH("World",'RawData'!C282)),"",IF('RawData'!E282="WT001","kg",IF('RawData'!E282="WT002","ton",IF('RawData'!E282="WT003","k ton",""))))</f>
        <v>k ton</v>
      </c>
      <c r="F254" s="14">
        <f>IF(ISNUMBER(SEARCH("World",'RawData'!C282)),"",'RawData'!F282)</f>
        <v>11000</v>
      </c>
      <c r="G254" s="14">
        <f>IF(ISNUMBER(SEARCH("World",'RawData'!C282)),"",'RawData'!G282)</f>
        <v>11000</v>
      </c>
      <c r="H254" s="14">
        <f>IF(ISNUMBER(SEARCH("World",'RawData'!C282)),"",SUMIFS('RawData'!G:G,'RawData'!B:B,'RawData'!B282,'RawData'!C:C,"*World*"))</f>
        <v>160000</v>
      </c>
      <c r="I254" s="15">
        <f>IF(ISNUMBER(SEARCH("World",'RawData'!C282)),"",IFERROR(G254/H254,"-"))</f>
        <v>6.8750000000000006E-2</v>
      </c>
      <c r="J254" s="7">
        <f>IF(ISNUMBER(SEARCH("World",'RawData'!C282)),"",IF(ISNUMBER(SEARCH("Other",C254)),COUNTIFS('RawData'!B:B,B254,'RawData'!C:C,"&lt;&gt;*World*"),IF(OR(G254="",G254=0),"-",SUMPRODUCT(('RawData'!B$2:B$822=B254)*('RawData'!G$2:G$822&gt;G254)*(ISERROR(SEARCH("World",'RawData'!C$2:C$822)))*(ISERROR(SEARCH("Other",'RawData'!C$2:C$822))))+1)))</f>
        <v>5</v>
      </c>
      <c r="K254" s="14">
        <f>IF(ISNUMBER(SEARCH("World",'RawData'!C282)),"",'RawData'!H282)</f>
        <v>0</v>
      </c>
      <c r="L254" s="14">
        <f>IF(ISNUMBER(SEARCH("World",'RawData'!C282)),"",SUMIFS('RawData'!H:H,'RawData'!B:B,'RawData'!B282,'RawData'!C:C,"*World*"))</f>
        <v>0</v>
      </c>
      <c r="M254" s="15" t="str">
        <f>IF(ISNUMBER(SEARCH("World",'RawData'!C282)),"",IFERROR(K254/L254,"-"))</f>
        <v>-</v>
      </c>
      <c r="N254" s="7" t="str">
        <f>IF(ISNUMBER(SEARCH("World",'RawData'!C282)),"",IF(ISNUMBER(SEARCH("Other",C254)),COUNTIFS('RawData'!B:B,B254,'RawData'!C:C,"&lt;&gt;*World*"),IF(OR(K254="",K254=0),"-",SUMPRODUCT(('RawData'!B$2:B$822=B254)*('RawData'!H$2:H$822&gt;K254)*(ISERROR(SEARCH("World",'RawData'!C$2:C$822)))*(ISERROR(SEARCH("Other",'RawData'!C$2:C$822))))+1)))</f>
        <v>-</v>
      </c>
    </row>
    <row r="255" spans="1:14" x14ac:dyDescent="0.3">
      <c r="A255" s="4" t="str">
        <f>IF(ISNUMBER(SEARCH("World",'RawData'!C283)),"",'RawData'!A283)</f>
        <v>MCS2026</v>
      </c>
      <c r="B255" s="4" t="str">
        <f>IF(ISNUMBER(SEARCH("World",'RawData'!C283)),"",'RawData'!B283)</f>
        <v>Gypsum</v>
      </c>
      <c r="C255" s="4" t="str">
        <f>IF(ISNUMBER(SEARCH("World",'RawData'!C283)),"",'RawData'!C283)</f>
        <v>Thailand</v>
      </c>
      <c r="D255" s="4" t="str">
        <f>IF(ISNUMBER(SEARCH("World",'RawData'!C283)),"",'RawData'!D283)</f>
        <v>Mine production, estimated</v>
      </c>
      <c r="E255" s="4" t="str">
        <f>IF(ISNUMBER(SEARCH("World",'RawData'!C283)),"",IF('RawData'!E283="WT001","kg",IF('RawData'!E283="WT002","ton",IF('RawData'!E283="WT003","k ton",""))))</f>
        <v>k ton</v>
      </c>
      <c r="F255" s="14">
        <f>IF(ISNUMBER(SEARCH("World",'RawData'!C283)),"",'RawData'!F283)</f>
        <v>8700</v>
      </c>
      <c r="G255" s="14">
        <f>IF(ISNUMBER(SEARCH("World",'RawData'!C283)),"",'RawData'!G283)</f>
        <v>8700</v>
      </c>
      <c r="H255" s="14">
        <f>IF(ISNUMBER(SEARCH("World",'RawData'!C283)),"",SUMIFS('RawData'!G:G,'RawData'!B:B,'RawData'!B283,'RawData'!C:C,"*World*"))</f>
        <v>160000</v>
      </c>
      <c r="I255" s="15">
        <f>IF(ISNUMBER(SEARCH("World",'RawData'!C283)),"",IFERROR(G255/H255,"-"))</f>
        <v>5.4375E-2</v>
      </c>
      <c r="J255" s="7">
        <f>IF(ISNUMBER(SEARCH("World",'RawData'!C283)),"",IF(ISNUMBER(SEARCH("Other",C255)),COUNTIFS('RawData'!B:B,B255,'RawData'!C:C,"&lt;&gt;*World*"),IF(OR(G255="",G255=0),"-",SUMPRODUCT(('RawData'!B$2:B$822=B255)*('RawData'!G$2:G$822&gt;G255)*(ISERROR(SEARCH("World",'RawData'!C$2:C$822)))*(ISERROR(SEARCH("Other",'RawData'!C$2:C$822))))+1)))</f>
        <v>7</v>
      </c>
      <c r="K255" s="14">
        <f>IF(ISNUMBER(SEARCH("World",'RawData'!C283)),"",'RawData'!H283)</f>
        <v>910000</v>
      </c>
      <c r="L255" s="14">
        <f>IF(ISNUMBER(SEARCH("World",'RawData'!C283)),"",SUMIFS('RawData'!H:H,'RawData'!B:B,'RawData'!B283,'RawData'!C:C,"*World*"))</f>
        <v>0</v>
      </c>
      <c r="M255" s="15" t="str">
        <f>IF(ISNUMBER(SEARCH("World",'RawData'!C283)),"",IFERROR(K255/L255,"-"))</f>
        <v>-</v>
      </c>
      <c r="N255" s="7">
        <f>IF(ISNUMBER(SEARCH("World",'RawData'!C283)),"",IF(ISNUMBER(SEARCH("Other",C255)),COUNTIFS('RawData'!B:B,B255,'RawData'!C:C,"&lt;&gt;*World*"),IF(OR(K255="",K255=0),"-",SUMPRODUCT(('RawData'!B$2:B$822=B255)*('RawData'!H$2:H$822&gt;K255)*(ISERROR(SEARCH("World",'RawData'!C$2:C$822)))*(ISERROR(SEARCH("Other",'RawData'!C$2:C$822))))+1)))</f>
        <v>2</v>
      </c>
    </row>
    <row r="256" spans="1:14" x14ac:dyDescent="0.3">
      <c r="A256" s="4" t="str">
        <f>IF(ISNUMBER(SEARCH("World",'RawData'!C284)),"",'RawData'!A284)</f>
        <v>MCS2026</v>
      </c>
      <c r="B256" s="4" t="str">
        <f>IF(ISNUMBER(SEARCH("World",'RawData'!C284)),"",'RawData'!B284)</f>
        <v>Gypsum</v>
      </c>
      <c r="C256" s="4" t="str">
        <f>IF(ISNUMBER(SEARCH("World",'RawData'!C284)),"",'RawData'!C284)</f>
        <v>United States</v>
      </c>
      <c r="D256" s="4" t="str">
        <f>IF(ISNUMBER(SEARCH("World",'RawData'!C284)),"",'RawData'!D284)</f>
        <v>Mine production, estimated</v>
      </c>
      <c r="E256" s="4" t="str">
        <f>IF(ISNUMBER(SEARCH("World",'RawData'!C284)),"",IF('RawData'!E284="WT001","kg",IF('RawData'!E284="WT002","ton",IF('RawData'!E284="WT003","k ton",""))))</f>
        <v>k ton</v>
      </c>
      <c r="F256" s="14">
        <f>IF(ISNUMBER(SEARCH("World",'RawData'!C284)),"",'RawData'!F284)</f>
        <v>20800</v>
      </c>
      <c r="G256" s="14">
        <f>IF(ISNUMBER(SEARCH("World",'RawData'!C284)),"",'RawData'!G284)</f>
        <v>20000</v>
      </c>
      <c r="H256" s="14">
        <f>IF(ISNUMBER(SEARCH("World",'RawData'!C284)),"",SUMIFS('RawData'!G:G,'RawData'!B:B,'RawData'!B284,'RawData'!C:C,"*World*"))</f>
        <v>160000</v>
      </c>
      <c r="I256" s="15">
        <f>IF(ISNUMBER(SEARCH("World",'RawData'!C284)),"",IFERROR(G256/H256,"-"))</f>
        <v>0.125</v>
      </c>
      <c r="J256" s="7">
        <f>IF(ISNUMBER(SEARCH("World",'RawData'!C284)),"",IF(ISNUMBER(SEARCH("Other",C256)),COUNTIFS('RawData'!B:B,B256,'RawData'!C:C,"&lt;&gt;*World*"),IF(OR(G256="",G256=0),"-",SUMPRODUCT(('RawData'!B$2:B$822=B256)*('RawData'!G$2:G$822&gt;G256)*(ISERROR(SEARCH("World",'RawData'!C$2:C$822)))*(ISERROR(SEARCH("Other",'RawData'!C$2:C$822))))+1)))</f>
        <v>1</v>
      </c>
      <c r="K256" s="14">
        <f>IF(ISNUMBER(SEARCH("World",'RawData'!C284)),"",'RawData'!H284)</f>
        <v>700000</v>
      </c>
      <c r="L256" s="14">
        <f>IF(ISNUMBER(SEARCH("World",'RawData'!C284)),"",SUMIFS('RawData'!H:H,'RawData'!B:B,'RawData'!B284,'RawData'!C:C,"*World*"))</f>
        <v>0</v>
      </c>
      <c r="M256" s="15" t="str">
        <f>IF(ISNUMBER(SEARCH("World",'RawData'!C284)),"",IFERROR(K256/L256,"-"))</f>
        <v>-</v>
      </c>
      <c r="N256" s="7">
        <f>IF(ISNUMBER(SEARCH("World",'RawData'!C284)),"",IF(ISNUMBER(SEARCH("Other",C256)),COUNTIFS('RawData'!B:B,B256,'RawData'!C:C,"&lt;&gt;*World*"),IF(OR(K256="",K256=0),"-",SUMPRODUCT(('RawData'!B$2:B$822=B256)*('RawData'!H$2:H$822&gt;K256)*(ISERROR(SEARCH("World",'RawData'!C$2:C$822)))*(ISERROR(SEARCH("Other",'RawData'!C$2:C$822))))+1)))</f>
        <v>4</v>
      </c>
    </row>
    <row r="257" spans="1:14" x14ac:dyDescent="0.3">
      <c r="A257" s="4" t="str">
        <f>IF(ISNUMBER(SEARCH("World",'RawData'!C285)),"",'RawData'!A285)</f>
        <v>MCS2026</v>
      </c>
      <c r="B257" s="4" t="str">
        <f>IF(ISNUMBER(SEARCH("World",'RawData'!C285)),"",'RawData'!B285)</f>
        <v>Gypsum</v>
      </c>
      <c r="C257" s="4" t="str">
        <f>IF(ISNUMBER(SEARCH("World",'RawData'!C285)),"",'RawData'!C285)</f>
        <v>Uzbekistan</v>
      </c>
      <c r="D257" s="4" t="str">
        <f>IF(ISNUMBER(SEARCH("World",'RawData'!C285)),"",'RawData'!D285)</f>
        <v>Mine production, estimated</v>
      </c>
      <c r="E257" s="4" t="str">
        <f>IF(ISNUMBER(SEARCH("World",'RawData'!C285)),"",IF('RawData'!E285="WT001","kg",IF('RawData'!E285="WT002","ton",IF('RawData'!E285="WT003","k ton",""))))</f>
        <v>k ton</v>
      </c>
      <c r="F257" s="14">
        <f>IF(ISNUMBER(SEARCH("World",'RawData'!C285)),"",'RawData'!F285)</f>
        <v>2500</v>
      </c>
      <c r="G257" s="14">
        <f>IF(ISNUMBER(SEARCH("World",'RawData'!C285)),"",'RawData'!G285)</f>
        <v>2500</v>
      </c>
      <c r="H257" s="14">
        <f>IF(ISNUMBER(SEARCH("World",'RawData'!C285)),"",SUMIFS('RawData'!G:G,'RawData'!B:B,'RawData'!B285,'RawData'!C:C,"*World*"))</f>
        <v>160000</v>
      </c>
      <c r="I257" s="15">
        <f>IF(ISNUMBER(SEARCH("World",'RawData'!C285)),"",IFERROR(G257/H257,"-"))</f>
        <v>1.5625E-2</v>
      </c>
      <c r="J257" s="7">
        <f>IF(ISNUMBER(SEARCH("World",'RawData'!C285)),"",IF(ISNUMBER(SEARCH("Other",C257)),COUNTIFS('RawData'!B:B,B257,'RawData'!C:C,"&lt;&gt;*World*"),IF(OR(G257="",G257=0),"-",SUMPRODUCT(('RawData'!B$2:B$822=B257)*('RawData'!G$2:G$822&gt;G257)*(ISERROR(SEARCH("World",'RawData'!C$2:C$822)))*(ISERROR(SEARCH("Other",'RawData'!C$2:C$822))))+1)))</f>
        <v>17</v>
      </c>
      <c r="K257" s="14">
        <f>IF(ISNUMBER(SEARCH("World",'RawData'!C285)),"",'RawData'!H285)</f>
        <v>0</v>
      </c>
      <c r="L257" s="14">
        <f>IF(ISNUMBER(SEARCH("World",'RawData'!C285)),"",SUMIFS('RawData'!H:H,'RawData'!B:B,'RawData'!B285,'RawData'!C:C,"*World*"))</f>
        <v>0</v>
      </c>
      <c r="M257" s="15" t="str">
        <f>IF(ISNUMBER(SEARCH("World",'RawData'!C285)),"",IFERROR(K257/L257,"-"))</f>
        <v>-</v>
      </c>
      <c r="N257" s="7" t="str">
        <f>IF(ISNUMBER(SEARCH("World",'RawData'!C285)),"",IF(ISNUMBER(SEARCH("Other",C257)),COUNTIFS('RawData'!B:B,B257,'RawData'!C:C,"&lt;&gt;*World*"),IF(OR(K257="",K257=0),"-",SUMPRODUCT(('RawData'!B$2:B$822=B257)*('RawData'!H$2:H$822&gt;K257)*(ISERROR(SEARCH("World",'RawData'!C$2:C$822)))*(ISERROR(SEARCH("Other",'RawData'!C$2:C$822))))+1)))</f>
        <v>-</v>
      </c>
    </row>
    <row r="258" spans="1:14" x14ac:dyDescent="0.3">
      <c r="A258" s="4" t="str">
        <f>IF(ISNUMBER(SEARCH("World",'RawData'!C287)),"",'RawData'!A287)</f>
        <v>MCS2026</v>
      </c>
      <c r="B258" s="4" t="str">
        <f>IF(ISNUMBER(SEARCH("World",'RawData'!C287)),"",'RawData'!B287)</f>
        <v>Indium</v>
      </c>
      <c r="C258" s="4" t="str">
        <f>IF(ISNUMBER(SEARCH("World",'RawData'!C287)),"",'RawData'!C287)</f>
        <v>Belgium</v>
      </c>
      <c r="D258" s="4" t="str">
        <f>IF(ISNUMBER(SEARCH("World",'RawData'!C287)),"",'RawData'!D287)</f>
        <v>Refinery production</v>
      </c>
      <c r="E258" s="4" t="str">
        <f>IF(ISNUMBER(SEARCH("World",'RawData'!C287)),"",IF('RawData'!E287="WT001","kg",IF('RawData'!E287="WT002","ton",IF('RawData'!E287="WT003","k ton",""))))</f>
        <v>ton</v>
      </c>
      <c r="F258" s="14">
        <f>IF(ISNUMBER(SEARCH("World",'RawData'!C287)),"",'RawData'!F287)</f>
        <v>19</v>
      </c>
      <c r="G258" s="14">
        <f>IF(ISNUMBER(SEARCH("World",'RawData'!C287)),"",'RawData'!G287)</f>
        <v>10</v>
      </c>
      <c r="H258" s="14">
        <f>IF(ISNUMBER(SEARCH("World",'RawData'!C287)),"",SUMIFS('RawData'!G:G,'RawData'!B:B,'RawData'!B287,'RawData'!C:C,"*World*"))</f>
        <v>1100</v>
      </c>
      <c r="I258" s="15">
        <f>IF(ISNUMBER(SEARCH("World",'RawData'!C287)),"",IFERROR(G258/H258,"-"))</f>
        <v>9.0909090909090905E-3</v>
      </c>
      <c r="J258" s="7">
        <f>IF(ISNUMBER(SEARCH("World",'RawData'!C287)),"",IF(ISNUMBER(SEARCH("Other",C258)),COUNTIFS('RawData'!B:B,B258,'RawData'!C:C,"&lt;&gt;*World*"),IF(OR(G258="",G258=0),"-",SUMPRODUCT(('RawData'!B$2:B$822=B258)*('RawData'!G$2:G$822&gt;G258)*(ISERROR(SEARCH("World",'RawData'!C$2:C$822)))*(ISERROR(SEARCH("Other",'RawData'!C$2:C$822))))+1)))</f>
        <v>6</v>
      </c>
      <c r="K258" s="14">
        <f>IF(ISNUMBER(SEARCH("World",'RawData'!C287)),"",'RawData'!H287)</f>
        <v>0</v>
      </c>
      <c r="L258" s="14">
        <f>IF(ISNUMBER(SEARCH("World",'RawData'!C287)),"",SUMIFS('RawData'!H:H,'RawData'!B:B,'RawData'!B287,'RawData'!C:C,"*World*"))</f>
        <v>0</v>
      </c>
      <c r="M258" s="15" t="str">
        <f>IF(ISNUMBER(SEARCH("World",'RawData'!C287)),"",IFERROR(K258/L258,"-"))</f>
        <v>-</v>
      </c>
      <c r="N258" s="7" t="str">
        <f>IF(ISNUMBER(SEARCH("World",'RawData'!C287)),"",IF(ISNUMBER(SEARCH("Other",C258)),COUNTIFS('RawData'!B:B,B258,'RawData'!C:C,"&lt;&gt;*World*"),IF(OR(K258="",K258=0),"-",SUMPRODUCT(('RawData'!B$2:B$822=B258)*('RawData'!H$2:H$822&gt;K258)*(ISERROR(SEARCH("World",'RawData'!C$2:C$822)))*(ISERROR(SEARCH("Other",'RawData'!C$2:C$822))))+1)))</f>
        <v>-</v>
      </c>
    </row>
    <row r="259" spans="1:14" x14ac:dyDescent="0.3">
      <c r="A259" s="4" t="str">
        <f>IF(ISNUMBER(SEARCH("World",'RawData'!C288)),"",'RawData'!A288)</f>
        <v>MCS2026</v>
      </c>
      <c r="B259" s="4" t="str">
        <f>IF(ISNUMBER(SEARCH("World",'RawData'!C288)),"",'RawData'!B288)</f>
        <v>Indium</v>
      </c>
      <c r="C259" s="4" t="str">
        <f>IF(ISNUMBER(SEARCH("World",'RawData'!C288)),"",'RawData'!C288)</f>
        <v xml:space="preserve">Canada </v>
      </c>
      <c r="D259" s="4" t="str">
        <f>IF(ISNUMBER(SEARCH("World",'RawData'!C288)),"",'RawData'!D288)</f>
        <v>Refinery production</v>
      </c>
      <c r="E259" s="4" t="str">
        <f>IF(ISNUMBER(SEARCH("World",'RawData'!C288)),"",IF('RawData'!E288="WT001","kg",IF('RawData'!E288="WT002","ton",IF('RawData'!E288="WT003","k ton",""))))</f>
        <v>ton</v>
      </c>
      <c r="F259" s="14">
        <f>IF(ISNUMBER(SEARCH("World",'RawData'!C288)),"",'RawData'!F288)</f>
        <v>40</v>
      </c>
      <c r="G259" s="14">
        <f>IF(ISNUMBER(SEARCH("World",'RawData'!C288)),"",'RawData'!G288)</f>
        <v>40</v>
      </c>
      <c r="H259" s="14">
        <f>IF(ISNUMBER(SEARCH("World",'RawData'!C288)),"",SUMIFS('RawData'!G:G,'RawData'!B:B,'RawData'!B288,'RawData'!C:C,"*World*"))</f>
        <v>1100</v>
      </c>
      <c r="I259" s="15">
        <f>IF(ISNUMBER(SEARCH("World",'RawData'!C288)),"",IFERROR(G259/H259,"-"))</f>
        <v>3.6363636363636362E-2</v>
      </c>
      <c r="J259" s="7">
        <f>IF(ISNUMBER(SEARCH("World",'RawData'!C288)),"",IF(ISNUMBER(SEARCH("Other",C259)),COUNTIFS('RawData'!B:B,B259,'RawData'!C:C,"&lt;&gt;*World*"),IF(OR(G259="",G259=0),"-",SUMPRODUCT(('RawData'!B$2:B$822=B259)*('RawData'!G$2:G$822&gt;G259)*(ISERROR(SEARCH("World",'RawData'!C$2:C$822)))*(ISERROR(SEARCH("Other",'RawData'!C$2:C$822))))+1)))</f>
        <v>4</v>
      </c>
      <c r="K259" s="14">
        <f>IF(ISNUMBER(SEARCH("World",'RawData'!C288)),"",'RawData'!H288)</f>
        <v>0</v>
      </c>
      <c r="L259" s="14">
        <f>IF(ISNUMBER(SEARCH("World",'RawData'!C288)),"",SUMIFS('RawData'!H:H,'RawData'!B:B,'RawData'!B288,'RawData'!C:C,"*World*"))</f>
        <v>0</v>
      </c>
      <c r="M259" s="15" t="str">
        <f>IF(ISNUMBER(SEARCH("World",'RawData'!C288)),"",IFERROR(K259/L259,"-"))</f>
        <v>-</v>
      </c>
      <c r="N259" s="7" t="str">
        <f>IF(ISNUMBER(SEARCH("World",'RawData'!C288)),"",IF(ISNUMBER(SEARCH("Other",C259)),COUNTIFS('RawData'!B:B,B259,'RawData'!C:C,"&lt;&gt;*World*"),IF(OR(K259="",K259=0),"-",SUMPRODUCT(('RawData'!B$2:B$822=B259)*('RawData'!H$2:H$822&gt;K259)*(ISERROR(SEARCH("World",'RawData'!C$2:C$822)))*(ISERROR(SEARCH("Other",'RawData'!C$2:C$822))))+1)))</f>
        <v>-</v>
      </c>
    </row>
    <row r="260" spans="1:14" x14ac:dyDescent="0.3">
      <c r="A260" s="4" t="str">
        <f>IF(ISNUMBER(SEARCH("World",'RawData'!C289)),"",'RawData'!A289)</f>
        <v>MCS2026</v>
      </c>
      <c r="B260" s="4" t="str">
        <f>IF(ISNUMBER(SEARCH("World",'RawData'!C289)),"",'RawData'!B289)</f>
        <v>Indium</v>
      </c>
      <c r="C260" s="4" t="str">
        <f>IF(ISNUMBER(SEARCH("World",'RawData'!C289)),"",'RawData'!C289)</f>
        <v>China</v>
      </c>
      <c r="D260" s="4" t="str">
        <f>IF(ISNUMBER(SEARCH("World",'RawData'!C289)),"",'RawData'!D289)</f>
        <v>Refinery production</v>
      </c>
      <c r="E260" s="4" t="str">
        <f>IF(ISNUMBER(SEARCH("World",'RawData'!C289)),"",IF('RawData'!E289="WT001","kg",IF('RawData'!E289="WT002","ton",IF('RawData'!E289="WT003","k ton",""))))</f>
        <v>ton</v>
      </c>
      <c r="F260" s="14">
        <f>IF(ISNUMBER(SEARCH("World",'RawData'!C289)),"",'RawData'!F289)</f>
        <v>760</v>
      </c>
      <c r="G260" s="14">
        <f>IF(ISNUMBER(SEARCH("World",'RawData'!C289)),"",'RawData'!G289)</f>
        <v>760</v>
      </c>
      <c r="H260" s="14">
        <f>IF(ISNUMBER(SEARCH("World",'RawData'!C289)),"",SUMIFS('RawData'!G:G,'RawData'!B:B,'RawData'!B289,'RawData'!C:C,"*World*"))</f>
        <v>1100</v>
      </c>
      <c r="I260" s="15">
        <f>IF(ISNUMBER(SEARCH("World",'RawData'!C289)),"",IFERROR(G260/H260,"-"))</f>
        <v>0.69090909090909092</v>
      </c>
      <c r="J260" s="7">
        <f>IF(ISNUMBER(SEARCH("World",'RawData'!C289)),"",IF(ISNUMBER(SEARCH("Other",C260)),COUNTIFS('RawData'!B:B,B260,'RawData'!C:C,"&lt;&gt;*World*"),IF(OR(G260="",G260=0),"-",SUMPRODUCT(('RawData'!B$2:B$822=B260)*('RawData'!G$2:G$822&gt;G260)*(ISERROR(SEARCH("World",'RawData'!C$2:C$822)))*(ISERROR(SEARCH("Other",'RawData'!C$2:C$822))))+1)))</f>
        <v>1</v>
      </c>
      <c r="K260" s="14">
        <f>IF(ISNUMBER(SEARCH("World",'RawData'!C289)),"",'RawData'!H289)</f>
        <v>0</v>
      </c>
      <c r="L260" s="14">
        <f>IF(ISNUMBER(SEARCH("World",'RawData'!C289)),"",SUMIFS('RawData'!H:H,'RawData'!B:B,'RawData'!B289,'RawData'!C:C,"*World*"))</f>
        <v>0</v>
      </c>
      <c r="M260" s="15" t="str">
        <f>IF(ISNUMBER(SEARCH("World",'RawData'!C289)),"",IFERROR(K260/L260,"-"))</f>
        <v>-</v>
      </c>
      <c r="N260" s="7" t="str">
        <f>IF(ISNUMBER(SEARCH("World",'RawData'!C289)),"",IF(ISNUMBER(SEARCH("Other",C260)),COUNTIFS('RawData'!B:B,B260,'RawData'!C:C,"&lt;&gt;*World*"),IF(OR(K260="",K260=0),"-",SUMPRODUCT(('RawData'!B$2:B$822=B260)*('RawData'!H$2:H$822&gt;K260)*(ISERROR(SEARCH("World",'RawData'!C$2:C$822)))*(ISERROR(SEARCH("Other",'RawData'!C$2:C$822))))+1)))</f>
        <v>-</v>
      </c>
    </row>
    <row r="261" spans="1:14" x14ac:dyDescent="0.3">
      <c r="A261" s="4" t="str">
        <f>IF(ISNUMBER(SEARCH("World",'RawData'!C290)),"",'RawData'!A290)</f>
        <v>MCS2026</v>
      </c>
      <c r="B261" s="4" t="str">
        <f>IF(ISNUMBER(SEARCH("World",'RawData'!C290)),"",'RawData'!B290)</f>
        <v>Indium</v>
      </c>
      <c r="C261" s="4" t="str">
        <f>IF(ISNUMBER(SEARCH("World",'RawData'!C290)),"",'RawData'!C290)</f>
        <v>France</v>
      </c>
      <c r="D261" s="4" t="str">
        <f>IF(ISNUMBER(SEARCH("World",'RawData'!C290)),"",'RawData'!D290)</f>
        <v>Refinery production</v>
      </c>
      <c r="E261" s="4" t="str">
        <f>IF(ISNUMBER(SEARCH("World",'RawData'!C290)),"",IF('RawData'!E290="WT001","kg",IF('RawData'!E290="WT002","ton",IF('RawData'!E290="WT003","k ton",""))))</f>
        <v>ton</v>
      </c>
      <c r="F261" s="14">
        <f>IF(ISNUMBER(SEARCH("World",'RawData'!C290)),"",'RawData'!F290)</f>
        <v>21</v>
      </c>
      <c r="G261" s="14">
        <f>IF(ISNUMBER(SEARCH("World",'RawData'!C290)),"",'RawData'!G290)</f>
        <v>21</v>
      </c>
      <c r="H261" s="14">
        <f>IF(ISNUMBER(SEARCH("World",'RawData'!C290)),"",SUMIFS('RawData'!G:G,'RawData'!B:B,'RawData'!B290,'RawData'!C:C,"*World*"))</f>
        <v>1100</v>
      </c>
      <c r="I261" s="15">
        <f>IF(ISNUMBER(SEARCH("World",'RawData'!C290)),"",IFERROR(G261/H261,"-"))</f>
        <v>1.9090909090909092E-2</v>
      </c>
      <c r="J261" s="7">
        <f>IF(ISNUMBER(SEARCH("World",'RawData'!C290)),"",IF(ISNUMBER(SEARCH("Other",C261)),COUNTIFS('RawData'!B:B,B261,'RawData'!C:C,"&lt;&gt;*World*"),IF(OR(G261="",G261=0),"-",SUMPRODUCT(('RawData'!B$2:B$822=B261)*('RawData'!G$2:G$822&gt;G261)*(ISERROR(SEARCH("World",'RawData'!C$2:C$822)))*(ISERROR(SEARCH("Other",'RawData'!C$2:C$822))))+1)))</f>
        <v>5</v>
      </c>
      <c r="K261" s="14">
        <f>IF(ISNUMBER(SEARCH("World",'RawData'!C290)),"",'RawData'!H290)</f>
        <v>0</v>
      </c>
      <c r="L261" s="14">
        <f>IF(ISNUMBER(SEARCH("World",'RawData'!C290)),"",SUMIFS('RawData'!H:H,'RawData'!B:B,'RawData'!B290,'RawData'!C:C,"*World*"))</f>
        <v>0</v>
      </c>
      <c r="M261" s="15" t="str">
        <f>IF(ISNUMBER(SEARCH("World",'RawData'!C290)),"",IFERROR(K261/L261,"-"))</f>
        <v>-</v>
      </c>
      <c r="N261" s="7" t="str">
        <f>IF(ISNUMBER(SEARCH("World",'RawData'!C290)),"",IF(ISNUMBER(SEARCH("Other",C261)),COUNTIFS('RawData'!B:B,B261,'RawData'!C:C,"&lt;&gt;*World*"),IF(OR(K261="",K261=0),"-",SUMPRODUCT(('RawData'!B$2:B$822=B261)*('RawData'!H$2:H$822&gt;K261)*(ISERROR(SEARCH("World",'RawData'!C$2:C$822)))*(ISERROR(SEARCH("Other",'RawData'!C$2:C$822))))+1)))</f>
        <v>-</v>
      </c>
    </row>
    <row r="262" spans="1:14" x14ac:dyDescent="0.3">
      <c r="A262" s="4" t="str">
        <f>IF(ISNUMBER(SEARCH("World",'RawData'!C291)),"",'RawData'!A291)</f>
        <v>MCS2026</v>
      </c>
      <c r="B262" s="4" t="str">
        <f>IF(ISNUMBER(SEARCH("World",'RawData'!C291)),"",'RawData'!B291)</f>
        <v>Indium</v>
      </c>
      <c r="C262" s="4" t="str">
        <f>IF(ISNUMBER(SEARCH("World",'RawData'!C291)),"",'RawData'!C291)</f>
        <v>Japan</v>
      </c>
      <c r="D262" s="4" t="str">
        <f>IF(ISNUMBER(SEARCH("World",'RawData'!C291)),"",'RawData'!D291)</f>
        <v>Refinery production</v>
      </c>
      <c r="E262" s="4" t="str">
        <f>IF(ISNUMBER(SEARCH("World",'RawData'!C291)),"",IF('RawData'!E291="WT001","kg",IF('RawData'!E291="WT002","ton",IF('RawData'!E291="WT003","k ton",""))))</f>
        <v>ton</v>
      </c>
      <c r="F262" s="14">
        <f>IF(ISNUMBER(SEARCH("World",'RawData'!C291)),"",'RawData'!F291)</f>
        <v>65</v>
      </c>
      <c r="G262" s="14">
        <f>IF(ISNUMBER(SEARCH("World",'RawData'!C291)),"",'RawData'!G291)</f>
        <v>65</v>
      </c>
      <c r="H262" s="14">
        <f>IF(ISNUMBER(SEARCH("World",'RawData'!C291)),"",SUMIFS('RawData'!G:G,'RawData'!B:B,'RawData'!B291,'RawData'!C:C,"*World*"))</f>
        <v>1100</v>
      </c>
      <c r="I262" s="15">
        <f>IF(ISNUMBER(SEARCH("World",'RawData'!C291)),"",IFERROR(G262/H262,"-"))</f>
        <v>5.909090909090909E-2</v>
      </c>
      <c r="J262" s="7">
        <f>IF(ISNUMBER(SEARCH("World",'RawData'!C291)),"",IF(ISNUMBER(SEARCH("Other",C262)),COUNTIFS('RawData'!B:B,B262,'RawData'!C:C,"&lt;&gt;*World*"),IF(OR(G262="",G262=0),"-",SUMPRODUCT(('RawData'!B$2:B$822=B262)*('RawData'!G$2:G$822&gt;G262)*(ISERROR(SEARCH("World",'RawData'!C$2:C$822)))*(ISERROR(SEARCH("Other",'RawData'!C$2:C$822))))+1)))</f>
        <v>3</v>
      </c>
      <c r="K262" s="14">
        <f>IF(ISNUMBER(SEARCH("World",'RawData'!C291)),"",'RawData'!H291)</f>
        <v>0</v>
      </c>
      <c r="L262" s="14">
        <f>IF(ISNUMBER(SEARCH("World",'RawData'!C291)),"",SUMIFS('RawData'!H:H,'RawData'!B:B,'RawData'!B291,'RawData'!C:C,"*World*"))</f>
        <v>0</v>
      </c>
      <c r="M262" s="15" t="str">
        <f>IF(ISNUMBER(SEARCH("World",'RawData'!C291)),"",IFERROR(K262/L262,"-"))</f>
        <v>-</v>
      </c>
      <c r="N262" s="7" t="str">
        <f>IF(ISNUMBER(SEARCH("World",'RawData'!C291)),"",IF(ISNUMBER(SEARCH("Other",C262)),COUNTIFS('RawData'!B:B,B262,'RawData'!C:C,"&lt;&gt;*World*"),IF(OR(K262="",K262=0),"-",SUMPRODUCT(('RawData'!B$2:B$822=B262)*('RawData'!H$2:H$822&gt;K262)*(ISERROR(SEARCH("World",'RawData'!C$2:C$822)))*(ISERROR(SEARCH("Other",'RawData'!C$2:C$822))))+1)))</f>
        <v>-</v>
      </c>
    </row>
    <row r="263" spans="1:14" x14ac:dyDescent="0.3">
      <c r="A263" s="4" t="str">
        <f>IF(ISNUMBER(SEARCH("World",'RawData'!C292)),"",'RawData'!A292)</f>
        <v>MCS2026</v>
      </c>
      <c r="B263" s="4" t="str">
        <f>IF(ISNUMBER(SEARCH("World",'RawData'!C292)),"",'RawData'!B292)</f>
        <v>Indium</v>
      </c>
      <c r="C263" s="4" t="str">
        <f>IF(ISNUMBER(SEARCH("World",'RawData'!C292)),"",'RawData'!C292)</f>
        <v xml:space="preserve">Russia </v>
      </c>
      <c r="D263" s="4" t="str">
        <f>IF(ISNUMBER(SEARCH("World",'RawData'!C292)),"",'RawData'!D292)</f>
        <v>Refinery production</v>
      </c>
      <c r="E263" s="4" t="str">
        <f>IF(ISNUMBER(SEARCH("World",'RawData'!C292)),"",IF('RawData'!E292="WT001","kg",IF('RawData'!E292="WT002","ton",IF('RawData'!E292="WT003","k ton",""))))</f>
        <v>ton</v>
      </c>
      <c r="F263" s="14">
        <f>IF(ISNUMBER(SEARCH("World",'RawData'!C292)),"",'RawData'!F292)</f>
        <v>5</v>
      </c>
      <c r="G263" s="14">
        <f>IF(ISNUMBER(SEARCH("World",'RawData'!C292)),"",'RawData'!G292)</f>
        <v>5</v>
      </c>
      <c r="H263" s="14">
        <f>IF(ISNUMBER(SEARCH("World",'RawData'!C292)),"",SUMIFS('RawData'!G:G,'RawData'!B:B,'RawData'!B292,'RawData'!C:C,"*World*"))</f>
        <v>1100</v>
      </c>
      <c r="I263" s="15">
        <f>IF(ISNUMBER(SEARCH("World",'RawData'!C292)),"",IFERROR(G263/H263,"-"))</f>
        <v>4.5454545454545452E-3</v>
      </c>
      <c r="J263" s="7">
        <f>IF(ISNUMBER(SEARCH("World",'RawData'!C292)),"",IF(ISNUMBER(SEARCH("Other",C263)),COUNTIFS('RawData'!B:B,B263,'RawData'!C:C,"&lt;&gt;*World*"),IF(OR(G263="",G263=0),"-",SUMPRODUCT(('RawData'!B$2:B$822=B263)*('RawData'!G$2:G$822&gt;G263)*(ISERROR(SEARCH("World",'RawData'!C$2:C$822)))*(ISERROR(SEARCH("Other",'RawData'!C$2:C$822))))+1)))</f>
        <v>7</v>
      </c>
      <c r="K263" s="14">
        <f>IF(ISNUMBER(SEARCH("World",'RawData'!C292)),"",'RawData'!H292)</f>
        <v>0</v>
      </c>
      <c r="L263" s="14">
        <f>IF(ISNUMBER(SEARCH("World",'RawData'!C292)),"",SUMIFS('RawData'!H:H,'RawData'!B:B,'RawData'!B292,'RawData'!C:C,"*World*"))</f>
        <v>0</v>
      </c>
      <c r="M263" s="15" t="str">
        <f>IF(ISNUMBER(SEARCH("World",'RawData'!C292)),"",IFERROR(K263/L263,"-"))</f>
        <v>-</v>
      </c>
      <c r="N263" s="7" t="str">
        <f>IF(ISNUMBER(SEARCH("World",'RawData'!C292)),"",IF(ISNUMBER(SEARCH("Other",C263)),COUNTIFS('RawData'!B:B,B263,'RawData'!C:C,"&lt;&gt;*World*"),IF(OR(K263="",K263=0),"-",SUMPRODUCT(('RawData'!B$2:B$822=B263)*('RawData'!H$2:H$822&gt;K263)*(ISERROR(SEARCH("World",'RawData'!C$2:C$822)))*(ISERROR(SEARCH("Other",'RawData'!C$2:C$822))))+1)))</f>
        <v>-</v>
      </c>
    </row>
    <row r="264" spans="1:14" x14ac:dyDescent="0.3">
      <c r="A264" s="4" t="str">
        <f>IF(ISNUMBER(SEARCH("World",'RawData'!C293)),"",'RawData'!A293)</f>
        <v>MCS2026</v>
      </c>
      <c r="B264" s="4" t="str">
        <f>IF(ISNUMBER(SEARCH("World",'RawData'!C293)),"",'RawData'!B293)</f>
        <v>Indium</v>
      </c>
      <c r="C264" s="4" t="str">
        <f>IF(ISNUMBER(SEARCH("World",'RawData'!C293)),"",'RawData'!C293)</f>
        <v>South Korea</v>
      </c>
      <c r="D264" s="4" t="str">
        <f>IF(ISNUMBER(SEARCH("World",'RawData'!C293)),"",'RawData'!D293)</f>
        <v>Refinery production</v>
      </c>
      <c r="E264" s="4" t="str">
        <f>IF(ISNUMBER(SEARCH("World",'RawData'!C293)),"",IF('RawData'!E293="WT001","kg",IF('RawData'!E293="WT002","ton",IF('RawData'!E293="WT003","k ton",""))))</f>
        <v>ton</v>
      </c>
      <c r="F264" s="14">
        <f>IF(ISNUMBER(SEARCH("World",'RawData'!C293)),"",'RawData'!F293)</f>
        <v>180</v>
      </c>
      <c r="G264" s="14">
        <f>IF(ISNUMBER(SEARCH("World",'RawData'!C293)),"",'RawData'!G293)</f>
        <v>180</v>
      </c>
      <c r="H264" s="14">
        <f>IF(ISNUMBER(SEARCH("World",'RawData'!C293)),"",SUMIFS('RawData'!G:G,'RawData'!B:B,'RawData'!B293,'RawData'!C:C,"*World*"))</f>
        <v>1100</v>
      </c>
      <c r="I264" s="15">
        <f>IF(ISNUMBER(SEARCH("World",'RawData'!C293)),"",IFERROR(G264/H264,"-"))</f>
        <v>0.16363636363636364</v>
      </c>
      <c r="J264" s="7">
        <f>IF(ISNUMBER(SEARCH("World",'RawData'!C293)),"",IF(ISNUMBER(SEARCH("Other",C264)),COUNTIFS('RawData'!B:B,B264,'RawData'!C:C,"&lt;&gt;*World*"),IF(OR(G264="",G264=0),"-",SUMPRODUCT(('RawData'!B$2:B$822=B264)*('RawData'!G$2:G$822&gt;G264)*(ISERROR(SEARCH("World",'RawData'!C$2:C$822)))*(ISERROR(SEARCH("Other",'RawData'!C$2:C$822))))+1)))</f>
        <v>2</v>
      </c>
      <c r="K264" s="14">
        <f>IF(ISNUMBER(SEARCH("World",'RawData'!C293)),"",'RawData'!H293)</f>
        <v>0</v>
      </c>
      <c r="L264" s="14">
        <f>IF(ISNUMBER(SEARCH("World",'RawData'!C293)),"",SUMIFS('RawData'!H:H,'RawData'!B:B,'RawData'!B293,'RawData'!C:C,"*World*"))</f>
        <v>0</v>
      </c>
      <c r="M264" s="15" t="str">
        <f>IF(ISNUMBER(SEARCH("World",'RawData'!C293)),"",IFERROR(K264/L264,"-"))</f>
        <v>-</v>
      </c>
      <c r="N264" s="7" t="str">
        <f>IF(ISNUMBER(SEARCH("World",'RawData'!C293)),"",IF(ISNUMBER(SEARCH("Other",C264)),COUNTIFS('RawData'!B:B,B264,'RawData'!C:C,"&lt;&gt;*World*"),IF(OR(K264="",K264=0),"-",SUMPRODUCT(('RawData'!B$2:B$822=B264)*('RawData'!H$2:H$822&gt;K264)*(ISERROR(SEARCH("World",'RawData'!C$2:C$822)))*(ISERROR(SEARCH("Other",'RawData'!C$2:C$822))))+1)))</f>
        <v>-</v>
      </c>
    </row>
    <row r="265" spans="1:14" x14ac:dyDescent="0.3">
      <c r="A265" s="4" t="str">
        <f>IF(ISNUMBER(SEARCH("World",'RawData'!C294)),"",'RawData'!A294)</f>
        <v>MCS2026</v>
      </c>
      <c r="B265" s="4" t="str">
        <f>IF(ISNUMBER(SEARCH("World",'RawData'!C294)),"",'RawData'!B294)</f>
        <v>Indium</v>
      </c>
      <c r="C265" s="4" t="str">
        <f>IF(ISNUMBER(SEARCH("World",'RawData'!C294)),"",'RawData'!C294)</f>
        <v>United States</v>
      </c>
      <c r="D265" s="4" t="str">
        <f>IF(ISNUMBER(SEARCH("World",'RawData'!C294)),"",'RawData'!D294)</f>
        <v>Refinery production</v>
      </c>
      <c r="E265" s="4" t="str">
        <f>IF(ISNUMBER(SEARCH("World",'RawData'!C294)),"",IF('RawData'!E294="WT001","kg",IF('RawData'!E294="WT002","ton",IF('RawData'!E294="WT003","k ton",""))))</f>
        <v>ton</v>
      </c>
      <c r="F265" s="14">
        <f>IF(ISNUMBER(SEARCH("World",'RawData'!C294)),"",'RawData'!F294)</f>
        <v>0</v>
      </c>
      <c r="G265" s="14">
        <f>IF(ISNUMBER(SEARCH("World",'RawData'!C294)),"",'RawData'!G294)</f>
        <v>0</v>
      </c>
      <c r="H265" s="14">
        <f>IF(ISNUMBER(SEARCH("World",'RawData'!C294)),"",SUMIFS('RawData'!G:G,'RawData'!B:B,'RawData'!B294,'RawData'!C:C,"*World*"))</f>
        <v>1100</v>
      </c>
      <c r="I265" s="15">
        <f>IF(ISNUMBER(SEARCH("World",'RawData'!C294)),"",IFERROR(G265/H265,"-"))</f>
        <v>0</v>
      </c>
      <c r="J265" s="7" t="str">
        <f>IF(ISNUMBER(SEARCH("World",'RawData'!C294)),"",IF(ISNUMBER(SEARCH("Other",C265)),COUNTIFS('RawData'!B:B,B265,'RawData'!C:C,"&lt;&gt;*World*"),IF(OR(G265="",G265=0),"-",SUMPRODUCT(('RawData'!B$2:B$822=B265)*('RawData'!G$2:G$822&gt;G265)*(ISERROR(SEARCH("World",'RawData'!C$2:C$822)))*(ISERROR(SEARCH("Other",'RawData'!C$2:C$822))))+1)))</f>
        <v>-</v>
      </c>
      <c r="K265" s="14">
        <f>IF(ISNUMBER(SEARCH("World",'RawData'!C294)),"",'RawData'!H294)</f>
        <v>0</v>
      </c>
      <c r="L265" s="14">
        <f>IF(ISNUMBER(SEARCH("World",'RawData'!C294)),"",SUMIFS('RawData'!H:H,'RawData'!B:B,'RawData'!B294,'RawData'!C:C,"*World*"))</f>
        <v>0</v>
      </c>
      <c r="M265" s="15" t="str">
        <f>IF(ISNUMBER(SEARCH("World",'RawData'!C294)),"",IFERROR(K265/L265,"-"))</f>
        <v>-</v>
      </c>
      <c r="N265" s="7" t="str">
        <f>IF(ISNUMBER(SEARCH("World",'RawData'!C294)),"",IF(ISNUMBER(SEARCH("Other",C265)),COUNTIFS('RawData'!B:B,B265,'RawData'!C:C,"&lt;&gt;*World*"),IF(OR(K265="",K265=0),"-",SUMPRODUCT(('RawData'!B$2:B$822=B265)*('RawData'!H$2:H$822&gt;K265)*(ISERROR(SEARCH("World",'RawData'!C$2:C$822)))*(ISERROR(SEARCH("Other",'RawData'!C$2:C$822))))+1)))</f>
        <v>-</v>
      </c>
    </row>
    <row r="266" spans="1:14" x14ac:dyDescent="0.3">
      <c r="A266" s="4" t="str">
        <f>IF(ISNUMBER(SEARCH("World",'RawData'!C295)),"",'RawData'!A295)</f>
        <v>MCS2026</v>
      </c>
      <c r="B266" s="4" t="str">
        <f>IF(ISNUMBER(SEARCH("World",'RawData'!C295)),"",'RawData'!B295)</f>
        <v>Indium</v>
      </c>
      <c r="C266" s="4" t="str">
        <f>IF(ISNUMBER(SEARCH("World",'RawData'!C295)),"",'RawData'!C295)</f>
        <v>Uzbekistan</v>
      </c>
      <c r="D266" s="4" t="str">
        <f>IF(ISNUMBER(SEARCH("World",'RawData'!C295)),"",'RawData'!D295)</f>
        <v>Refinery production</v>
      </c>
      <c r="E266" s="4" t="str">
        <f>IF(ISNUMBER(SEARCH("World",'RawData'!C295)),"",IF('RawData'!E295="WT001","kg",IF('RawData'!E295="WT002","ton",IF('RawData'!E295="WT003","k ton",""))))</f>
        <v>ton</v>
      </c>
      <c r="F266" s="14">
        <f>IF(ISNUMBER(SEARCH("World",'RawData'!C295)),"",'RawData'!F295)</f>
        <v>1</v>
      </c>
      <c r="G266" s="14">
        <f>IF(ISNUMBER(SEARCH("World",'RawData'!C295)),"",'RawData'!G295)</f>
        <v>1</v>
      </c>
      <c r="H266" s="14">
        <f>IF(ISNUMBER(SEARCH("World",'RawData'!C295)),"",SUMIFS('RawData'!G:G,'RawData'!B:B,'RawData'!B295,'RawData'!C:C,"*World*"))</f>
        <v>1100</v>
      </c>
      <c r="I266" s="15">
        <f>IF(ISNUMBER(SEARCH("World",'RawData'!C295)),"",IFERROR(G266/H266,"-"))</f>
        <v>9.0909090909090909E-4</v>
      </c>
      <c r="J266" s="7">
        <f>IF(ISNUMBER(SEARCH("World",'RawData'!C295)),"",IF(ISNUMBER(SEARCH("Other",C266)),COUNTIFS('RawData'!B:B,B266,'RawData'!C:C,"&lt;&gt;*World*"),IF(OR(G266="",G266=0),"-",SUMPRODUCT(('RawData'!B$2:B$822=B266)*('RawData'!G$2:G$822&gt;G266)*(ISERROR(SEARCH("World",'RawData'!C$2:C$822)))*(ISERROR(SEARCH("Other",'RawData'!C$2:C$822))))+1)))</f>
        <v>8</v>
      </c>
      <c r="K266" s="14">
        <f>IF(ISNUMBER(SEARCH("World",'RawData'!C295)),"",'RawData'!H295)</f>
        <v>0</v>
      </c>
      <c r="L266" s="14">
        <f>IF(ISNUMBER(SEARCH("World",'RawData'!C295)),"",SUMIFS('RawData'!H:H,'RawData'!B:B,'RawData'!B295,'RawData'!C:C,"*World*"))</f>
        <v>0</v>
      </c>
      <c r="M266" s="15" t="str">
        <f>IF(ISNUMBER(SEARCH("World",'RawData'!C295)),"",IFERROR(K266/L266,"-"))</f>
        <v>-</v>
      </c>
      <c r="N266" s="7" t="str">
        <f>IF(ISNUMBER(SEARCH("World",'RawData'!C295)),"",IF(ISNUMBER(SEARCH("Other",C266)),COUNTIFS('RawData'!B:B,B266,'RawData'!C:C,"&lt;&gt;*World*"),IF(OR(K266="",K266=0),"-",SUMPRODUCT(('RawData'!B$2:B$822=B266)*('RawData'!H$2:H$822&gt;K266)*(ISERROR(SEARCH("World",'RawData'!C$2:C$822)))*(ISERROR(SEARCH("Other",'RawData'!C$2:C$822))))+1)))</f>
        <v>-</v>
      </c>
    </row>
    <row r="267" spans="1:14" x14ac:dyDescent="0.3">
      <c r="A267" s="4" t="str">
        <f>IF(ISNUMBER(SEARCH("World",'RawData'!C297)),"",'RawData'!A297)</f>
        <v>MCS2026</v>
      </c>
      <c r="B267" s="4" t="str">
        <f>IF(ISNUMBER(SEARCH("World",'RawData'!C297)),"",'RawData'!B297)</f>
        <v>Iodine</v>
      </c>
      <c r="C267" s="4" t="str">
        <f>IF(ISNUMBER(SEARCH("World",'RawData'!C297)),"",'RawData'!C297)</f>
        <v>Azerbaijan</v>
      </c>
      <c r="D267" s="4" t="str">
        <f>IF(ISNUMBER(SEARCH("World",'RawData'!C297)),"",'RawData'!D297)</f>
        <v>Mine production, elemental iodine</v>
      </c>
      <c r="E267" s="4" t="str">
        <f>IF(ISNUMBER(SEARCH("World",'RawData'!C297)),"",IF('RawData'!E297="WT001","kg",IF('RawData'!E297="WT002","ton",IF('RawData'!E297="WT003","k ton",""))))</f>
        <v>ton</v>
      </c>
      <c r="F267" s="14">
        <f>IF(ISNUMBER(SEARCH("World",'RawData'!C297)),"",'RawData'!F297)</f>
        <v>210</v>
      </c>
      <c r="G267" s="14">
        <f>IF(ISNUMBER(SEARCH("World",'RawData'!C297)),"",'RawData'!G297)</f>
        <v>210</v>
      </c>
      <c r="H267" s="14">
        <f>IF(ISNUMBER(SEARCH("World",'RawData'!C297)),"",SUMIFS('RawData'!G:G,'RawData'!B:B,'RawData'!B297,'RawData'!C:C,"*World*"))</f>
        <v>34000</v>
      </c>
      <c r="I267" s="15">
        <f>IF(ISNUMBER(SEARCH("World",'RawData'!C297)),"",IFERROR(G267/H267,"-"))</f>
        <v>6.1764705882352937E-3</v>
      </c>
      <c r="J267" s="7">
        <f>IF(ISNUMBER(SEARCH("World",'RawData'!C297)),"",IF(ISNUMBER(SEARCH("Other",C267)),COUNTIFS('RawData'!B:B,B267,'RawData'!C:C,"&lt;&gt;*World*"),IF(OR(G267="",G267=0),"-",SUMPRODUCT(('RawData'!B$2:B$822=B267)*('RawData'!G$2:G$822&gt;G267)*(ISERROR(SEARCH("World",'RawData'!C$2:C$822)))*(ISERROR(SEARCH("Other",'RawData'!C$2:C$822))))+1)))</f>
        <v>5</v>
      </c>
      <c r="K267" s="14">
        <f>IF(ISNUMBER(SEARCH("World",'RawData'!C297)),"",'RawData'!H297)</f>
        <v>170000</v>
      </c>
      <c r="L267" s="14">
        <f>IF(ISNUMBER(SEARCH("World",'RawData'!C297)),"",SUMIFS('RawData'!H:H,'RawData'!B:B,'RawData'!B297,'RawData'!C:C,"*World*"))</f>
        <v>6300000</v>
      </c>
      <c r="M267" s="15">
        <f>IF(ISNUMBER(SEARCH("World",'RawData'!C297)),"",IFERROR(K267/L267,"-"))</f>
        <v>2.6984126984126985E-2</v>
      </c>
      <c r="N267" s="7">
        <f>IF(ISNUMBER(SEARCH("World",'RawData'!C297)),"",IF(ISNUMBER(SEARCH("Other",C267)),COUNTIFS('RawData'!B:B,B267,'RawData'!C:C,"&lt;&gt;*World*"),IF(OR(K267="",K267=0),"-",SUMPRODUCT(('RawData'!B$2:B$822=B267)*('RawData'!H$2:H$822&gt;K267)*(ISERROR(SEARCH("World",'RawData'!C$2:C$822)))*(ISERROR(SEARCH("Other",'RawData'!C$2:C$822))))+1)))</f>
        <v>4</v>
      </c>
    </row>
    <row r="268" spans="1:14" x14ac:dyDescent="0.3">
      <c r="A268" s="4" t="str">
        <f>IF(ISNUMBER(SEARCH("World",'RawData'!C298)),"",'RawData'!A298)</f>
        <v>MCS2026</v>
      </c>
      <c r="B268" s="4" t="str">
        <f>IF(ISNUMBER(SEARCH("World",'RawData'!C298)),"",'RawData'!B298)</f>
        <v>Iodine</v>
      </c>
      <c r="C268" s="4" t="str">
        <f>IF(ISNUMBER(SEARCH("World",'RawData'!C298)),"",'RawData'!C298)</f>
        <v>Chile</v>
      </c>
      <c r="D268" s="4" t="str">
        <f>IF(ISNUMBER(SEARCH("World",'RawData'!C298)),"",'RawData'!D298)</f>
        <v>Mine production, elemental iodine</v>
      </c>
      <c r="E268" s="4" t="str">
        <f>IF(ISNUMBER(SEARCH("World",'RawData'!C298)),"",IF('RawData'!E298="WT001","kg",IF('RawData'!E298="WT002","ton",IF('RawData'!E298="WT003","k ton",""))))</f>
        <v>ton</v>
      </c>
      <c r="F268" s="14">
        <f>IF(ISNUMBER(SEARCH("World",'RawData'!C298)),"",'RawData'!F298)</f>
        <v>22000</v>
      </c>
      <c r="G268" s="14">
        <f>IF(ISNUMBER(SEARCH("World",'RawData'!C298)),"",'RawData'!G298)</f>
        <v>23000</v>
      </c>
      <c r="H268" s="14">
        <f>IF(ISNUMBER(SEARCH("World",'RawData'!C298)),"",SUMIFS('RawData'!G:G,'RawData'!B:B,'RawData'!B298,'RawData'!C:C,"*World*"))</f>
        <v>34000</v>
      </c>
      <c r="I268" s="15">
        <f>IF(ISNUMBER(SEARCH("World",'RawData'!C298)),"",IFERROR(G268/H268,"-"))</f>
        <v>0.67647058823529416</v>
      </c>
      <c r="J268" s="7">
        <f>IF(ISNUMBER(SEARCH("World",'RawData'!C298)),"",IF(ISNUMBER(SEARCH("Other",C268)),COUNTIFS('RawData'!B:B,B268,'RawData'!C:C,"&lt;&gt;*World*"),IF(OR(G268="",G268=0),"-",SUMPRODUCT(('RawData'!B$2:B$822=B268)*('RawData'!G$2:G$822&gt;G268)*(ISERROR(SEARCH("World",'RawData'!C$2:C$822)))*(ISERROR(SEARCH("Other",'RawData'!C$2:C$822))))+1)))</f>
        <v>1</v>
      </c>
      <c r="K268" s="14">
        <f>IF(ISNUMBER(SEARCH("World",'RawData'!C298)),"",'RawData'!H298)</f>
        <v>750000</v>
      </c>
      <c r="L268" s="14">
        <f>IF(ISNUMBER(SEARCH("World",'RawData'!C298)),"",SUMIFS('RawData'!H:H,'RawData'!B:B,'RawData'!B298,'RawData'!C:C,"*World*"))</f>
        <v>6300000</v>
      </c>
      <c r="M268" s="15">
        <f>IF(ISNUMBER(SEARCH("World",'RawData'!C298)),"",IFERROR(K268/L268,"-"))</f>
        <v>0.11904761904761904</v>
      </c>
      <c r="N268" s="7">
        <f>IF(ISNUMBER(SEARCH("World",'RawData'!C298)),"",IF(ISNUMBER(SEARCH("Other",C268)),COUNTIFS('RawData'!B:B,B268,'RawData'!C:C,"&lt;&gt;*World*"),IF(OR(K268="",K268=0),"-",SUMPRODUCT(('RawData'!B$2:B$822=B268)*('RawData'!H$2:H$822&gt;K268)*(ISERROR(SEARCH("World",'RawData'!C$2:C$822)))*(ISERROR(SEARCH("Other",'RawData'!C$2:C$822))))+1)))</f>
        <v>2</v>
      </c>
    </row>
    <row r="269" spans="1:14" x14ac:dyDescent="0.3">
      <c r="A269" s="4" t="str">
        <f>IF(ISNUMBER(SEARCH("World",'RawData'!C299)),"",'RawData'!A299)</f>
        <v>MCS2026</v>
      </c>
      <c r="B269" s="4" t="str">
        <f>IF(ISNUMBER(SEARCH("World",'RawData'!C299)),"",'RawData'!B299)</f>
        <v>Iodine</v>
      </c>
      <c r="C269" s="4" t="str">
        <f>IF(ISNUMBER(SEARCH("World",'RawData'!C299)),"",'RawData'!C299)</f>
        <v>Indonesia</v>
      </c>
      <c r="D269" s="4" t="str">
        <f>IF(ISNUMBER(SEARCH("World",'RawData'!C299)),"",'RawData'!D299)</f>
        <v>Mine production, elemental iodine</v>
      </c>
      <c r="E269" s="4" t="str">
        <f>IF(ISNUMBER(SEARCH("World",'RawData'!C299)),"",IF('RawData'!E299="WT001","kg",IF('RawData'!E299="WT002","ton",IF('RawData'!E299="WT003","k ton",""))))</f>
        <v>ton</v>
      </c>
      <c r="F269" s="14">
        <f>IF(ISNUMBER(SEARCH("World",'RawData'!C299)),"",'RawData'!F299)</f>
        <v>30</v>
      </c>
      <c r="G269" s="14">
        <f>IF(ISNUMBER(SEARCH("World",'RawData'!C299)),"",'RawData'!G299)</f>
        <v>50</v>
      </c>
      <c r="H269" s="14">
        <f>IF(ISNUMBER(SEARCH("World",'RawData'!C299)),"",SUMIFS('RawData'!G:G,'RawData'!B:B,'RawData'!B299,'RawData'!C:C,"*World*"))</f>
        <v>34000</v>
      </c>
      <c r="I269" s="15">
        <f>IF(ISNUMBER(SEARCH("World",'RawData'!C299)),"",IFERROR(G269/H269,"-"))</f>
        <v>1.4705882352941176E-3</v>
      </c>
      <c r="J269" s="7">
        <f>IF(ISNUMBER(SEARCH("World",'RawData'!C299)),"",IF(ISNUMBER(SEARCH("Other",C269)),COUNTIFS('RawData'!B:B,B269,'RawData'!C:C,"&lt;&gt;*World*"),IF(OR(G269="",G269=0),"-",SUMPRODUCT(('RawData'!B$2:B$822=B269)*('RawData'!G$2:G$822&gt;G269)*(ISERROR(SEARCH("World",'RawData'!C$2:C$822)))*(ISERROR(SEARCH("Other",'RawData'!C$2:C$822))))+1)))</f>
        <v>6</v>
      </c>
      <c r="K269" s="14">
        <f>IF(ISNUMBER(SEARCH("World",'RawData'!C299)),"",'RawData'!H299)</f>
        <v>0</v>
      </c>
      <c r="L269" s="14">
        <f>IF(ISNUMBER(SEARCH("World",'RawData'!C299)),"",SUMIFS('RawData'!H:H,'RawData'!B:B,'RawData'!B299,'RawData'!C:C,"*World*"))</f>
        <v>6300000</v>
      </c>
      <c r="M269" s="15">
        <f>IF(ISNUMBER(SEARCH("World",'RawData'!C299)),"",IFERROR(K269/L269,"-"))</f>
        <v>0</v>
      </c>
      <c r="N269" s="7" t="str">
        <f>IF(ISNUMBER(SEARCH("World",'RawData'!C299)),"",IF(ISNUMBER(SEARCH("Other",C269)),COUNTIFS('RawData'!B:B,B269,'RawData'!C:C,"&lt;&gt;*World*"),IF(OR(K269="",K269=0),"-",SUMPRODUCT(('RawData'!B$2:B$822=B269)*('RawData'!H$2:H$822&gt;K269)*(ISERROR(SEARCH("World",'RawData'!C$2:C$822)))*(ISERROR(SEARCH("Other",'RawData'!C$2:C$822))))+1)))</f>
        <v>-</v>
      </c>
    </row>
    <row r="270" spans="1:14" x14ac:dyDescent="0.3">
      <c r="A270" s="4" t="str">
        <f>IF(ISNUMBER(SEARCH("World",'RawData'!C300)),"",'RawData'!A300)</f>
        <v>MCS2026</v>
      </c>
      <c r="B270" s="4" t="str">
        <f>IF(ISNUMBER(SEARCH("World",'RawData'!C300)),"",'RawData'!B300)</f>
        <v>Iodine</v>
      </c>
      <c r="C270" s="4" t="str">
        <f>IF(ISNUMBER(SEARCH("World",'RawData'!C300)),"",'RawData'!C300)</f>
        <v>Iran</v>
      </c>
      <c r="D270" s="4" t="str">
        <f>IF(ISNUMBER(SEARCH("World",'RawData'!C300)),"",'RawData'!D300)</f>
        <v>Mine production, elemental iodine</v>
      </c>
      <c r="E270" s="4" t="str">
        <f>IF(ISNUMBER(SEARCH("World",'RawData'!C300)),"",IF('RawData'!E300="WT001","kg",IF('RawData'!E300="WT002","ton",IF('RawData'!E300="WT003","k ton",""))))</f>
        <v>ton</v>
      </c>
      <c r="F270" s="14">
        <f>IF(ISNUMBER(SEARCH("World",'RawData'!C300)),"",'RawData'!F300)</f>
        <v>700</v>
      </c>
      <c r="G270" s="14">
        <f>IF(ISNUMBER(SEARCH("World",'RawData'!C300)),"",'RawData'!G300)</f>
        <v>700</v>
      </c>
      <c r="H270" s="14">
        <f>IF(ISNUMBER(SEARCH("World",'RawData'!C300)),"",SUMIFS('RawData'!G:G,'RawData'!B:B,'RawData'!B300,'RawData'!C:C,"*World*"))</f>
        <v>34000</v>
      </c>
      <c r="I270" s="15">
        <f>IF(ISNUMBER(SEARCH("World",'RawData'!C300)),"",IFERROR(G270/H270,"-"))</f>
        <v>2.0588235294117647E-2</v>
      </c>
      <c r="J270" s="7">
        <f>IF(ISNUMBER(SEARCH("World",'RawData'!C300)),"",IF(ISNUMBER(SEARCH("Other",C270)),COUNTIFS('RawData'!B:B,B270,'RawData'!C:C,"&lt;&gt;*World*"),IF(OR(G270="",G270=0),"-",SUMPRODUCT(('RawData'!B$2:B$822=B270)*('RawData'!G$2:G$822&gt;G270)*(ISERROR(SEARCH("World",'RawData'!C$2:C$822)))*(ISERROR(SEARCH("Other",'RawData'!C$2:C$822))))+1)))</f>
        <v>4</v>
      </c>
      <c r="K270" s="14">
        <f>IF(ISNUMBER(SEARCH("World",'RawData'!C300)),"",'RawData'!H300)</f>
        <v>40000</v>
      </c>
      <c r="L270" s="14">
        <f>IF(ISNUMBER(SEARCH("World",'RawData'!C300)),"",SUMIFS('RawData'!H:H,'RawData'!B:B,'RawData'!B300,'RawData'!C:C,"*World*"))</f>
        <v>6300000</v>
      </c>
      <c r="M270" s="15">
        <f>IF(ISNUMBER(SEARCH("World",'RawData'!C300)),"",IFERROR(K270/L270,"-"))</f>
        <v>6.3492063492063492E-3</v>
      </c>
      <c r="N270" s="7">
        <f>IF(ISNUMBER(SEARCH("World",'RawData'!C300)),"",IF(ISNUMBER(SEARCH("Other",C270)),COUNTIFS('RawData'!B:B,B270,'RawData'!C:C,"&lt;&gt;*World*"),IF(OR(K270="",K270=0),"-",SUMPRODUCT(('RawData'!B$2:B$822=B270)*('RawData'!H$2:H$822&gt;K270)*(ISERROR(SEARCH("World",'RawData'!C$2:C$822)))*(ISERROR(SEARCH("Other",'RawData'!C$2:C$822))))+1)))</f>
        <v>7</v>
      </c>
    </row>
    <row r="271" spans="1:14" x14ac:dyDescent="0.3">
      <c r="A271" s="4" t="str">
        <f>IF(ISNUMBER(SEARCH("World",'RawData'!C301)),"",'RawData'!A301)</f>
        <v>MCS2026</v>
      </c>
      <c r="B271" s="4" t="str">
        <f>IF(ISNUMBER(SEARCH("World",'RawData'!C301)),"",'RawData'!B301)</f>
        <v>Iodine</v>
      </c>
      <c r="C271" s="4" t="str">
        <f>IF(ISNUMBER(SEARCH("World",'RawData'!C301)),"",'RawData'!C301)</f>
        <v>Japan</v>
      </c>
      <c r="D271" s="4" t="str">
        <f>IF(ISNUMBER(SEARCH("World",'RawData'!C301)),"",'RawData'!D301)</f>
        <v>Mine production, elemental iodine</v>
      </c>
      <c r="E271" s="4" t="str">
        <f>IF(ISNUMBER(SEARCH("World",'RawData'!C301)),"",IF('RawData'!E301="WT001","kg",IF('RawData'!E301="WT002","ton",IF('RawData'!E301="WT003","k ton",""))))</f>
        <v>ton</v>
      </c>
      <c r="F271" s="14">
        <f>IF(ISNUMBER(SEARCH("World",'RawData'!C301)),"",'RawData'!F301)</f>
        <v>9300</v>
      </c>
      <c r="G271" s="14">
        <f>IF(ISNUMBER(SEARCH("World",'RawData'!C301)),"",'RawData'!G301)</f>
        <v>9000</v>
      </c>
      <c r="H271" s="14">
        <f>IF(ISNUMBER(SEARCH("World",'RawData'!C301)),"",SUMIFS('RawData'!G:G,'RawData'!B:B,'RawData'!B301,'RawData'!C:C,"*World*"))</f>
        <v>34000</v>
      </c>
      <c r="I271" s="15">
        <f>IF(ISNUMBER(SEARCH("World",'RawData'!C301)),"",IFERROR(G271/H271,"-"))</f>
        <v>0.26470588235294118</v>
      </c>
      <c r="J271" s="7">
        <f>IF(ISNUMBER(SEARCH("World",'RawData'!C301)),"",IF(ISNUMBER(SEARCH("Other",C271)),COUNTIFS('RawData'!B:B,B271,'RawData'!C:C,"&lt;&gt;*World*"),IF(OR(G271="",G271=0),"-",SUMPRODUCT(('RawData'!B$2:B$822=B271)*('RawData'!G$2:G$822&gt;G271)*(ISERROR(SEARCH("World",'RawData'!C$2:C$822)))*(ISERROR(SEARCH("Other",'RawData'!C$2:C$822))))+1)))</f>
        <v>2</v>
      </c>
      <c r="K271" s="14">
        <f>IF(ISNUMBER(SEARCH("World",'RawData'!C301)),"",'RawData'!H301)</f>
        <v>4900000</v>
      </c>
      <c r="L271" s="14">
        <f>IF(ISNUMBER(SEARCH("World",'RawData'!C301)),"",SUMIFS('RawData'!H:H,'RawData'!B:B,'RawData'!B301,'RawData'!C:C,"*World*"))</f>
        <v>6300000</v>
      </c>
      <c r="M271" s="15">
        <f>IF(ISNUMBER(SEARCH("World",'RawData'!C301)),"",IFERROR(K271/L271,"-"))</f>
        <v>0.77777777777777779</v>
      </c>
      <c r="N271" s="7">
        <f>IF(ISNUMBER(SEARCH("World",'RawData'!C301)),"",IF(ISNUMBER(SEARCH("Other",C271)),COUNTIFS('RawData'!B:B,B271,'RawData'!C:C,"&lt;&gt;*World*"),IF(OR(K271="",K271=0),"-",SUMPRODUCT(('RawData'!B$2:B$822=B271)*('RawData'!H$2:H$822&gt;K271)*(ISERROR(SEARCH("World",'RawData'!C$2:C$822)))*(ISERROR(SEARCH("Other",'RawData'!C$2:C$822))))+1)))</f>
        <v>1</v>
      </c>
    </row>
    <row r="272" spans="1:14" x14ac:dyDescent="0.3">
      <c r="A272" s="4" t="str">
        <f>IF(ISNUMBER(SEARCH("World",'RawData'!C302)),"",'RawData'!A302)</f>
        <v>MCS2026</v>
      </c>
      <c r="B272" s="4" t="str">
        <f>IF(ISNUMBER(SEARCH("World",'RawData'!C302)),"",'RawData'!B302)</f>
        <v>Iodine</v>
      </c>
      <c r="C272" s="4" t="str">
        <f>IF(ISNUMBER(SEARCH("World",'RawData'!C302)),"",'RawData'!C302)</f>
        <v xml:space="preserve">Russia </v>
      </c>
      <c r="D272" s="4" t="str">
        <f>IF(ISNUMBER(SEARCH("World",'RawData'!C302)),"",'RawData'!D302)</f>
        <v>Mine production, elemental iodine</v>
      </c>
      <c r="E272" s="4" t="str">
        <f>IF(ISNUMBER(SEARCH("World",'RawData'!C302)),"",IF('RawData'!E302="WT001","kg",IF('RawData'!E302="WT002","ton",IF('RawData'!E302="WT003","k ton",""))))</f>
        <v>ton</v>
      </c>
      <c r="F272" s="14">
        <f>IF(ISNUMBER(SEARCH("World",'RawData'!C302)),"",'RawData'!F302)</f>
        <v>5</v>
      </c>
      <c r="G272" s="14">
        <f>IF(ISNUMBER(SEARCH("World",'RawData'!C302)),"",'RawData'!G302)</f>
        <v>8</v>
      </c>
      <c r="H272" s="14">
        <f>IF(ISNUMBER(SEARCH("World",'RawData'!C302)),"",SUMIFS('RawData'!G:G,'RawData'!B:B,'RawData'!B302,'RawData'!C:C,"*World*"))</f>
        <v>34000</v>
      </c>
      <c r="I272" s="15">
        <f>IF(ISNUMBER(SEARCH("World",'RawData'!C302)),"",IFERROR(G272/H272,"-"))</f>
        <v>2.3529411764705883E-4</v>
      </c>
      <c r="J272" s="7">
        <f>IF(ISNUMBER(SEARCH("World",'RawData'!C302)),"",IF(ISNUMBER(SEARCH("Other",C272)),COUNTIFS('RawData'!B:B,B272,'RawData'!C:C,"&lt;&gt;*World*"),IF(OR(G272="",G272=0),"-",SUMPRODUCT(('RawData'!B$2:B$822=B272)*('RawData'!G$2:G$822&gt;G272)*(ISERROR(SEARCH("World",'RawData'!C$2:C$822)))*(ISERROR(SEARCH("Other",'RawData'!C$2:C$822))))+1)))</f>
        <v>7</v>
      </c>
      <c r="K272" s="14">
        <f>IF(ISNUMBER(SEARCH("World",'RawData'!C302)),"",'RawData'!H302)</f>
        <v>120000</v>
      </c>
      <c r="L272" s="14">
        <f>IF(ISNUMBER(SEARCH("World",'RawData'!C302)),"",SUMIFS('RawData'!H:H,'RawData'!B:B,'RawData'!B302,'RawData'!C:C,"*World*"))</f>
        <v>6300000</v>
      </c>
      <c r="M272" s="15">
        <f>IF(ISNUMBER(SEARCH("World",'RawData'!C302)),"",IFERROR(K272/L272,"-"))</f>
        <v>1.9047619047619049E-2</v>
      </c>
      <c r="N272" s="7">
        <f>IF(ISNUMBER(SEARCH("World",'RawData'!C302)),"",IF(ISNUMBER(SEARCH("Other",C272)),COUNTIFS('RawData'!B:B,B272,'RawData'!C:C,"&lt;&gt;*World*"),IF(OR(K272="",K272=0),"-",SUMPRODUCT(('RawData'!B$2:B$822=B272)*('RawData'!H$2:H$822&gt;K272)*(ISERROR(SEARCH("World",'RawData'!C$2:C$822)))*(ISERROR(SEARCH("Other",'RawData'!C$2:C$822))))+1)))</f>
        <v>5</v>
      </c>
    </row>
    <row r="273" spans="1:14" x14ac:dyDescent="0.3">
      <c r="A273" s="4" t="str">
        <f>IF(ISNUMBER(SEARCH("World",'RawData'!C303)),"",'RawData'!A303)</f>
        <v>MCS2026</v>
      </c>
      <c r="B273" s="4" t="str">
        <f>IF(ISNUMBER(SEARCH("World",'RawData'!C303)),"",'RawData'!B303)</f>
        <v>Iodine</v>
      </c>
      <c r="C273" s="4" t="str">
        <f>IF(ISNUMBER(SEARCH("World",'RawData'!C303)),"",'RawData'!C303)</f>
        <v>Turkmenistan</v>
      </c>
      <c r="D273" s="4" t="str">
        <f>IF(ISNUMBER(SEARCH("World",'RawData'!C303)),"",'RawData'!D303)</f>
        <v>Mine production, elemental iodine</v>
      </c>
      <c r="E273" s="4" t="str">
        <f>IF(ISNUMBER(SEARCH("World",'RawData'!C303)),"",IF('RawData'!E303="WT001","kg",IF('RawData'!E303="WT002","ton",IF('RawData'!E303="WT003","k ton",""))))</f>
        <v>ton</v>
      </c>
      <c r="F273" s="14">
        <f>IF(ISNUMBER(SEARCH("World",'RawData'!C303)),"",'RawData'!F303)</f>
        <v>800</v>
      </c>
      <c r="G273" s="14">
        <f>IF(ISNUMBER(SEARCH("World",'RawData'!C303)),"",'RawData'!G303)</f>
        <v>800</v>
      </c>
      <c r="H273" s="14">
        <f>IF(ISNUMBER(SEARCH("World",'RawData'!C303)),"",SUMIFS('RawData'!G:G,'RawData'!B:B,'RawData'!B303,'RawData'!C:C,"*World*"))</f>
        <v>34000</v>
      </c>
      <c r="I273" s="15">
        <f>IF(ISNUMBER(SEARCH("World",'RawData'!C303)),"",IFERROR(G273/H273,"-"))</f>
        <v>2.3529411764705882E-2</v>
      </c>
      <c r="J273" s="7">
        <f>IF(ISNUMBER(SEARCH("World",'RawData'!C303)),"",IF(ISNUMBER(SEARCH("Other",C273)),COUNTIFS('RawData'!B:B,B273,'RawData'!C:C,"&lt;&gt;*World*"),IF(OR(G273="",G273=0),"-",SUMPRODUCT(('RawData'!B$2:B$822=B273)*('RawData'!G$2:G$822&gt;G273)*(ISERROR(SEARCH("World",'RawData'!C$2:C$822)))*(ISERROR(SEARCH("Other",'RawData'!C$2:C$822))))+1)))</f>
        <v>3</v>
      </c>
      <c r="K273" s="14">
        <f>IF(ISNUMBER(SEARCH("World",'RawData'!C303)),"",'RawData'!H303)</f>
        <v>70000</v>
      </c>
      <c r="L273" s="14">
        <f>IF(ISNUMBER(SEARCH("World",'RawData'!C303)),"",SUMIFS('RawData'!H:H,'RawData'!B:B,'RawData'!B303,'RawData'!C:C,"*World*"))</f>
        <v>6300000</v>
      </c>
      <c r="M273" s="15">
        <f>IF(ISNUMBER(SEARCH("World",'RawData'!C303)),"",IFERROR(K273/L273,"-"))</f>
        <v>1.1111111111111112E-2</v>
      </c>
      <c r="N273" s="7">
        <f>IF(ISNUMBER(SEARCH("World",'RawData'!C303)),"",IF(ISNUMBER(SEARCH("Other",C273)),COUNTIFS('RawData'!B:B,B273,'RawData'!C:C,"&lt;&gt;*World*"),IF(OR(K273="",K273=0),"-",SUMPRODUCT(('RawData'!B$2:B$822=B273)*('RawData'!H$2:H$822&gt;K273)*(ISERROR(SEARCH("World",'RawData'!C$2:C$822)))*(ISERROR(SEARCH("Other",'RawData'!C$2:C$822))))+1)))</f>
        <v>6</v>
      </c>
    </row>
    <row r="274" spans="1:14" x14ac:dyDescent="0.3">
      <c r="A274" s="4" t="str">
        <f>IF(ISNUMBER(SEARCH("World",'RawData'!C304)),"",'RawData'!A304)</f>
        <v>MCS2026</v>
      </c>
      <c r="B274" s="4" t="str">
        <f>IF(ISNUMBER(SEARCH("World",'RawData'!C304)),"",'RawData'!B304)</f>
        <v>Iodine</v>
      </c>
      <c r="C274" s="4" t="str">
        <f>IF(ISNUMBER(SEARCH("World",'RawData'!C304)),"",'RawData'!C304)</f>
        <v>United States</v>
      </c>
      <c r="D274" s="4" t="str">
        <f>IF(ISNUMBER(SEARCH("World",'RawData'!C304)),"",'RawData'!D304)</f>
        <v>Mine production, elemental iodine</v>
      </c>
      <c r="E274" s="4" t="str">
        <f>IF(ISNUMBER(SEARCH("World",'RawData'!C304)),"",IF('RawData'!E304="WT001","kg",IF('RawData'!E304="WT002","ton",IF('RawData'!E304="WT003","k ton",""))))</f>
        <v>ton</v>
      </c>
      <c r="F274" s="14">
        <f>IF(ISNUMBER(SEARCH("World",'RawData'!C304)),"",'RawData'!F304)</f>
        <v>0</v>
      </c>
      <c r="G274" s="14">
        <f>IF(ISNUMBER(SEARCH("World",'RawData'!C304)),"",'RawData'!G304)</f>
        <v>0</v>
      </c>
      <c r="H274" s="14">
        <f>IF(ISNUMBER(SEARCH("World",'RawData'!C304)),"",SUMIFS('RawData'!G:G,'RawData'!B:B,'RawData'!B304,'RawData'!C:C,"*World*"))</f>
        <v>34000</v>
      </c>
      <c r="I274" s="15">
        <f>IF(ISNUMBER(SEARCH("World",'RawData'!C304)),"",IFERROR(G274/H274,"-"))</f>
        <v>0</v>
      </c>
      <c r="J274" s="7" t="str">
        <f>IF(ISNUMBER(SEARCH("World",'RawData'!C304)),"",IF(ISNUMBER(SEARCH("Other",C274)),COUNTIFS('RawData'!B:B,B274,'RawData'!C:C,"&lt;&gt;*World*"),IF(OR(G274="",G274=0),"-",SUMPRODUCT(('RawData'!B$2:B$822=B274)*('RawData'!G$2:G$822&gt;G274)*(ISERROR(SEARCH("World",'RawData'!C$2:C$822)))*(ISERROR(SEARCH("Other",'RawData'!C$2:C$822))))+1)))</f>
        <v>-</v>
      </c>
      <c r="K274" s="14">
        <f>IF(ISNUMBER(SEARCH("World",'RawData'!C304)),"",'RawData'!H304)</f>
        <v>250000</v>
      </c>
      <c r="L274" s="14">
        <f>IF(ISNUMBER(SEARCH("World",'RawData'!C304)),"",SUMIFS('RawData'!H:H,'RawData'!B:B,'RawData'!B304,'RawData'!C:C,"*World*"))</f>
        <v>6300000</v>
      </c>
      <c r="M274" s="15">
        <f>IF(ISNUMBER(SEARCH("World",'RawData'!C304)),"",IFERROR(K274/L274,"-"))</f>
        <v>3.968253968253968E-2</v>
      </c>
      <c r="N274" s="7">
        <f>IF(ISNUMBER(SEARCH("World",'RawData'!C304)),"",IF(ISNUMBER(SEARCH("Other",C274)),COUNTIFS('RawData'!B:B,B274,'RawData'!C:C,"&lt;&gt;*World*"),IF(OR(K274="",K274=0),"-",SUMPRODUCT(('RawData'!B$2:B$822=B274)*('RawData'!H$2:H$822&gt;K274)*(ISERROR(SEARCH("World",'RawData'!C$2:C$822)))*(ISERROR(SEARCH("Other",'RawData'!C$2:C$822))))+1)))</f>
        <v>3</v>
      </c>
    </row>
    <row r="275" spans="1:14" x14ac:dyDescent="0.3">
      <c r="A275" s="4" t="str">
        <f>IF(ISNUMBER(SEARCH("World",'RawData'!C306)),"",'RawData'!A306)</f>
        <v>MCS2026</v>
      </c>
      <c r="B275" s="4" t="str">
        <f>IF(ISNUMBER(SEARCH("World",'RawData'!C306)),"",'RawData'!B306)</f>
        <v>Iron</v>
      </c>
      <c r="C275" s="4" t="str">
        <f>IF(ISNUMBER(SEARCH("World",'RawData'!C306)),"",'RawData'!C306)</f>
        <v>Australia</v>
      </c>
      <c r="D275" s="4" t="str">
        <f>IF(ISNUMBER(SEARCH("World",'RawData'!C306)),"",'RawData'!D306)</f>
        <v>Mine production, iron content</v>
      </c>
      <c r="E275" s="4" t="str">
        <f>IF(ISNUMBER(SEARCH("World",'RawData'!C306)),"",IF('RawData'!E306="WT001","kg",IF('RawData'!E306="WT002","ton",IF('RawData'!E306="WT003","k ton",""))))</f>
        <v>k ton</v>
      </c>
      <c r="F275" s="14">
        <f>IF(ISNUMBER(SEARCH("World",'RawData'!C306)),"",'RawData'!F306)</f>
        <v>607000</v>
      </c>
      <c r="G275" s="14">
        <f>IF(ISNUMBER(SEARCH("World",'RawData'!C306)),"",'RawData'!G306)</f>
        <v>600000</v>
      </c>
      <c r="H275" s="14">
        <f>IF(ISNUMBER(SEARCH("World",'RawData'!C306)),"",SUMIFS('RawData'!G:G,'RawData'!B:B,'RawData'!B306,'RawData'!C:C,"*World*"))</f>
        <v>1600000</v>
      </c>
      <c r="I275" s="15">
        <f>IF(ISNUMBER(SEARCH("World",'RawData'!C306)),"",IFERROR(G275/H275,"-"))</f>
        <v>0.375</v>
      </c>
      <c r="J275" s="7">
        <f>IF(ISNUMBER(SEARCH("World",'RawData'!C306)),"",IF(ISNUMBER(SEARCH("Other",C275)),COUNTIFS('RawData'!B:B,B275,'RawData'!C:C,"&lt;&gt;*World*"),IF(OR(G275="",G275=0),"-",SUMPRODUCT(('RawData'!B$2:B$822=B275)*('RawData'!G$2:G$822&gt;G275)*(ISERROR(SEARCH("World",'RawData'!C$2:C$822)))*(ISERROR(SEARCH("Other",'RawData'!C$2:C$822))))+1)))</f>
        <v>1</v>
      </c>
      <c r="K275" s="14">
        <f>IF(ISNUMBER(SEARCH("World",'RawData'!C306)),"",'RawData'!H306)</f>
        <v>27000000</v>
      </c>
      <c r="L275" s="14">
        <f>IF(ISNUMBER(SEARCH("World",'RawData'!C306)),"",SUMIFS('RawData'!H:H,'RawData'!B:B,'RawData'!B306,'RawData'!C:C,"*World*"))</f>
        <v>87000000</v>
      </c>
      <c r="M275" s="15">
        <f>IF(ISNUMBER(SEARCH("World",'RawData'!C306)),"",IFERROR(K275/L275,"-"))</f>
        <v>0.31034482758620691</v>
      </c>
      <c r="N275" s="7">
        <f>IF(ISNUMBER(SEARCH("World",'RawData'!C306)),"",IF(ISNUMBER(SEARCH("Other",C275)),COUNTIFS('RawData'!B:B,B275,'RawData'!C:C,"&lt;&gt;*World*"),IF(OR(K275="",K275=0),"-",SUMPRODUCT(('RawData'!B$2:B$822=B275)*('RawData'!H$2:H$822&gt;K275)*(ISERROR(SEARCH("World",'RawData'!C$2:C$822)))*(ISERROR(SEARCH("Other",'RawData'!C$2:C$822))))+1)))</f>
        <v>1</v>
      </c>
    </row>
    <row r="276" spans="1:14" x14ac:dyDescent="0.3">
      <c r="A276" s="4" t="str">
        <f>IF(ISNUMBER(SEARCH("World",'RawData'!C307)),"",'RawData'!A307)</f>
        <v>MCS2026</v>
      </c>
      <c r="B276" s="4" t="str">
        <f>IF(ISNUMBER(SEARCH("World",'RawData'!C307)),"",'RawData'!B307)</f>
        <v>Iron</v>
      </c>
      <c r="C276" s="4" t="str">
        <f>IF(ISNUMBER(SEARCH("World",'RawData'!C307)),"",'RawData'!C307)</f>
        <v>Brazil</v>
      </c>
      <c r="D276" s="4" t="str">
        <f>IF(ISNUMBER(SEARCH("World",'RawData'!C307)),"",'RawData'!D307)</f>
        <v>Mine production, iron content</v>
      </c>
      <c r="E276" s="4" t="str">
        <f>IF(ISNUMBER(SEARCH("World",'RawData'!C307)),"",IF('RawData'!E307="WT001","kg",IF('RawData'!E307="WT002","ton",IF('RawData'!E307="WT003","k ton",""))))</f>
        <v>k ton</v>
      </c>
      <c r="F276" s="14">
        <f>IF(ISNUMBER(SEARCH("World",'RawData'!C307)),"",'RawData'!F307)</f>
        <v>268000</v>
      </c>
      <c r="G276" s="14">
        <f>IF(ISNUMBER(SEARCH("World",'RawData'!C307)),"",'RawData'!G307)</f>
        <v>260000</v>
      </c>
      <c r="H276" s="14">
        <f>IF(ISNUMBER(SEARCH("World",'RawData'!C307)),"",SUMIFS('RawData'!G:G,'RawData'!B:B,'RawData'!B307,'RawData'!C:C,"*World*"))</f>
        <v>1600000</v>
      </c>
      <c r="I276" s="15">
        <f>IF(ISNUMBER(SEARCH("World",'RawData'!C307)),"",IFERROR(G276/H276,"-"))</f>
        <v>0.16250000000000001</v>
      </c>
      <c r="J276" s="7">
        <f>IF(ISNUMBER(SEARCH("World",'RawData'!C307)),"",IF(ISNUMBER(SEARCH("Other",C276)),COUNTIFS('RawData'!B:B,B276,'RawData'!C:C,"&lt;&gt;*World*"),IF(OR(G276="",G276=0),"-",SUMPRODUCT(('RawData'!B$2:B$822=B276)*('RawData'!G$2:G$822&gt;G276)*(ISERROR(SEARCH("World",'RawData'!C$2:C$822)))*(ISERROR(SEARCH("Other",'RawData'!C$2:C$822))))+1)))</f>
        <v>2</v>
      </c>
      <c r="K276" s="14">
        <f>IF(ISNUMBER(SEARCH("World",'RawData'!C307)),"",'RawData'!H307)</f>
        <v>15000000</v>
      </c>
      <c r="L276" s="14">
        <f>IF(ISNUMBER(SEARCH("World",'RawData'!C307)),"",SUMIFS('RawData'!H:H,'RawData'!B:B,'RawData'!B307,'RawData'!C:C,"*World*"))</f>
        <v>87000000</v>
      </c>
      <c r="M276" s="15">
        <f>IF(ISNUMBER(SEARCH("World",'RawData'!C307)),"",IFERROR(K276/L276,"-"))</f>
        <v>0.17241379310344829</v>
      </c>
      <c r="N276" s="7">
        <f>IF(ISNUMBER(SEARCH("World",'RawData'!C307)),"",IF(ISNUMBER(SEARCH("Other",C276)),COUNTIFS('RawData'!B:B,B276,'RawData'!C:C,"&lt;&gt;*World*"),IF(OR(K276="",K276=0),"-",SUMPRODUCT(('RawData'!B$2:B$822=B276)*('RawData'!H$2:H$822&gt;K276)*(ISERROR(SEARCH("World",'RawData'!C$2:C$822)))*(ISERROR(SEARCH("Other",'RawData'!C$2:C$822))))+1)))</f>
        <v>2</v>
      </c>
    </row>
    <row r="277" spans="1:14" x14ac:dyDescent="0.3">
      <c r="A277" s="4" t="str">
        <f>IF(ISNUMBER(SEARCH("World",'RawData'!C308)),"",'RawData'!A308)</f>
        <v>MCS2026</v>
      </c>
      <c r="B277" s="4" t="str">
        <f>IF(ISNUMBER(SEARCH("World",'RawData'!C308)),"",'RawData'!B308)</f>
        <v>Iron</v>
      </c>
      <c r="C277" s="4" t="str">
        <f>IF(ISNUMBER(SEARCH("World",'RawData'!C308)),"",'RawData'!C308)</f>
        <v xml:space="preserve">Canada </v>
      </c>
      <c r="D277" s="4" t="str">
        <f>IF(ISNUMBER(SEARCH("World",'RawData'!C308)),"",'RawData'!D308)</f>
        <v>Mine production, iron content</v>
      </c>
      <c r="E277" s="4" t="str">
        <f>IF(ISNUMBER(SEARCH("World",'RawData'!C308)),"",IF('RawData'!E308="WT001","kg",IF('RawData'!E308="WT002","ton",IF('RawData'!E308="WT003","k ton",""))))</f>
        <v>k ton</v>
      </c>
      <c r="F277" s="14">
        <f>IF(ISNUMBER(SEARCH("World",'RawData'!C308)),"",'RawData'!F308)</f>
        <v>42000</v>
      </c>
      <c r="G277" s="14">
        <f>IF(ISNUMBER(SEARCH("World",'RawData'!C308)),"",'RawData'!G308)</f>
        <v>41000</v>
      </c>
      <c r="H277" s="14">
        <f>IF(ISNUMBER(SEARCH("World",'RawData'!C308)),"",SUMIFS('RawData'!G:G,'RawData'!B:B,'RawData'!B308,'RawData'!C:C,"*World*"))</f>
        <v>1600000</v>
      </c>
      <c r="I277" s="15">
        <f>IF(ISNUMBER(SEARCH("World",'RawData'!C308)),"",IFERROR(G277/H277,"-"))</f>
        <v>2.5624999999999998E-2</v>
      </c>
      <c r="J277" s="7">
        <f>IF(ISNUMBER(SEARCH("World",'RawData'!C308)),"",IF(ISNUMBER(SEARCH("Other",C277)),COUNTIFS('RawData'!B:B,B277,'RawData'!C:C,"&lt;&gt;*World*"),IF(OR(G277="",G277=0),"-",SUMPRODUCT(('RawData'!B$2:B$822=B277)*('RawData'!G$2:G$822&gt;G277)*(ISERROR(SEARCH("World",'RawData'!C$2:C$822)))*(ISERROR(SEARCH("Other",'RawData'!C$2:C$822))))+1)))</f>
        <v>8</v>
      </c>
      <c r="K277" s="14">
        <f>IF(ISNUMBER(SEARCH("World",'RawData'!C308)),"",'RawData'!H308)</f>
        <v>2300000</v>
      </c>
      <c r="L277" s="14">
        <f>IF(ISNUMBER(SEARCH("World",'RawData'!C308)),"",SUMIFS('RawData'!H:H,'RawData'!B:B,'RawData'!B308,'RawData'!C:C,"*World*"))</f>
        <v>87000000</v>
      </c>
      <c r="M277" s="15">
        <f>IF(ISNUMBER(SEARCH("World",'RawData'!C308)),"",IFERROR(K277/L277,"-"))</f>
        <v>2.6436781609195402E-2</v>
      </c>
      <c r="N277" s="7">
        <f>IF(ISNUMBER(SEARCH("World",'RawData'!C308)),"",IF(ISNUMBER(SEARCH("Other",C277)),COUNTIFS('RawData'!B:B,B277,'RawData'!C:C,"&lt;&gt;*World*"),IF(OR(K277="",K277=0),"-",SUMPRODUCT(('RawData'!B$2:B$822=B277)*('RawData'!H$2:H$822&gt;K277)*(ISERROR(SEARCH("World",'RawData'!C$2:C$822)))*(ISERROR(SEARCH("Other",'RawData'!C$2:C$822))))+1)))</f>
        <v>8</v>
      </c>
    </row>
    <row r="278" spans="1:14" x14ac:dyDescent="0.3">
      <c r="A278" s="4" t="str">
        <f>IF(ISNUMBER(SEARCH("World",'RawData'!C309)),"",'RawData'!A309)</f>
        <v>MCS2026</v>
      </c>
      <c r="B278" s="4" t="str">
        <f>IF(ISNUMBER(SEARCH("World",'RawData'!C309)),"",'RawData'!B309)</f>
        <v>Iron</v>
      </c>
      <c r="C278" s="4" t="str">
        <f>IF(ISNUMBER(SEARCH("World",'RawData'!C309)),"",'RawData'!C309)</f>
        <v>Chile</v>
      </c>
      <c r="D278" s="4" t="str">
        <f>IF(ISNUMBER(SEARCH("World",'RawData'!C309)),"",'RawData'!D309)</f>
        <v>Mine production, iron content</v>
      </c>
      <c r="E278" s="4" t="str">
        <f>IF(ISNUMBER(SEARCH("World",'RawData'!C309)),"",IF('RawData'!E309="WT001","kg",IF('RawData'!E309="WT002","ton",IF('RawData'!E309="WT003","k ton",""))))</f>
        <v>k ton</v>
      </c>
      <c r="F278" s="14">
        <f>IF(ISNUMBER(SEARCH("World",'RawData'!C309)),"",'RawData'!F309)</f>
        <v>11000</v>
      </c>
      <c r="G278" s="14">
        <f>IF(ISNUMBER(SEARCH("World",'RawData'!C309)),"",'RawData'!G309)</f>
        <v>12000</v>
      </c>
      <c r="H278" s="14">
        <f>IF(ISNUMBER(SEARCH("World",'RawData'!C309)),"",SUMIFS('RawData'!G:G,'RawData'!B:B,'RawData'!B309,'RawData'!C:C,"*World*"))</f>
        <v>1600000</v>
      </c>
      <c r="I278" s="15">
        <f>IF(ISNUMBER(SEARCH("World",'RawData'!C309)),"",IFERROR(G278/H278,"-"))</f>
        <v>7.4999999999999997E-3</v>
      </c>
      <c r="J278" s="7">
        <f>IF(ISNUMBER(SEARCH("World",'RawData'!C309)),"",IF(ISNUMBER(SEARCH("Other",C278)),COUNTIFS('RawData'!B:B,B278,'RawData'!C:C,"&lt;&gt;*World*"),IF(OR(G278="",G278=0),"-",SUMPRODUCT(('RawData'!B$2:B$822=B278)*('RawData'!G$2:G$822&gt;G278)*(ISERROR(SEARCH("World",'RawData'!C$2:C$822)))*(ISERROR(SEARCH("Other",'RawData'!C$2:C$822))))+1)))</f>
        <v>13</v>
      </c>
      <c r="K278" s="14">
        <f>IF(ISNUMBER(SEARCH("World",'RawData'!C309)),"",'RawData'!H309)</f>
        <v>740000</v>
      </c>
      <c r="L278" s="14">
        <f>IF(ISNUMBER(SEARCH("World",'RawData'!C309)),"",SUMIFS('RawData'!H:H,'RawData'!B:B,'RawData'!B309,'RawData'!C:C,"*World*"))</f>
        <v>87000000</v>
      </c>
      <c r="M278" s="15">
        <f>IF(ISNUMBER(SEARCH("World",'RawData'!C309)),"",IFERROR(K278/L278,"-"))</f>
        <v>8.5057471264367822E-3</v>
      </c>
      <c r="N278" s="7">
        <f>IF(ISNUMBER(SEARCH("World",'RawData'!C309)),"",IF(ISNUMBER(SEARCH("Other",C278)),COUNTIFS('RawData'!B:B,B278,'RawData'!C:C,"&lt;&gt;*World*"),IF(OR(K278="",K278=0),"-",SUMPRODUCT(('RawData'!B$2:B$822=B278)*('RawData'!H$2:H$822&gt;K278)*(ISERROR(SEARCH("World",'RawData'!C$2:C$822)))*(ISERROR(SEARCH("Other",'RawData'!C$2:C$822))))+1)))</f>
        <v>13</v>
      </c>
    </row>
    <row r="279" spans="1:14" x14ac:dyDescent="0.3">
      <c r="A279" s="4" t="str">
        <f>IF(ISNUMBER(SEARCH("World",'RawData'!C310)),"",'RawData'!A310)</f>
        <v>MCS2026</v>
      </c>
      <c r="B279" s="4" t="str">
        <f>IF(ISNUMBER(SEARCH("World",'RawData'!C310)),"",'RawData'!B310)</f>
        <v>Iron</v>
      </c>
      <c r="C279" s="4" t="str">
        <f>IF(ISNUMBER(SEARCH("World",'RawData'!C310)),"",'RawData'!C310)</f>
        <v>China</v>
      </c>
      <c r="D279" s="4" t="str">
        <f>IF(ISNUMBER(SEARCH("World",'RawData'!C310)),"",'RawData'!D310)</f>
        <v>Mine production, iron content</v>
      </c>
      <c r="E279" s="4" t="str">
        <f>IF(ISNUMBER(SEARCH("World",'RawData'!C310)),"",IF('RawData'!E310="WT001","kg",IF('RawData'!E310="WT002","ton",IF('RawData'!E310="WT003","k ton",""))))</f>
        <v>k ton</v>
      </c>
      <c r="F279" s="14">
        <f>IF(ISNUMBER(SEARCH("World",'RawData'!C310)),"",'RawData'!F310)</f>
        <v>183000</v>
      </c>
      <c r="G279" s="14">
        <f>IF(ISNUMBER(SEARCH("World",'RawData'!C310)),"",'RawData'!G310)</f>
        <v>180000</v>
      </c>
      <c r="H279" s="14">
        <f>IF(ISNUMBER(SEARCH("World",'RawData'!C310)),"",SUMIFS('RawData'!G:G,'RawData'!B:B,'RawData'!B310,'RawData'!C:C,"*World*"))</f>
        <v>1600000</v>
      </c>
      <c r="I279" s="15">
        <f>IF(ISNUMBER(SEARCH("World",'RawData'!C310)),"",IFERROR(G279/H279,"-"))</f>
        <v>0.1125</v>
      </c>
      <c r="J279" s="7">
        <f>IF(ISNUMBER(SEARCH("World",'RawData'!C310)),"",IF(ISNUMBER(SEARCH("Other",C279)),COUNTIFS('RawData'!B:B,B279,'RawData'!C:C,"&lt;&gt;*World*"),IF(OR(G279="",G279=0),"-",SUMPRODUCT(('RawData'!B$2:B$822=B279)*('RawData'!G$2:G$822&gt;G279)*(ISERROR(SEARCH("World",'RawData'!C$2:C$822)))*(ISERROR(SEARCH("Other",'RawData'!C$2:C$822))))+1)))</f>
        <v>4</v>
      </c>
      <c r="K279" s="14">
        <f>IF(ISNUMBER(SEARCH("World",'RawData'!C310)),"",'RawData'!H310)</f>
        <v>3000000</v>
      </c>
      <c r="L279" s="14">
        <f>IF(ISNUMBER(SEARCH("World",'RawData'!C310)),"",SUMIFS('RawData'!H:H,'RawData'!B:B,'RawData'!B310,'RawData'!C:C,"*World*"))</f>
        <v>87000000</v>
      </c>
      <c r="M279" s="15">
        <f>IF(ISNUMBER(SEARCH("World",'RawData'!C310)),"",IFERROR(K279/L279,"-"))</f>
        <v>3.4482758620689655E-2</v>
      </c>
      <c r="N279" s="7">
        <f>IF(ISNUMBER(SEARCH("World",'RawData'!C310)),"",IF(ISNUMBER(SEARCH("Other",C279)),COUNTIFS('RawData'!B:B,B279,'RawData'!C:C,"&lt;&gt;*World*"),IF(OR(K279="",K279=0),"-",SUMPRODUCT(('RawData'!B$2:B$822=B279)*('RawData'!H$2:H$822&gt;K279)*(ISERROR(SEARCH("World",'RawData'!C$2:C$822)))*(ISERROR(SEARCH("Other",'RawData'!C$2:C$822))))+1)))</f>
        <v>6</v>
      </c>
    </row>
    <row r="280" spans="1:14" x14ac:dyDescent="0.3">
      <c r="A280" s="4" t="str">
        <f>IF(ISNUMBER(SEARCH("World",'RawData'!C311)),"",'RawData'!A311)</f>
        <v>MCS2026</v>
      </c>
      <c r="B280" s="4" t="str">
        <f>IF(ISNUMBER(SEARCH("World",'RawData'!C311)),"",'RawData'!B311)</f>
        <v>Iron</v>
      </c>
      <c r="C280" s="4" t="str">
        <f>IF(ISNUMBER(SEARCH("World",'RawData'!C311)),"",'RawData'!C311)</f>
        <v>India</v>
      </c>
      <c r="D280" s="4" t="str">
        <f>IF(ISNUMBER(SEARCH("World",'RawData'!C311)),"",'RawData'!D311)</f>
        <v>Mine production, iron content</v>
      </c>
      <c r="E280" s="4" t="str">
        <f>IF(ISNUMBER(SEARCH("World",'RawData'!C311)),"",IF('RawData'!E311="WT001","kg",IF('RawData'!E311="WT002","ton",IF('RawData'!E311="WT003","k ton",""))))</f>
        <v>k ton</v>
      </c>
      <c r="F280" s="14">
        <f>IF(ISNUMBER(SEARCH("World",'RawData'!C311)),"",'RawData'!F311)</f>
        <v>175000</v>
      </c>
      <c r="G280" s="14">
        <f>IF(ISNUMBER(SEARCH("World",'RawData'!C311)),"",'RawData'!G311)</f>
        <v>190000</v>
      </c>
      <c r="H280" s="14">
        <f>IF(ISNUMBER(SEARCH("World",'RawData'!C311)),"",SUMIFS('RawData'!G:G,'RawData'!B:B,'RawData'!B311,'RawData'!C:C,"*World*"))</f>
        <v>1600000</v>
      </c>
      <c r="I280" s="15">
        <f>IF(ISNUMBER(SEARCH("World",'RawData'!C311)),"",IFERROR(G280/H280,"-"))</f>
        <v>0.11874999999999999</v>
      </c>
      <c r="J280" s="7">
        <f>IF(ISNUMBER(SEARCH("World",'RawData'!C311)),"",IF(ISNUMBER(SEARCH("Other",C280)),COUNTIFS('RawData'!B:B,B280,'RawData'!C:C,"&lt;&gt;*World*"),IF(OR(G280="",G280=0),"-",SUMPRODUCT(('RawData'!B$2:B$822=B280)*('RawData'!G$2:G$822&gt;G280)*(ISERROR(SEARCH("World",'RawData'!C$2:C$822)))*(ISERROR(SEARCH("Other",'RawData'!C$2:C$822))))+1)))</f>
        <v>3</v>
      </c>
      <c r="K280" s="14">
        <f>IF(ISNUMBER(SEARCH("World",'RawData'!C311)),"",'RawData'!H311)</f>
        <v>3400000</v>
      </c>
      <c r="L280" s="14">
        <f>IF(ISNUMBER(SEARCH("World",'RawData'!C311)),"",SUMIFS('RawData'!H:H,'RawData'!B:B,'RawData'!B311,'RawData'!C:C,"*World*"))</f>
        <v>87000000</v>
      </c>
      <c r="M280" s="15">
        <f>IF(ISNUMBER(SEARCH("World",'RawData'!C311)),"",IFERROR(K280/L280,"-"))</f>
        <v>3.9080459770114942E-2</v>
      </c>
      <c r="N280" s="7">
        <f>IF(ISNUMBER(SEARCH("World",'RawData'!C311)),"",IF(ISNUMBER(SEARCH("Other",C280)),COUNTIFS('RawData'!B:B,B280,'RawData'!C:C,"&lt;&gt;*World*"),IF(OR(K280="",K280=0),"-",SUMPRODUCT(('RawData'!B$2:B$822=B280)*('RawData'!H$2:H$822&gt;K280)*(ISERROR(SEARCH("World",'RawData'!C$2:C$822)))*(ISERROR(SEARCH("Other",'RawData'!C$2:C$822))))+1)))</f>
        <v>5</v>
      </c>
    </row>
    <row r="281" spans="1:14" x14ac:dyDescent="0.3">
      <c r="A281" s="4" t="str">
        <f>IF(ISNUMBER(SEARCH("World",'RawData'!C312)),"",'RawData'!A312)</f>
        <v>MCS2026</v>
      </c>
      <c r="B281" s="4" t="str">
        <f>IF(ISNUMBER(SEARCH("World",'RawData'!C312)),"",'RawData'!B312)</f>
        <v>Iron</v>
      </c>
      <c r="C281" s="4" t="str">
        <f>IF(ISNUMBER(SEARCH("World",'RawData'!C312)),"",'RawData'!C312)</f>
        <v>Iran</v>
      </c>
      <c r="D281" s="4" t="str">
        <f>IF(ISNUMBER(SEARCH("World",'RawData'!C312)),"",'RawData'!D312)</f>
        <v>Mine production, iron content</v>
      </c>
      <c r="E281" s="4" t="str">
        <f>IF(ISNUMBER(SEARCH("World",'RawData'!C312)),"",IF('RawData'!E312="WT001","kg",IF('RawData'!E312="WT002","ton",IF('RawData'!E312="WT003","k ton",""))))</f>
        <v>k ton</v>
      </c>
      <c r="F281" s="14">
        <f>IF(ISNUMBER(SEARCH("World",'RawData'!C312)),"",'RawData'!F312)</f>
        <v>59000</v>
      </c>
      <c r="G281" s="14">
        <f>IF(ISNUMBER(SEARCH("World",'RawData'!C312)),"",'RawData'!G312)</f>
        <v>61000</v>
      </c>
      <c r="H281" s="14">
        <f>IF(ISNUMBER(SEARCH("World",'RawData'!C312)),"",SUMIFS('RawData'!G:G,'RawData'!B:B,'RawData'!B312,'RawData'!C:C,"*World*"))</f>
        <v>1600000</v>
      </c>
      <c r="I281" s="15">
        <f>IF(ISNUMBER(SEARCH("World",'RawData'!C312)),"",IFERROR(G281/H281,"-"))</f>
        <v>3.8124999999999999E-2</v>
      </c>
      <c r="J281" s="7">
        <f>IF(ISNUMBER(SEARCH("World",'RawData'!C312)),"",IF(ISNUMBER(SEARCH("Other",C281)),COUNTIFS('RawData'!B:B,B281,'RawData'!C:C,"&lt;&gt;*World*"),IF(OR(G281="",G281=0),"-",SUMPRODUCT(('RawData'!B$2:B$822=B281)*('RawData'!G$2:G$822&gt;G281)*(ISERROR(SEARCH("World",'RawData'!C$2:C$822)))*(ISERROR(SEARCH("Other",'RawData'!C$2:C$822))))+1)))</f>
        <v>5</v>
      </c>
      <c r="K281" s="14">
        <f>IF(ISNUMBER(SEARCH("World",'RawData'!C312)),"",'RawData'!H312)</f>
        <v>1500000</v>
      </c>
      <c r="L281" s="14">
        <f>IF(ISNUMBER(SEARCH("World",'RawData'!C312)),"",SUMIFS('RawData'!H:H,'RawData'!B:B,'RawData'!B312,'RawData'!C:C,"*World*"))</f>
        <v>87000000</v>
      </c>
      <c r="M281" s="15">
        <f>IF(ISNUMBER(SEARCH("World",'RawData'!C312)),"",IFERROR(K281/L281,"-"))</f>
        <v>1.7241379310344827E-2</v>
      </c>
      <c r="N281" s="7">
        <f>IF(ISNUMBER(SEARCH("World",'RawData'!C312)),"",IF(ISNUMBER(SEARCH("Other",C281)),COUNTIFS('RawData'!B:B,B281,'RawData'!C:C,"&lt;&gt;*World*"),IF(OR(K281="",K281=0),"-",SUMPRODUCT(('RawData'!B$2:B$822=B281)*('RawData'!H$2:H$822&gt;K281)*(ISERROR(SEARCH("World",'RawData'!C$2:C$822)))*(ISERROR(SEARCH("Other",'RawData'!C$2:C$822))))+1)))</f>
        <v>10</v>
      </c>
    </row>
    <row r="282" spans="1:14" x14ac:dyDescent="0.3">
      <c r="A282" s="4" t="str">
        <f>IF(ISNUMBER(SEARCH("World",'RawData'!C313)),"",'RawData'!A313)</f>
        <v>MCS2026</v>
      </c>
      <c r="B282" s="4" t="str">
        <f>IF(ISNUMBER(SEARCH("World",'RawData'!C313)),"",'RawData'!B313)</f>
        <v>Iron</v>
      </c>
      <c r="C282" s="4" t="str">
        <f>IF(ISNUMBER(SEARCH("World",'RawData'!C313)),"",'RawData'!C313)</f>
        <v>Kazakhstan</v>
      </c>
      <c r="D282" s="4" t="str">
        <f>IF(ISNUMBER(SEARCH("World",'RawData'!C313)),"",'RawData'!D313)</f>
        <v>Mine production, iron content</v>
      </c>
      <c r="E282" s="4" t="str">
        <f>IF(ISNUMBER(SEARCH("World",'RawData'!C313)),"",IF('RawData'!E313="WT001","kg",IF('RawData'!E313="WT002","ton",IF('RawData'!E313="WT003","k ton",""))))</f>
        <v>k ton</v>
      </c>
      <c r="F282" s="14">
        <f>IF(ISNUMBER(SEARCH("World",'RawData'!C313)),"",'RawData'!F313)</f>
        <v>11100</v>
      </c>
      <c r="G282" s="14">
        <f>IF(ISNUMBER(SEARCH("World",'RawData'!C313)),"",'RawData'!G313)</f>
        <v>11000</v>
      </c>
      <c r="H282" s="14">
        <f>IF(ISNUMBER(SEARCH("World",'RawData'!C313)),"",SUMIFS('RawData'!G:G,'RawData'!B:B,'RawData'!B313,'RawData'!C:C,"*World*"))</f>
        <v>1600000</v>
      </c>
      <c r="I282" s="15">
        <f>IF(ISNUMBER(SEARCH("World",'RawData'!C313)),"",IFERROR(G282/H282,"-"))</f>
        <v>6.875E-3</v>
      </c>
      <c r="J282" s="7">
        <f>IF(ISNUMBER(SEARCH("World",'RawData'!C313)),"",IF(ISNUMBER(SEARCH("Other",C282)),COUNTIFS('RawData'!B:B,B282,'RawData'!C:C,"&lt;&gt;*World*"),IF(OR(G282="",G282=0),"-",SUMPRODUCT(('RawData'!B$2:B$822=B282)*('RawData'!G$2:G$822&gt;G282)*(ISERROR(SEARCH("World",'RawData'!C$2:C$822)))*(ISERROR(SEARCH("Other",'RawData'!C$2:C$822))))+1)))</f>
        <v>14</v>
      </c>
      <c r="K282" s="14">
        <f>IF(ISNUMBER(SEARCH("World",'RawData'!C313)),"",'RawData'!H313)</f>
        <v>1500000</v>
      </c>
      <c r="L282" s="14">
        <f>IF(ISNUMBER(SEARCH("World",'RawData'!C313)),"",SUMIFS('RawData'!H:H,'RawData'!B:B,'RawData'!B313,'RawData'!C:C,"*World*"))</f>
        <v>87000000</v>
      </c>
      <c r="M282" s="15">
        <f>IF(ISNUMBER(SEARCH("World",'RawData'!C313)),"",IFERROR(K282/L282,"-"))</f>
        <v>1.7241379310344827E-2</v>
      </c>
      <c r="N282" s="7">
        <f>IF(ISNUMBER(SEARCH("World",'RawData'!C313)),"",IF(ISNUMBER(SEARCH("Other",C282)),COUNTIFS('RawData'!B:B,B282,'RawData'!C:C,"&lt;&gt;*World*"),IF(OR(K282="",K282=0),"-",SUMPRODUCT(('RawData'!B$2:B$822=B282)*('RawData'!H$2:H$822&gt;K282)*(ISERROR(SEARCH("World",'RawData'!C$2:C$822)))*(ISERROR(SEARCH("Other",'RawData'!C$2:C$822))))+1)))</f>
        <v>10</v>
      </c>
    </row>
    <row r="283" spans="1:14" x14ac:dyDescent="0.3">
      <c r="A283" s="4" t="str">
        <f>IF(ISNUMBER(SEARCH("World",'RawData'!C314)),"",'RawData'!A314)</f>
        <v>MCS2026</v>
      </c>
      <c r="B283" s="4" t="str">
        <f>IF(ISNUMBER(SEARCH("World",'RawData'!C314)),"",'RawData'!B314)</f>
        <v>Iron</v>
      </c>
      <c r="C283" s="4" t="str">
        <f>IF(ISNUMBER(SEARCH("World",'RawData'!C314)),"",'RawData'!C314)</f>
        <v>Mauritania</v>
      </c>
      <c r="D283" s="4" t="str">
        <f>IF(ISNUMBER(SEARCH("World",'RawData'!C314)),"",'RawData'!D314)</f>
        <v>Mine production, iron content</v>
      </c>
      <c r="E283" s="4" t="str">
        <f>IF(ISNUMBER(SEARCH("World",'RawData'!C314)),"",IF('RawData'!E314="WT001","kg",IF('RawData'!E314="WT002","ton",IF('RawData'!E314="WT003","k ton",""))))</f>
        <v>k ton</v>
      </c>
      <c r="F283" s="14">
        <f>IF(ISNUMBER(SEARCH("World",'RawData'!C314)),"",'RawData'!F314)</f>
        <v>8940</v>
      </c>
      <c r="G283" s="14">
        <f>IF(ISNUMBER(SEARCH("World",'RawData'!C314)),"",'RawData'!G314)</f>
        <v>9300</v>
      </c>
      <c r="H283" s="14">
        <f>IF(ISNUMBER(SEARCH("World",'RawData'!C314)),"",SUMIFS('RawData'!G:G,'RawData'!B:B,'RawData'!B314,'RawData'!C:C,"*World*"))</f>
        <v>1600000</v>
      </c>
      <c r="I283" s="15">
        <f>IF(ISNUMBER(SEARCH("World",'RawData'!C314)),"",IFERROR(G283/H283,"-"))</f>
        <v>5.8125E-3</v>
      </c>
      <c r="J283" s="7">
        <f>IF(ISNUMBER(SEARCH("World",'RawData'!C314)),"",IF(ISNUMBER(SEARCH("Other",C283)),COUNTIFS('RawData'!B:B,B283,'RawData'!C:C,"&lt;&gt;*World*"),IF(OR(G283="",G283=0),"-",SUMPRODUCT(('RawData'!B$2:B$822=B283)*('RawData'!G$2:G$822&gt;G283)*(ISERROR(SEARCH("World",'RawData'!C$2:C$822)))*(ISERROR(SEARCH("Other",'RawData'!C$2:C$822))))+1)))</f>
        <v>16</v>
      </c>
      <c r="K283" s="14">
        <f>IF(ISNUMBER(SEARCH("World",'RawData'!C314)),"",'RawData'!H314)</f>
        <v>4400000</v>
      </c>
      <c r="L283" s="14">
        <f>IF(ISNUMBER(SEARCH("World",'RawData'!C314)),"",SUMIFS('RawData'!H:H,'RawData'!B:B,'RawData'!B314,'RawData'!C:C,"*World*"))</f>
        <v>87000000</v>
      </c>
      <c r="M283" s="15">
        <f>IF(ISNUMBER(SEARCH("World",'RawData'!C314)),"",IFERROR(K283/L283,"-"))</f>
        <v>5.057471264367816E-2</v>
      </c>
      <c r="N283" s="7">
        <f>IF(ISNUMBER(SEARCH("World",'RawData'!C314)),"",IF(ISNUMBER(SEARCH("Other",C283)),COUNTIFS('RawData'!B:B,B283,'RawData'!C:C,"&lt;&gt;*World*"),IF(OR(K283="",K283=0),"-",SUMPRODUCT(('RawData'!B$2:B$822=B283)*('RawData'!H$2:H$822&gt;K283)*(ISERROR(SEARCH("World",'RawData'!C$2:C$822)))*(ISERROR(SEARCH("Other",'RawData'!C$2:C$822))))+1)))</f>
        <v>4</v>
      </c>
    </row>
    <row r="284" spans="1:14" x14ac:dyDescent="0.3">
      <c r="A284" s="4" t="str">
        <f>IF(ISNUMBER(SEARCH("World",'RawData'!C315)),"",'RawData'!A315)</f>
        <v>MCS2026</v>
      </c>
      <c r="B284" s="4" t="str">
        <f>IF(ISNUMBER(SEARCH("World",'RawData'!C315)),"",'RawData'!B315)</f>
        <v>Iron</v>
      </c>
      <c r="C284" s="4" t="str">
        <f>IF(ISNUMBER(SEARCH("World",'RawData'!C315)),"",'RawData'!C315)</f>
        <v>Mexico</v>
      </c>
      <c r="D284" s="4" t="str">
        <f>IF(ISNUMBER(SEARCH("World",'RawData'!C315)),"",'RawData'!D315)</f>
        <v>Mine production, iron content</v>
      </c>
      <c r="E284" s="4" t="str">
        <f>IF(ISNUMBER(SEARCH("World",'RawData'!C315)),"",IF('RawData'!E315="WT001","kg",IF('RawData'!E315="WT002","ton",IF('RawData'!E315="WT003","k ton",""))))</f>
        <v>k ton</v>
      </c>
      <c r="F284" s="14">
        <f>IF(ISNUMBER(SEARCH("World",'RawData'!C315)),"",'RawData'!F315)</f>
        <v>4900</v>
      </c>
      <c r="G284" s="14">
        <f>IF(ISNUMBER(SEARCH("World",'RawData'!C315)),"",'RawData'!G315)</f>
        <v>4800</v>
      </c>
      <c r="H284" s="14">
        <f>IF(ISNUMBER(SEARCH("World",'RawData'!C315)),"",SUMIFS('RawData'!G:G,'RawData'!B:B,'RawData'!B315,'RawData'!C:C,"*World*"))</f>
        <v>1600000</v>
      </c>
      <c r="I284" s="15">
        <f>IF(ISNUMBER(SEARCH("World",'RawData'!C315)),"",IFERROR(G284/H284,"-"))</f>
        <v>3.0000000000000001E-3</v>
      </c>
      <c r="J284" s="7">
        <f>IF(ISNUMBER(SEARCH("World",'RawData'!C315)),"",IF(ISNUMBER(SEARCH("Other",C284)),COUNTIFS('RawData'!B:B,B284,'RawData'!C:C,"&lt;&gt;*World*"),IF(OR(G284="",G284=0),"-",SUMPRODUCT(('RawData'!B$2:B$822=B284)*('RawData'!G$2:G$822&gt;G284)*(ISERROR(SEARCH("World",'RawData'!C$2:C$822)))*(ISERROR(SEARCH("Other",'RawData'!C$2:C$822))))+1)))</f>
        <v>17</v>
      </c>
      <c r="K284" s="14">
        <f>IF(ISNUMBER(SEARCH("World",'RawData'!C315)),"",'RawData'!H315)</f>
        <v>520000</v>
      </c>
      <c r="L284" s="14">
        <f>IF(ISNUMBER(SEARCH("World",'RawData'!C315)),"",SUMIFS('RawData'!H:H,'RawData'!B:B,'RawData'!B315,'RawData'!C:C,"*World*"))</f>
        <v>87000000</v>
      </c>
      <c r="M284" s="15">
        <f>IF(ISNUMBER(SEARCH("World",'RawData'!C315)),"",IFERROR(K284/L284,"-"))</f>
        <v>5.9770114942528738E-3</v>
      </c>
      <c r="N284" s="7">
        <f>IF(ISNUMBER(SEARCH("World",'RawData'!C315)),"",IF(ISNUMBER(SEARCH("Other",C284)),COUNTIFS('RawData'!B:B,B284,'RawData'!C:C,"&lt;&gt;*World*"),IF(OR(K284="",K284=0),"-",SUMPRODUCT(('RawData'!B$2:B$822=B284)*('RawData'!H$2:H$822&gt;K284)*(ISERROR(SEARCH("World",'RawData'!C$2:C$822)))*(ISERROR(SEARCH("Other",'RawData'!C$2:C$822))))+1)))</f>
        <v>16</v>
      </c>
    </row>
    <row r="285" spans="1:14" x14ac:dyDescent="0.3">
      <c r="A285" s="4" t="str">
        <f>IF(ISNUMBER(SEARCH("World",'RawData'!C316)),"",'RawData'!A316)</f>
        <v>MCS2026</v>
      </c>
      <c r="B285" s="4" t="str">
        <f>IF(ISNUMBER(SEARCH("World",'RawData'!C316)),"",'RawData'!B316)</f>
        <v>Iron</v>
      </c>
      <c r="C285" s="4" t="str">
        <f>IF(ISNUMBER(SEARCH("World",'RawData'!C316)),"",'RawData'!C316)</f>
        <v>Other Countries</v>
      </c>
      <c r="D285" s="4" t="str">
        <f>IF(ISNUMBER(SEARCH("World",'RawData'!C316)),"",'RawData'!D316)</f>
        <v>Mine production, iron content</v>
      </c>
      <c r="E285" s="4" t="str">
        <f>IF(ISNUMBER(SEARCH("World",'RawData'!C316)),"",IF('RawData'!E316="WT001","kg",IF('RawData'!E316="WT002","ton",IF('RawData'!E316="WT003","k ton",""))))</f>
        <v>k ton</v>
      </c>
      <c r="F285" s="14">
        <f>IF(ISNUMBER(SEARCH("World",'RawData'!C316)),"",'RawData'!F316)</f>
        <v>34700</v>
      </c>
      <c r="G285" s="14">
        <f>IF(ISNUMBER(SEARCH("World",'RawData'!C316)),"",'RawData'!G316)</f>
        <v>36000</v>
      </c>
      <c r="H285" s="14">
        <f>IF(ISNUMBER(SEARCH("World",'RawData'!C316)),"",SUMIFS('RawData'!G:G,'RawData'!B:B,'RawData'!B316,'RawData'!C:C,"*World*"))</f>
        <v>1600000</v>
      </c>
      <c r="I285" s="15">
        <f>IF(ISNUMBER(SEARCH("World",'RawData'!C316)),"",IFERROR(G285/H285,"-"))</f>
        <v>2.2499999999999999E-2</v>
      </c>
      <c r="J285" s="7">
        <f>IF(ISNUMBER(SEARCH("World",'RawData'!C316)),"",IF(ISNUMBER(SEARCH("Other",C285)),COUNTIFS('RawData'!B:B,B285,'RawData'!C:C,"&lt;&gt;*World*"),IF(OR(G285="",G285=0),"-",SUMPRODUCT(('RawData'!B$2:B$822=B285)*('RawData'!G$2:G$822&gt;G285)*(ISERROR(SEARCH("World",'RawData'!C$2:C$822)))*(ISERROR(SEARCH("Other",'RawData'!C$2:C$822))))+1)))</f>
        <v>18</v>
      </c>
      <c r="K285" s="14">
        <f>IF(ISNUMBER(SEARCH("World",'RawData'!C316)),"",'RawData'!H316)</f>
        <v>6000000</v>
      </c>
      <c r="L285" s="14">
        <f>IF(ISNUMBER(SEARCH("World",'RawData'!C316)),"",SUMIFS('RawData'!H:H,'RawData'!B:B,'RawData'!B316,'RawData'!C:C,"*World*"))</f>
        <v>87000000</v>
      </c>
      <c r="M285" s="15">
        <f>IF(ISNUMBER(SEARCH("World",'RawData'!C316)),"",IFERROR(K285/L285,"-"))</f>
        <v>6.8965517241379309E-2</v>
      </c>
      <c r="N285" s="7">
        <f>IF(ISNUMBER(SEARCH("World",'RawData'!C316)),"",IF(ISNUMBER(SEARCH("Other",C285)),COUNTIFS('RawData'!B:B,B285,'RawData'!C:C,"&lt;&gt;*World*"),IF(OR(K285="",K285=0),"-",SUMPRODUCT(('RawData'!B$2:B$822=B285)*('RawData'!H$2:H$822&gt;K285)*(ISERROR(SEARCH("World",'RawData'!C$2:C$822)))*(ISERROR(SEARCH("Other",'RawData'!C$2:C$822))))+1)))</f>
        <v>18</v>
      </c>
    </row>
    <row r="286" spans="1:14" x14ac:dyDescent="0.3">
      <c r="A286" s="4" t="str">
        <f>IF(ISNUMBER(SEARCH("World",'RawData'!C317)),"",'RawData'!A317)</f>
        <v>MCS2026</v>
      </c>
      <c r="B286" s="4" t="str">
        <f>IF(ISNUMBER(SEARCH("World",'RawData'!C317)),"",'RawData'!B317)</f>
        <v>Iron</v>
      </c>
      <c r="C286" s="4" t="str">
        <f>IF(ISNUMBER(SEARCH("World",'RawData'!C317)),"",'RawData'!C317)</f>
        <v>Peru</v>
      </c>
      <c r="D286" s="4" t="str">
        <f>IF(ISNUMBER(SEARCH("World",'RawData'!C317)),"",'RawData'!D317)</f>
        <v>Mine production, iron content</v>
      </c>
      <c r="E286" s="4" t="str">
        <f>IF(ISNUMBER(SEARCH("World",'RawData'!C317)),"",IF('RawData'!E317="WT001","kg",IF('RawData'!E317="WT002","ton",IF('RawData'!E317="WT003","k ton",""))))</f>
        <v>k ton</v>
      </c>
      <c r="F286" s="14">
        <f>IF(ISNUMBER(SEARCH("World",'RawData'!C317)),"",'RawData'!F317)</f>
        <v>13300</v>
      </c>
      <c r="G286" s="14">
        <f>IF(ISNUMBER(SEARCH("World",'RawData'!C317)),"",'RawData'!G317)</f>
        <v>14000</v>
      </c>
      <c r="H286" s="14">
        <f>IF(ISNUMBER(SEARCH("World",'RawData'!C317)),"",SUMIFS('RawData'!G:G,'RawData'!B:B,'RawData'!B317,'RawData'!C:C,"*World*"))</f>
        <v>1600000</v>
      </c>
      <c r="I286" s="15">
        <f>IF(ISNUMBER(SEARCH("World",'RawData'!C317)),"",IFERROR(G286/H286,"-"))</f>
        <v>8.7500000000000008E-3</v>
      </c>
      <c r="J286" s="7">
        <f>IF(ISNUMBER(SEARCH("World",'RawData'!C317)),"",IF(ISNUMBER(SEARCH("Other",C286)),COUNTIFS('RawData'!B:B,B286,'RawData'!C:C,"&lt;&gt;*World*"),IF(OR(G286="",G286=0),"-",SUMPRODUCT(('RawData'!B$2:B$822=B286)*('RawData'!G$2:G$822&gt;G286)*(ISERROR(SEARCH("World",'RawData'!C$2:C$822)))*(ISERROR(SEARCH("Other",'RawData'!C$2:C$822))))+1)))</f>
        <v>12</v>
      </c>
      <c r="K286" s="14">
        <f>IF(ISNUMBER(SEARCH("World",'RawData'!C317)),"",'RawData'!H317)</f>
        <v>1000000</v>
      </c>
      <c r="L286" s="14">
        <f>IF(ISNUMBER(SEARCH("World",'RawData'!C317)),"",SUMIFS('RawData'!H:H,'RawData'!B:B,'RawData'!B317,'RawData'!C:C,"*World*"))</f>
        <v>87000000</v>
      </c>
      <c r="M286" s="15">
        <f>IF(ISNUMBER(SEARCH("World",'RawData'!C317)),"",IFERROR(K286/L286,"-"))</f>
        <v>1.1494252873563218E-2</v>
      </c>
      <c r="N286" s="7">
        <f>IF(ISNUMBER(SEARCH("World",'RawData'!C317)),"",IF(ISNUMBER(SEARCH("Other",C286)),COUNTIFS('RawData'!B:B,B286,'RawData'!C:C,"&lt;&gt;*World*"),IF(OR(K286="",K286=0),"-",SUMPRODUCT(('RawData'!B$2:B$822=B286)*('RawData'!H$2:H$822&gt;K286)*(ISERROR(SEARCH("World",'RawData'!C$2:C$822)))*(ISERROR(SEARCH("Other",'RawData'!C$2:C$822))))+1)))</f>
        <v>12</v>
      </c>
    </row>
    <row r="287" spans="1:14" x14ac:dyDescent="0.3">
      <c r="A287" s="4" t="str">
        <f>IF(ISNUMBER(SEARCH("World",'RawData'!C318)),"",'RawData'!A318)</f>
        <v>MCS2026</v>
      </c>
      <c r="B287" s="4" t="str">
        <f>IF(ISNUMBER(SEARCH("World",'RawData'!C318)),"",'RawData'!B318)</f>
        <v>Iron</v>
      </c>
      <c r="C287" s="4" t="str">
        <f>IF(ISNUMBER(SEARCH("World",'RawData'!C318)),"",'RawData'!C318)</f>
        <v>Turkiye</v>
      </c>
      <c r="D287" s="4" t="str">
        <f>IF(ISNUMBER(SEARCH("World",'RawData'!C318)),"",'RawData'!D318)</f>
        <v>Mine production, iron content</v>
      </c>
      <c r="E287" s="4" t="str">
        <f>IF(ISNUMBER(SEARCH("World",'RawData'!C318)),"",IF('RawData'!E318="WT001","kg",IF('RawData'!E318="WT002","ton",IF('RawData'!E318="WT003","k ton",""))))</f>
        <v>k ton</v>
      </c>
      <c r="F287" s="14">
        <f>IF(ISNUMBER(SEARCH("World",'RawData'!C318)),"",'RawData'!F318)</f>
        <v>11000</v>
      </c>
      <c r="G287" s="14">
        <f>IF(ISNUMBER(SEARCH("World",'RawData'!C318)),"",'RawData'!G318)</f>
        <v>11000</v>
      </c>
      <c r="H287" s="14">
        <f>IF(ISNUMBER(SEARCH("World",'RawData'!C318)),"",SUMIFS('RawData'!G:G,'RawData'!B:B,'RawData'!B318,'RawData'!C:C,"*World*"))</f>
        <v>1600000</v>
      </c>
      <c r="I287" s="15">
        <f>IF(ISNUMBER(SEARCH("World",'RawData'!C318)),"",IFERROR(G287/H287,"-"))</f>
        <v>6.875E-3</v>
      </c>
      <c r="J287" s="7">
        <f>IF(ISNUMBER(SEARCH("World",'RawData'!C318)),"",IF(ISNUMBER(SEARCH("Other",C287)),COUNTIFS('RawData'!B:B,B287,'RawData'!C:C,"&lt;&gt;*World*"),IF(OR(G287="",G287=0),"-",SUMPRODUCT(('RawData'!B$2:B$822=B287)*('RawData'!G$2:G$822&gt;G287)*(ISERROR(SEARCH("World",'RawData'!C$2:C$822)))*(ISERROR(SEARCH("Other",'RawData'!C$2:C$822))))+1)))</f>
        <v>14</v>
      </c>
      <c r="K287" s="14">
        <f>IF(ISNUMBER(SEARCH("World",'RawData'!C318)),"",'RawData'!H318)</f>
        <v>99000</v>
      </c>
      <c r="L287" s="14">
        <f>IF(ISNUMBER(SEARCH("World",'RawData'!C318)),"",SUMIFS('RawData'!H:H,'RawData'!B:B,'RawData'!B318,'RawData'!C:C,"*World*"))</f>
        <v>87000000</v>
      </c>
      <c r="M287" s="15">
        <f>IF(ISNUMBER(SEARCH("World",'RawData'!C318)),"",IFERROR(K287/L287,"-"))</f>
        <v>1.1379310344827587E-3</v>
      </c>
      <c r="N287" s="7">
        <f>IF(ISNUMBER(SEARCH("World",'RawData'!C318)),"",IF(ISNUMBER(SEARCH("Other",C287)),COUNTIFS('RawData'!B:B,B287,'RawData'!C:C,"&lt;&gt;*World*"),IF(OR(K287="",K287=0),"-",SUMPRODUCT(('RawData'!B$2:B$822=B287)*('RawData'!H$2:H$822&gt;K287)*(ISERROR(SEARCH("World",'RawData'!C$2:C$822)))*(ISERROR(SEARCH("Other",'RawData'!C$2:C$822))))+1)))</f>
        <v>17</v>
      </c>
    </row>
    <row r="288" spans="1:14" x14ac:dyDescent="0.3">
      <c r="A288" s="4" t="str">
        <f>IF(ISNUMBER(SEARCH("World",'RawData'!C319)),"",'RawData'!A319)</f>
        <v>MCS2026</v>
      </c>
      <c r="B288" s="4" t="str">
        <f>IF(ISNUMBER(SEARCH("World",'RawData'!C319)),"",'RawData'!B319)</f>
        <v>Iron</v>
      </c>
      <c r="C288" s="4" t="str">
        <f>IF(ISNUMBER(SEARCH("World",'RawData'!C319)),"",'RawData'!C319)</f>
        <v xml:space="preserve">Russia </v>
      </c>
      <c r="D288" s="4" t="str">
        <f>IF(ISNUMBER(SEARCH("World",'RawData'!C319)),"",'RawData'!D319)</f>
        <v>Mine production, iron content</v>
      </c>
      <c r="E288" s="4" t="str">
        <f>IF(ISNUMBER(SEARCH("World",'RawData'!C319)),"",IF('RawData'!E319="WT001","kg",IF('RawData'!E319="WT002","ton",IF('RawData'!E319="WT003","k ton",""))))</f>
        <v>k ton</v>
      </c>
      <c r="F288" s="14">
        <f>IF(ISNUMBER(SEARCH("World",'RawData'!C319)),"",'RawData'!F319)</f>
        <v>53000</v>
      </c>
      <c r="G288" s="14">
        <f>IF(ISNUMBER(SEARCH("World",'RawData'!C319)),"",'RawData'!G319)</f>
        <v>50000</v>
      </c>
      <c r="H288" s="14">
        <f>IF(ISNUMBER(SEARCH("World",'RawData'!C319)),"",SUMIFS('RawData'!G:G,'RawData'!B:B,'RawData'!B319,'RawData'!C:C,"*World*"))</f>
        <v>1600000</v>
      </c>
      <c r="I288" s="15">
        <f>IF(ISNUMBER(SEARCH("World",'RawData'!C319)),"",IFERROR(G288/H288,"-"))</f>
        <v>3.125E-2</v>
      </c>
      <c r="J288" s="7">
        <f>IF(ISNUMBER(SEARCH("World",'RawData'!C319)),"",IF(ISNUMBER(SEARCH("Other",C288)),COUNTIFS('RawData'!B:B,B288,'RawData'!C:C,"&lt;&gt;*World*"),IF(OR(G288="",G288=0),"-",SUMPRODUCT(('RawData'!B$2:B$822=B288)*('RawData'!G$2:G$822&gt;G288)*(ISERROR(SEARCH("World",'RawData'!C$2:C$822)))*(ISERROR(SEARCH("Other",'RawData'!C$2:C$822))))+1)))</f>
        <v>6</v>
      </c>
      <c r="K288" s="14">
        <f>IF(ISNUMBER(SEARCH("World",'RawData'!C319)),"",'RawData'!H319)</f>
        <v>14000000</v>
      </c>
      <c r="L288" s="14">
        <f>IF(ISNUMBER(SEARCH("World",'RawData'!C319)),"",SUMIFS('RawData'!H:H,'RawData'!B:B,'RawData'!B319,'RawData'!C:C,"*World*"))</f>
        <v>87000000</v>
      </c>
      <c r="M288" s="15">
        <f>IF(ISNUMBER(SEARCH("World",'RawData'!C319)),"",IFERROR(K288/L288,"-"))</f>
        <v>0.16091954022988506</v>
      </c>
      <c r="N288" s="7">
        <f>IF(ISNUMBER(SEARCH("World",'RawData'!C319)),"",IF(ISNUMBER(SEARCH("Other",C288)),COUNTIFS('RawData'!B:B,B288,'RawData'!C:C,"&lt;&gt;*World*"),IF(OR(K288="",K288=0),"-",SUMPRODUCT(('RawData'!B$2:B$822=B288)*('RawData'!H$2:H$822&gt;K288)*(ISERROR(SEARCH("World",'RawData'!C$2:C$822)))*(ISERROR(SEARCH("Other",'RawData'!C$2:C$822))))+1)))</f>
        <v>3</v>
      </c>
    </row>
    <row r="289" spans="1:14" x14ac:dyDescent="0.3">
      <c r="A289" s="4" t="str">
        <f>IF(ISNUMBER(SEARCH("World",'RawData'!C320)),"",'RawData'!A320)</f>
        <v>MCS2026</v>
      </c>
      <c r="B289" s="4" t="str">
        <f>IF(ISNUMBER(SEARCH("World",'RawData'!C320)),"",'RawData'!B320)</f>
        <v>Iron</v>
      </c>
      <c r="C289" s="4" t="str">
        <f>IF(ISNUMBER(SEARCH("World",'RawData'!C320)),"",'RawData'!C320)</f>
        <v xml:space="preserve">South Africa </v>
      </c>
      <c r="D289" s="4" t="str">
        <f>IF(ISNUMBER(SEARCH("World",'RawData'!C320)),"",'RawData'!D320)</f>
        <v>Mine production, iron content</v>
      </c>
      <c r="E289" s="4" t="str">
        <f>IF(ISNUMBER(SEARCH("World",'RawData'!C320)),"",IF('RawData'!E320="WT001","kg",IF('RawData'!E320="WT002","ton",IF('RawData'!E320="WT003","k ton",""))))</f>
        <v>k ton</v>
      </c>
      <c r="F289" s="14">
        <f>IF(ISNUMBER(SEARCH("World",'RawData'!C320)),"",'RawData'!F320)</f>
        <v>41000</v>
      </c>
      <c r="G289" s="14">
        <f>IF(ISNUMBER(SEARCH("World",'RawData'!C320)),"",'RawData'!G320)</f>
        <v>42000</v>
      </c>
      <c r="H289" s="14">
        <f>IF(ISNUMBER(SEARCH("World",'RawData'!C320)),"",SUMIFS('RawData'!G:G,'RawData'!B:B,'RawData'!B320,'RawData'!C:C,"*World*"))</f>
        <v>1600000</v>
      </c>
      <c r="I289" s="15">
        <f>IF(ISNUMBER(SEARCH("World",'RawData'!C320)),"",IFERROR(G289/H289,"-"))</f>
        <v>2.6249999999999999E-2</v>
      </c>
      <c r="J289" s="7">
        <f>IF(ISNUMBER(SEARCH("World",'RawData'!C320)),"",IF(ISNUMBER(SEARCH("Other",C289)),COUNTIFS('RawData'!B:B,B289,'RawData'!C:C,"&lt;&gt;*World*"),IF(OR(G289="",G289=0),"-",SUMPRODUCT(('RawData'!B$2:B$822=B289)*('RawData'!G$2:G$822&gt;G289)*(ISERROR(SEARCH("World",'RawData'!C$2:C$822)))*(ISERROR(SEARCH("Other",'RawData'!C$2:C$822))))+1)))</f>
        <v>7</v>
      </c>
      <c r="K289" s="14">
        <f>IF(ISNUMBER(SEARCH("World",'RawData'!C320)),"",'RawData'!H320)</f>
        <v>680000</v>
      </c>
      <c r="L289" s="14">
        <f>IF(ISNUMBER(SEARCH("World",'RawData'!C320)),"",SUMIFS('RawData'!H:H,'RawData'!B:B,'RawData'!B320,'RawData'!C:C,"*World*"))</f>
        <v>87000000</v>
      </c>
      <c r="M289" s="15">
        <f>IF(ISNUMBER(SEARCH("World",'RawData'!C320)),"",IFERROR(K289/L289,"-"))</f>
        <v>7.8160919540229881E-3</v>
      </c>
      <c r="N289" s="7">
        <f>IF(ISNUMBER(SEARCH("World",'RawData'!C320)),"",IF(ISNUMBER(SEARCH("Other",C289)),COUNTIFS('RawData'!B:B,B289,'RawData'!C:C,"&lt;&gt;*World*"),IF(OR(K289="",K289=0),"-",SUMPRODUCT(('RawData'!B$2:B$822=B289)*('RawData'!H$2:H$822&gt;K289)*(ISERROR(SEARCH("World",'RawData'!C$2:C$822)))*(ISERROR(SEARCH("Other",'RawData'!C$2:C$822))))+1)))</f>
        <v>14</v>
      </c>
    </row>
    <row r="290" spans="1:14" x14ac:dyDescent="0.3">
      <c r="A290" s="4" t="str">
        <f>IF(ISNUMBER(SEARCH("World",'RawData'!C321)),"",'RawData'!A321)</f>
        <v>MCS2026</v>
      </c>
      <c r="B290" s="4" t="str">
        <f>IF(ISNUMBER(SEARCH("World",'RawData'!C321)),"",'RawData'!B321)</f>
        <v>Iron</v>
      </c>
      <c r="C290" s="4" t="str">
        <f>IF(ISNUMBER(SEARCH("World",'RawData'!C321)),"",'RawData'!C321)</f>
        <v>Sweden</v>
      </c>
      <c r="D290" s="4" t="str">
        <f>IF(ISNUMBER(SEARCH("World",'RawData'!C321)),"",'RawData'!D321)</f>
        <v>Mine production, iron content</v>
      </c>
      <c r="E290" s="4" t="str">
        <f>IF(ISNUMBER(SEARCH("World",'RawData'!C321)),"",IF('RawData'!E321="WT001","kg",IF('RawData'!E321="WT002","ton",IF('RawData'!E321="WT003","k ton",""))))</f>
        <v>k ton</v>
      </c>
      <c r="F290" s="14">
        <f>IF(ISNUMBER(SEARCH("World",'RawData'!C321)),"",'RawData'!F321)</f>
        <v>18000</v>
      </c>
      <c r="G290" s="14">
        <f>IF(ISNUMBER(SEARCH("World",'RawData'!C321)),"",'RawData'!G321)</f>
        <v>18000</v>
      </c>
      <c r="H290" s="14">
        <f>IF(ISNUMBER(SEARCH("World",'RawData'!C321)),"",SUMIFS('RawData'!G:G,'RawData'!B:B,'RawData'!B321,'RawData'!C:C,"*World*"))</f>
        <v>1600000</v>
      </c>
      <c r="I290" s="15">
        <f>IF(ISNUMBER(SEARCH("World",'RawData'!C321)),"",IFERROR(G290/H290,"-"))</f>
        <v>1.125E-2</v>
      </c>
      <c r="J290" s="7">
        <f>IF(ISNUMBER(SEARCH("World",'RawData'!C321)),"",IF(ISNUMBER(SEARCH("Other",C290)),COUNTIFS('RawData'!B:B,B290,'RawData'!C:C,"&lt;&gt;*World*"),IF(OR(G290="",G290=0),"-",SUMPRODUCT(('RawData'!B$2:B$822=B290)*('RawData'!G$2:G$822&gt;G290)*(ISERROR(SEARCH("World",'RawData'!C$2:C$822)))*(ISERROR(SEARCH("Other",'RawData'!C$2:C$822))))+1)))</f>
        <v>11</v>
      </c>
      <c r="K290" s="14">
        <f>IF(ISNUMBER(SEARCH("World",'RawData'!C321)),"",'RawData'!H321)</f>
        <v>600000</v>
      </c>
      <c r="L290" s="14">
        <f>IF(ISNUMBER(SEARCH("World",'RawData'!C321)),"",SUMIFS('RawData'!H:H,'RawData'!B:B,'RawData'!B321,'RawData'!C:C,"*World*"))</f>
        <v>87000000</v>
      </c>
      <c r="M290" s="15">
        <f>IF(ISNUMBER(SEARCH("World",'RawData'!C321)),"",IFERROR(K290/L290,"-"))</f>
        <v>6.8965517241379309E-3</v>
      </c>
      <c r="N290" s="7">
        <f>IF(ISNUMBER(SEARCH("World",'RawData'!C321)),"",IF(ISNUMBER(SEARCH("Other",C290)),COUNTIFS('RawData'!B:B,B290,'RawData'!C:C,"&lt;&gt;*World*"),IF(OR(K290="",K290=0),"-",SUMPRODUCT(('RawData'!B$2:B$822=B290)*('RawData'!H$2:H$822&gt;K290)*(ISERROR(SEARCH("World",'RawData'!C$2:C$822)))*(ISERROR(SEARCH("Other",'RawData'!C$2:C$822))))+1)))</f>
        <v>15</v>
      </c>
    </row>
    <row r="291" spans="1:14" x14ac:dyDescent="0.3">
      <c r="A291" s="4" t="str">
        <f>IF(ISNUMBER(SEARCH("World",'RawData'!C322)),"",'RawData'!A322)</f>
        <v>MCS2026</v>
      </c>
      <c r="B291" s="4" t="str">
        <f>IF(ISNUMBER(SEARCH("World",'RawData'!C322)),"",'RawData'!B322)</f>
        <v>Iron</v>
      </c>
      <c r="C291" s="4" t="str">
        <f>IF(ISNUMBER(SEARCH("World",'RawData'!C322)),"",'RawData'!C322)</f>
        <v>Ukraine</v>
      </c>
      <c r="D291" s="4" t="str">
        <f>IF(ISNUMBER(SEARCH("World",'RawData'!C322)),"",'RawData'!D322)</f>
        <v>Mine production, iron content</v>
      </c>
      <c r="E291" s="4" t="str">
        <f>IF(ISNUMBER(SEARCH("World",'RawData'!C322)),"",IF('RawData'!E322="WT001","kg",IF('RawData'!E322="WT002","ton",IF('RawData'!E322="WT003","k ton",""))))</f>
        <v>k ton</v>
      </c>
      <c r="F291" s="14">
        <f>IF(ISNUMBER(SEARCH("World",'RawData'!C322)),"",'RawData'!F322)</f>
        <v>34000</v>
      </c>
      <c r="G291" s="14">
        <f>IF(ISNUMBER(SEARCH("World",'RawData'!C322)),"",'RawData'!G322)</f>
        <v>32000</v>
      </c>
      <c r="H291" s="14">
        <f>IF(ISNUMBER(SEARCH("World",'RawData'!C322)),"",SUMIFS('RawData'!G:G,'RawData'!B:B,'RawData'!B322,'RawData'!C:C,"*World*"))</f>
        <v>1600000</v>
      </c>
      <c r="I291" s="15">
        <f>IF(ISNUMBER(SEARCH("World",'RawData'!C322)),"",IFERROR(G291/H291,"-"))</f>
        <v>0.02</v>
      </c>
      <c r="J291" s="7">
        <f>IF(ISNUMBER(SEARCH("World",'RawData'!C322)),"",IF(ISNUMBER(SEARCH("Other",C291)),COUNTIFS('RawData'!B:B,B291,'RawData'!C:C,"&lt;&gt;*World*"),IF(OR(G291="",G291=0),"-",SUMPRODUCT(('RawData'!B$2:B$822=B291)*('RawData'!G$2:G$822&gt;G291)*(ISERROR(SEARCH("World",'RawData'!C$2:C$822)))*(ISERROR(SEARCH("Other",'RawData'!C$2:C$822))))+1)))</f>
        <v>9</v>
      </c>
      <c r="K291" s="14">
        <f>IF(ISNUMBER(SEARCH("World",'RawData'!C322)),"",'RawData'!H322)</f>
        <v>2300000</v>
      </c>
      <c r="L291" s="14">
        <f>IF(ISNUMBER(SEARCH("World",'RawData'!C322)),"",SUMIFS('RawData'!H:H,'RawData'!B:B,'RawData'!B322,'RawData'!C:C,"*World*"))</f>
        <v>87000000</v>
      </c>
      <c r="M291" s="15">
        <f>IF(ISNUMBER(SEARCH("World",'RawData'!C322)),"",IFERROR(K291/L291,"-"))</f>
        <v>2.6436781609195402E-2</v>
      </c>
      <c r="N291" s="7">
        <f>IF(ISNUMBER(SEARCH("World",'RawData'!C322)),"",IF(ISNUMBER(SEARCH("Other",C291)),COUNTIFS('RawData'!B:B,B291,'RawData'!C:C,"&lt;&gt;*World*"),IF(OR(K291="",K291=0),"-",SUMPRODUCT(('RawData'!B$2:B$822=B291)*('RawData'!H$2:H$822&gt;K291)*(ISERROR(SEARCH("World",'RawData'!C$2:C$822)))*(ISERROR(SEARCH("Other",'RawData'!C$2:C$822))))+1)))</f>
        <v>8</v>
      </c>
    </row>
    <row r="292" spans="1:14" x14ac:dyDescent="0.3">
      <c r="A292" s="4" t="str">
        <f>IF(ISNUMBER(SEARCH("World",'RawData'!C323)),"",'RawData'!A323)</f>
        <v>MCS2026</v>
      </c>
      <c r="B292" s="4" t="str">
        <f>IF(ISNUMBER(SEARCH("World",'RawData'!C323)),"",'RawData'!B323)</f>
        <v>Iron</v>
      </c>
      <c r="C292" s="4" t="str">
        <f>IF(ISNUMBER(SEARCH("World",'RawData'!C323)),"",'RawData'!C323)</f>
        <v>United States</v>
      </c>
      <c r="D292" s="4" t="str">
        <f>IF(ISNUMBER(SEARCH("World",'RawData'!C323)),"",'RawData'!D323)</f>
        <v>Mine production, iron content</v>
      </c>
      <c r="E292" s="4" t="str">
        <f>IF(ISNUMBER(SEARCH("World",'RawData'!C323)),"",IF('RawData'!E323="WT001","kg",IF('RawData'!E323="WT002","ton",IF('RawData'!E323="WT003","k ton",""))))</f>
        <v>k ton</v>
      </c>
      <c r="F292" s="14">
        <f>IF(ISNUMBER(SEARCH("World",'RawData'!C323)),"",'RawData'!F323)</f>
        <v>28600</v>
      </c>
      <c r="G292" s="14">
        <f>IF(ISNUMBER(SEARCH("World",'RawData'!C323)),"",'RawData'!G323)</f>
        <v>24000</v>
      </c>
      <c r="H292" s="14">
        <f>IF(ISNUMBER(SEARCH("World",'RawData'!C323)),"",SUMIFS('RawData'!G:G,'RawData'!B:B,'RawData'!B323,'RawData'!C:C,"*World*"))</f>
        <v>1600000</v>
      </c>
      <c r="I292" s="15">
        <f>IF(ISNUMBER(SEARCH("World",'RawData'!C323)),"",IFERROR(G292/H292,"-"))</f>
        <v>1.4999999999999999E-2</v>
      </c>
      <c r="J292" s="7">
        <f>IF(ISNUMBER(SEARCH("World",'RawData'!C323)),"",IF(ISNUMBER(SEARCH("Other",C292)),COUNTIFS('RawData'!B:B,B292,'RawData'!C:C,"&lt;&gt;*World*"),IF(OR(G292="",G292=0),"-",SUMPRODUCT(('RawData'!B$2:B$822=B292)*('RawData'!G$2:G$822&gt;G292)*(ISERROR(SEARCH("World",'RawData'!C$2:C$822)))*(ISERROR(SEARCH("Other",'RawData'!C$2:C$822))))+1)))</f>
        <v>10</v>
      </c>
      <c r="K292" s="14">
        <f>IF(ISNUMBER(SEARCH("World",'RawData'!C323)),"",'RawData'!H323)</f>
        <v>2700000</v>
      </c>
      <c r="L292" s="14">
        <f>IF(ISNUMBER(SEARCH("World",'RawData'!C323)),"",SUMIFS('RawData'!H:H,'RawData'!B:B,'RawData'!B323,'RawData'!C:C,"*World*"))</f>
        <v>87000000</v>
      </c>
      <c r="M292" s="15">
        <f>IF(ISNUMBER(SEARCH("World",'RawData'!C323)),"",IFERROR(K292/L292,"-"))</f>
        <v>3.1034482758620689E-2</v>
      </c>
      <c r="N292" s="7">
        <f>IF(ISNUMBER(SEARCH("World",'RawData'!C323)),"",IF(ISNUMBER(SEARCH("Other",C292)),COUNTIFS('RawData'!B:B,B292,'RawData'!C:C,"&lt;&gt;*World*"),IF(OR(K292="",K292=0),"-",SUMPRODUCT(('RawData'!B$2:B$822=B292)*('RawData'!H$2:H$822&gt;K292)*(ISERROR(SEARCH("World",'RawData'!C$2:C$822)))*(ISERROR(SEARCH("Other",'RawData'!C$2:C$822))))+1)))</f>
        <v>7</v>
      </c>
    </row>
    <row r="293" spans="1:14" x14ac:dyDescent="0.3">
      <c r="A293" s="4" t="str">
        <f>IF(ISNUMBER(SEARCH("World",'RawData'!C325)),"",'RawData'!A325)</f>
        <v>MCS2026</v>
      </c>
      <c r="B293" s="4" t="str">
        <f>IF(ISNUMBER(SEARCH("World",'RawData'!C325)),"",'RawData'!B325)</f>
        <v>Kyanite</v>
      </c>
      <c r="C293" s="4" t="str">
        <f>IF(ISNUMBER(SEARCH("World",'RawData'!C325)),"",'RawData'!C325)</f>
        <v>China</v>
      </c>
      <c r="D293" s="4" t="str">
        <f>IF(ISNUMBER(SEARCH("World",'RawData'!C325)),"",'RawData'!D325)</f>
        <v>Mine production</v>
      </c>
      <c r="E293" s="4" t="str">
        <f>IF(ISNUMBER(SEARCH("World",'RawData'!C325)),"",IF('RawData'!E325="WT001","kg",IF('RawData'!E325="WT002","ton",IF('RawData'!E325="WT003","k ton",""))))</f>
        <v>ton</v>
      </c>
      <c r="F293" s="14">
        <f>IF(ISNUMBER(SEARCH("World",'RawData'!C325)),"",'RawData'!F325)</f>
        <v>50000</v>
      </c>
      <c r="G293" s="14">
        <f>IF(ISNUMBER(SEARCH("World",'RawData'!C325)),"",'RawData'!G325)</f>
        <v>50000</v>
      </c>
      <c r="H293" s="14">
        <f>IF(ISNUMBER(SEARCH("World",'RawData'!C325)),"",SUMIFS('RawData'!G:G,'RawData'!B:B,'RawData'!B325,'RawData'!C:C,"*World*"))</f>
        <v>0</v>
      </c>
      <c r="I293" s="15" t="str">
        <f>IF(ISNUMBER(SEARCH("World",'RawData'!C325)),"",IFERROR(G293/H293,"-"))</f>
        <v>-</v>
      </c>
      <c r="J293" s="7">
        <f>IF(ISNUMBER(SEARCH("World",'RawData'!C325)),"",IF(ISNUMBER(SEARCH("Other",C293)),COUNTIFS('RawData'!B:B,B293,'RawData'!C:C,"&lt;&gt;*World*"),IF(OR(G293="",G293=0),"-",SUMPRODUCT(('RawData'!B$2:B$822=B293)*('RawData'!G$2:G$822&gt;G293)*(ISERROR(SEARCH("World",'RawData'!C$2:C$822)))*(ISERROR(SEARCH("Other",'RawData'!C$2:C$822))))+1)))</f>
        <v>4</v>
      </c>
      <c r="K293" s="14">
        <f>IF(ISNUMBER(SEARCH("World",'RawData'!C325)),"",'RawData'!H325)</f>
        <v>5000000</v>
      </c>
      <c r="L293" s="14">
        <f>IF(ISNUMBER(SEARCH("World",'RawData'!C325)),"",SUMIFS('RawData'!H:H,'RawData'!B:B,'RawData'!B325,'RawData'!C:C,"*World*"))</f>
        <v>0</v>
      </c>
      <c r="M293" s="15" t="str">
        <f>IF(ISNUMBER(SEARCH("World",'RawData'!C325)),"",IFERROR(K293/L293,"-"))</f>
        <v>-</v>
      </c>
      <c r="N293" s="7">
        <f>IF(ISNUMBER(SEARCH("World",'RawData'!C325)),"",IF(ISNUMBER(SEARCH("Other",C293)),COUNTIFS('RawData'!B:B,B293,'RawData'!C:C,"&lt;&gt;*World*"),IF(OR(K293="",K293=0),"-",SUMPRODUCT(('RawData'!B$2:B$822=B293)*('RawData'!H$2:H$822&gt;K293)*(ISERROR(SEARCH("World",'RawData'!C$2:C$822)))*(ISERROR(SEARCH("Other",'RawData'!C$2:C$822))))+1)))</f>
        <v>2</v>
      </c>
    </row>
    <row r="294" spans="1:14" x14ac:dyDescent="0.3">
      <c r="A294" s="4" t="str">
        <f>IF(ISNUMBER(SEARCH("World",'RawData'!C326)),"",'RawData'!A326)</f>
        <v>MCS2026</v>
      </c>
      <c r="B294" s="4" t="str">
        <f>IF(ISNUMBER(SEARCH("World",'RawData'!C326)),"",'RawData'!B326)</f>
        <v>Kyanite</v>
      </c>
      <c r="C294" s="4" t="str">
        <f>IF(ISNUMBER(SEARCH("World",'RawData'!C326)),"",'RawData'!C326)</f>
        <v>France</v>
      </c>
      <c r="D294" s="4" t="str">
        <f>IF(ISNUMBER(SEARCH("World",'RawData'!C326)),"",'RawData'!D326)</f>
        <v>Mine production</v>
      </c>
      <c r="E294" s="4" t="str">
        <f>IF(ISNUMBER(SEARCH("World",'RawData'!C326)),"",IF('RawData'!E326="WT001","kg",IF('RawData'!E326="WT002","ton",IF('RawData'!E326="WT003","k ton",""))))</f>
        <v>ton</v>
      </c>
      <c r="F294" s="14">
        <f>IF(ISNUMBER(SEARCH("World",'RawData'!C326)),"",'RawData'!F326)</f>
        <v>60000</v>
      </c>
      <c r="G294" s="14">
        <f>IF(ISNUMBER(SEARCH("World",'RawData'!C326)),"",'RawData'!G326)</f>
        <v>60000</v>
      </c>
      <c r="H294" s="14">
        <f>IF(ISNUMBER(SEARCH("World",'RawData'!C326)),"",SUMIFS('RawData'!G:G,'RawData'!B:B,'RawData'!B326,'RawData'!C:C,"*World*"))</f>
        <v>0</v>
      </c>
      <c r="I294" s="15" t="str">
        <f>IF(ISNUMBER(SEARCH("World",'RawData'!C326)),"",IFERROR(G294/H294,"-"))</f>
        <v>-</v>
      </c>
      <c r="J294" s="7">
        <f>IF(ISNUMBER(SEARCH("World",'RawData'!C326)),"",IF(ISNUMBER(SEARCH("Other",C294)),COUNTIFS('RawData'!B:B,B294,'RawData'!C:C,"&lt;&gt;*World*"),IF(OR(G294="",G294=0),"-",SUMPRODUCT(('RawData'!B$2:B$822=B294)*('RawData'!G$2:G$822&gt;G294)*(ISERROR(SEARCH("World",'RawData'!C$2:C$822)))*(ISERROR(SEARCH("Other",'RawData'!C$2:C$822))))+1)))</f>
        <v>3</v>
      </c>
      <c r="K294" s="14">
        <f>IF(ISNUMBER(SEARCH("World",'RawData'!C326)),"",'RawData'!H326)</f>
        <v>0</v>
      </c>
      <c r="L294" s="14">
        <f>IF(ISNUMBER(SEARCH("World",'RawData'!C326)),"",SUMIFS('RawData'!H:H,'RawData'!B:B,'RawData'!B326,'RawData'!C:C,"*World*"))</f>
        <v>0</v>
      </c>
      <c r="M294" s="15" t="str">
        <f>IF(ISNUMBER(SEARCH("World",'RawData'!C326)),"",IFERROR(K294/L294,"-"))</f>
        <v>-</v>
      </c>
      <c r="N294" s="7" t="str">
        <f>IF(ISNUMBER(SEARCH("World",'RawData'!C326)),"",IF(ISNUMBER(SEARCH("Other",C294)),COUNTIFS('RawData'!B:B,B294,'RawData'!C:C,"&lt;&gt;*World*"),IF(OR(K294="",K294=0),"-",SUMPRODUCT(('RawData'!B$2:B$822=B294)*('RawData'!H$2:H$822&gt;K294)*(ISERROR(SEARCH("World",'RawData'!C$2:C$822)))*(ISERROR(SEARCH("Other",'RawData'!C$2:C$822))))+1)))</f>
        <v>-</v>
      </c>
    </row>
    <row r="295" spans="1:14" x14ac:dyDescent="0.3">
      <c r="A295" s="4" t="str">
        <f>IF(ISNUMBER(SEARCH("World",'RawData'!C327)),"",'RawData'!A327)</f>
        <v>MCS2026</v>
      </c>
      <c r="B295" s="4" t="str">
        <f>IF(ISNUMBER(SEARCH("World",'RawData'!C327)),"",'RawData'!B327)</f>
        <v>Kyanite</v>
      </c>
      <c r="C295" s="4" t="str">
        <f>IF(ISNUMBER(SEARCH("World",'RawData'!C327)),"",'RawData'!C327)</f>
        <v>India</v>
      </c>
      <c r="D295" s="4" t="str">
        <f>IF(ISNUMBER(SEARCH("World",'RawData'!C327)),"",'RawData'!D327)</f>
        <v>Mine production</v>
      </c>
      <c r="E295" s="4" t="str">
        <f>IF(ISNUMBER(SEARCH("World",'RawData'!C327)),"",IF('RawData'!E327="WT001","kg",IF('RawData'!E327="WT002","ton",IF('RawData'!E327="WT003","k ton",""))))</f>
        <v>ton</v>
      </c>
      <c r="F295" s="14">
        <f>IF(ISNUMBER(SEARCH("World",'RawData'!C327)),"",'RawData'!F327)</f>
        <v>2710</v>
      </c>
      <c r="G295" s="14">
        <f>IF(ISNUMBER(SEARCH("World",'RawData'!C327)),"",'RawData'!G327)</f>
        <v>2500</v>
      </c>
      <c r="H295" s="14">
        <f>IF(ISNUMBER(SEARCH("World",'RawData'!C327)),"",SUMIFS('RawData'!G:G,'RawData'!B:B,'RawData'!B327,'RawData'!C:C,"*World*"))</f>
        <v>0</v>
      </c>
      <c r="I295" s="15" t="str">
        <f>IF(ISNUMBER(SEARCH("World",'RawData'!C327)),"",IFERROR(G295/H295,"-"))</f>
        <v>-</v>
      </c>
      <c r="J295" s="7">
        <f>IF(ISNUMBER(SEARCH("World",'RawData'!C327)),"",IF(ISNUMBER(SEARCH("Other",C295)),COUNTIFS('RawData'!B:B,B295,'RawData'!C:C,"&lt;&gt;*World*"),IF(OR(G295="",G295=0),"-",SUMPRODUCT(('RawData'!B$2:B$822=B295)*('RawData'!G$2:G$822&gt;G295)*(ISERROR(SEARCH("World",'RawData'!C$2:C$822)))*(ISERROR(SEARCH("Other",'RawData'!C$2:C$822))))+1)))</f>
        <v>6</v>
      </c>
      <c r="K295" s="14">
        <f>IF(ISNUMBER(SEARCH("World",'RawData'!C327)),"",'RawData'!H327)</f>
        <v>9100000</v>
      </c>
      <c r="L295" s="14">
        <f>IF(ISNUMBER(SEARCH("World",'RawData'!C327)),"",SUMIFS('RawData'!H:H,'RawData'!B:B,'RawData'!B327,'RawData'!C:C,"*World*"))</f>
        <v>0</v>
      </c>
      <c r="M295" s="15" t="str">
        <f>IF(ISNUMBER(SEARCH("World",'RawData'!C327)),"",IFERROR(K295/L295,"-"))</f>
        <v>-</v>
      </c>
      <c r="N295" s="7">
        <f>IF(ISNUMBER(SEARCH("World",'RawData'!C327)),"",IF(ISNUMBER(SEARCH("Other",C295)),COUNTIFS('RawData'!B:B,B295,'RawData'!C:C,"&lt;&gt;*World*"),IF(OR(K295="",K295=0),"-",SUMPRODUCT(('RawData'!B$2:B$822=B295)*('RawData'!H$2:H$822&gt;K295)*(ISERROR(SEARCH("World",'RawData'!C$2:C$822)))*(ISERROR(SEARCH("Other",'RawData'!C$2:C$822))))+1)))</f>
        <v>1</v>
      </c>
    </row>
    <row r="296" spans="1:14" x14ac:dyDescent="0.3">
      <c r="A296" s="4" t="str">
        <f>IF(ISNUMBER(SEARCH("World",'RawData'!C328)),"",'RawData'!A328)</f>
        <v>MCS2026</v>
      </c>
      <c r="B296" s="4" t="str">
        <f>IF(ISNUMBER(SEARCH("World",'RawData'!C328)),"",'RawData'!B328)</f>
        <v>Kyanite</v>
      </c>
      <c r="C296" s="4" t="str">
        <f>IF(ISNUMBER(SEARCH("World",'RawData'!C328)),"",'RawData'!C328)</f>
        <v>Peru</v>
      </c>
      <c r="D296" s="4" t="str">
        <f>IF(ISNUMBER(SEARCH("World",'RawData'!C328)),"",'RawData'!D328)</f>
        <v>Mine production</v>
      </c>
      <c r="E296" s="4" t="str">
        <f>IF(ISNUMBER(SEARCH("World",'RawData'!C328)),"",IF('RawData'!E328="WT001","kg",IF('RawData'!E328="WT002","ton",IF('RawData'!E328="WT003","k ton",""))))</f>
        <v>ton</v>
      </c>
      <c r="F296" s="14">
        <f>IF(ISNUMBER(SEARCH("World",'RawData'!C328)),"",'RawData'!F328)</f>
        <v>40000</v>
      </c>
      <c r="G296" s="14">
        <f>IF(ISNUMBER(SEARCH("World",'RawData'!C328)),"",'RawData'!G328)</f>
        <v>40000</v>
      </c>
      <c r="H296" s="14">
        <f>IF(ISNUMBER(SEARCH("World",'RawData'!C328)),"",SUMIFS('RawData'!G:G,'RawData'!B:B,'RawData'!B328,'RawData'!C:C,"*World*"))</f>
        <v>0</v>
      </c>
      <c r="I296" s="15" t="str">
        <f>IF(ISNUMBER(SEARCH("World",'RawData'!C328)),"",IFERROR(G296/H296,"-"))</f>
        <v>-</v>
      </c>
      <c r="J296" s="7">
        <f>IF(ISNUMBER(SEARCH("World",'RawData'!C328)),"",IF(ISNUMBER(SEARCH("Other",C296)),COUNTIFS('RawData'!B:B,B296,'RawData'!C:C,"&lt;&gt;*World*"),IF(OR(G296="",G296=0),"-",SUMPRODUCT(('RawData'!B$2:B$822=B296)*('RawData'!G$2:G$822&gt;G296)*(ISERROR(SEARCH("World",'RawData'!C$2:C$822)))*(ISERROR(SEARCH("Other",'RawData'!C$2:C$822))))+1)))</f>
        <v>5</v>
      </c>
      <c r="K296" s="14">
        <f>IF(ISNUMBER(SEARCH("World",'RawData'!C328)),"",'RawData'!H328)</f>
        <v>0</v>
      </c>
      <c r="L296" s="14">
        <f>IF(ISNUMBER(SEARCH("World",'RawData'!C328)),"",SUMIFS('RawData'!H:H,'RawData'!B:B,'RawData'!B328,'RawData'!C:C,"*World*"))</f>
        <v>0</v>
      </c>
      <c r="M296" s="15" t="str">
        <f>IF(ISNUMBER(SEARCH("World",'RawData'!C328)),"",IFERROR(K296/L296,"-"))</f>
        <v>-</v>
      </c>
      <c r="N296" s="7" t="str">
        <f>IF(ISNUMBER(SEARCH("World",'RawData'!C328)),"",IF(ISNUMBER(SEARCH("Other",C296)),COUNTIFS('RawData'!B:B,B296,'RawData'!C:C,"&lt;&gt;*World*"),IF(OR(K296="",K296=0),"-",SUMPRODUCT(('RawData'!B$2:B$822=B296)*('RawData'!H$2:H$822&gt;K296)*(ISERROR(SEARCH("World",'RawData'!C$2:C$822)))*(ISERROR(SEARCH("Other",'RawData'!C$2:C$822))))+1)))</f>
        <v>-</v>
      </c>
    </row>
    <row r="297" spans="1:14" x14ac:dyDescent="0.3">
      <c r="A297" s="4" t="str">
        <f>IF(ISNUMBER(SEARCH("World",'RawData'!C329)),"",'RawData'!A329)</f>
        <v>MCS2026</v>
      </c>
      <c r="B297" s="4" t="str">
        <f>IF(ISNUMBER(SEARCH("World",'RawData'!C329)),"",'RawData'!B329)</f>
        <v>Kyanite</v>
      </c>
      <c r="C297" s="4" t="str">
        <f>IF(ISNUMBER(SEARCH("World",'RawData'!C329)),"",'RawData'!C329)</f>
        <v xml:space="preserve">South Africa </v>
      </c>
      <c r="D297" s="4" t="str">
        <f>IF(ISNUMBER(SEARCH("World",'RawData'!C329)),"",'RawData'!D329)</f>
        <v>Mine production</v>
      </c>
      <c r="E297" s="4" t="str">
        <f>IF(ISNUMBER(SEARCH("World",'RawData'!C329)),"",IF('RawData'!E329="WT001","kg",IF('RawData'!E329="WT002","ton",IF('RawData'!E329="WT003","k ton",""))))</f>
        <v>ton</v>
      </c>
      <c r="F297" s="14">
        <f>IF(ISNUMBER(SEARCH("World",'RawData'!C329)),"",'RawData'!F329)</f>
        <v>130000</v>
      </c>
      <c r="G297" s="14">
        <f>IF(ISNUMBER(SEARCH("World",'RawData'!C329)),"",'RawData'!G329)</f>
        <v>120000</v>
      </c>
      <c r="H297" s="14">
        <f>IF(ISNUMBER(SEARCH("World",'RawData'!C329)),"",SUMIFS('RawData'!G:G,'RawData'!B:B,'RawData'!B329,'RawData'!C:C,"*World*"))</f>
        <v>0</v>
      </c>
      <c r="I297" s="15" t="str">
        <f>IF(ISNUMBER(SEARCH("World",'RawData'!C329)),"",IFERROR(G297/H297,"-"))</f>
        <v>-</v>
      </c>
      <c r="J297" s="7">
        <f>IF(ISNUMBER(SEARCH("World",'RawData'!C329)),"",IF(ISNUMBER(SEARCH("Other",C297)),COUNTIFS('RawData'!B:B,B297,'RawData'!C:C,"&lt;&gt;*World*"),IF(OR(G297="",G297=0),"-",SUMPRODUCT(('RawData'!B$2:B$822=B297)*('RawData'!G$2:G$822&gt;G297)*(ISERROR(SEARCH("World",'RawData'!C$2:C$822)))*(ISERROR(SEARCH("Other",'RawData'!C$2:C$822))))+1)))</f>
        <v>1</v>
      </c>
      <c r="K297" s="14">
        <f>IF(ISNUMBER(SEARCH("World",'RawData'!C329)),"",'RawData'!H329)</f>
        <v>0</v>
      </c>
      <c r="L297" s="14">
        <f>IF(ISNUMBER(SEARCH("World",'RawData'!C329)),"",SUMIFS('RawData'!H:H,'RawData'!B:B,'RawData'!B329,'RawData'!C:C,"*World*"))</f>
        <v>0</v>
      </c>
      <c r="M297" s="15" t="str">
        <f>IF(ISNUMBER(SEARCH("World",'RawData'!C329)),"",IFERROR(K297/L297,"-"))</f>
        <v>-</v>
      </c>
      <c r="N297" s="7" t="str">
        <f>IF(ISNUMBER(SEARCH("World",'RawData'!C329)),"",IF(ISNUMBER(SEARCH("Other",C297)),COUNTIFS('RawData'!B:B,B297,'RawData'!C:C,"&lt;&gt;*World*"),IF(OR(K297="",K297=0),"-",SUMPRODUCT(('RawData'!B$2:B$822=B297)*('RawData'!H$2:H$822&gt;K297)*(ISERROR(SEARCH("World",'RawData'!C$2:C$822)))*(ISERROR(SEARCH("Other",'RawData'!C$2:C$822))))+1)))</f>
        <v>-</v>
      </c>
    </row>
    <row r="298" spans="1:14" x14ac:dyDescent="0.3">
      <c r="A298" s="4" t="str">
        <f>IF(ISNUMBER(SEARCH("World",'RawData'!C330)),"",'RawData'!A330)</f>
        <v>MCS2026</v>
      </c>
      <c r="B298" s="4" t="str">
        <f>IF(ISNUMBER(SEARCH("World",'RawData'!C330)),"",'RawData'!B330)</f>
        <v>Kyanite</v>
      </c>
      <c r="C298" s="4" t="str">
        <f>IF(ISNUMBER(SEARCH("World",'RawData'!C330)),"",'RawData'!C330)</f>
        <v>United States</v>
      </c>
      <c r="D298" s="4" t="str">
        <f>IF(ISNUMBER(SEARCH("World",'RawData'!C330)),"",'RawData'!D330)</f>
        <v>Mine production</v>
      </c>
      <c r="E298" s="4" t="str">
        <f>IF(ISNUMBER(SEARCH("World",'RawData'!C330)),"",IF('RawData'!E330="WT001","kg",IF('RawData'!E330="WT002","ton",IF('RawData'!E330="WT003","k ton",""))))</f>
        <v>ton</v>
      </c>
      <c r="F298" s="14">
        <f>IF(ISNUMBER(SEARCH("World",'RawData'!C330)),"",'RawData'!F330)</f>
        <v>78600</v>
      </c>
      <c r="G298" s="14">
        <f>IF(ISNUMBER(SEARCH("World",'RawData'!C330)),"",'RawData'!G330)</f>
        <v>80000</v>
      </c>
      <c r="H298" s="14">
        <f>IF(ISNUMBER(SEARCH("World",'RawData'!C330)),"",SUMIFS('RawData'!G:G,'RawData'!B:B,'RawData'!B330,'RawData'!C:C,"*World*"))</f>
        <v>0</v>
      </c>
      <c r="I298" s="15" t="str">
        <f>IF(ISNUMBER(SEARCH("World",'RawData'!C330)),"",IFERROR(G298/H298,"-"))</f>
        <v>-</v>
      </c>
      <c r="J298" s="7">
        <f>IF(ISNUMBER(SEARCH("World",'RawData'!C330)),"",IF(ISNUMBER(SEARCH("Other",C298)),COUNTIFS('RawData'!B:B,B298,'RawData'!C:C,"&lt;&gt;*World*"),IF(OR(G298="",G298=0),"-",SUMPRODUCT(('RawData'!B$2:B$822=B298)*('RawData'!G$2:G$822&gt;G298)*(ISERROR(SEARCH("World",'RawData'!C$2:C$822)))*(ISERROR(SEARCH("Other",'RawData'!C$2:C$822))))+1)))</f>
        <v>2</v>
      </c>
      <c r="K298" s="14">
        <f>IF(ISNUMBER(SEARCH("World",'RawData'!C330)),"",'RawData'!H330)</f>
        <v>0</v>
      </c>
      <c r="L298" s="14">
        <f>IF(ISNUMBER(SEARCH("World",'RawData'!C330)),"",SUMIFS('RawData'!H:H,'RawData'!B:B,'RawData'!B330,'RawData'!C:C,"*World*"))</f>
        <v>0</v>
      </c>
      <c r="M298" s="15" t="str">
        <f>IF(ISNUMBER(SEARCH("World",'RawData'!C330)),"",IFERROR(K298/L298,"-"))</f>
        <v>-</v>
      </c>
      <c r="N298" s="7" t="str">
        <f>IF(ISNUMBER(SEARCH("World",'RawData'!C330)),"",IF(ISNUMBER(SEARCH("Other",C298)),COUNTIFS('RawData'!B:B,B298,'RawData'!C:C,"&lt;&gt;*World*"),IF(OR(K298="",K298=0),"-",SUMPRODUCT(('RawData'!B$2:B$822=B298)*('RawData'!H$2:H$822&gt;K298)*(ISERROR(SEARCH("World",'RawData'!C$2:C$822)))*(ISERROR(SEARCH("Other",'RawData'!C$2:C$822))))+1)))</f>
        <v>-</v>
      </c>
    </row>
    <row r="299" spans="1:14" x14ac:dyDescent="0.3">
      <c r="A299" s="4" t="str">
        <f>IF(ISNUMBER(SEARCH("World",'RawData'!C332)),"",'RawData'!A332)</f>
        <v>MCS2026</v>
      </c>
      <c r="B299" s="4" t="str">
        <f>IF(ISNUMBER(SEARCH("World",'RawData'!C332)),"",'RawData'!B332)</f>
        <v>Lead</v>
      </c>
      <c r="C299" s="4" t="str">
        <f>IF(ISNUMBER(SEARCH("World",'RawData'!C332)),"",'RawData'!C332)</f>
        <v>Australia</v>
      </c>
      <c r="D299" s="4" t="str">
        <f>IF(ISNUMBER(SEARCH("World",'RawData'!C332)),"",'RawData'!D332)</f>
        <v>Mine production, lead content</v>
      </c>
      <c r="E299" s="4" t="str">
        <f>IF(ISNUMBER(SEARCH("World",'RawData'!C332)),"",IF('RawData'!E332="WT001","kg",IF('RawData'!E332="WT002","ton",IF('RawData'!E332="WT003","k ton",""))))</f>
        <v>k ton</v>
      </c>
      <c r="F299" s="14">
        <f>IF(ISNUMBER(SEARCH("World",'RawData'!C332)),"",'RawData'!F332)</f>
        <v>481</v>
      </c>
      <c r="G299" s="14">
        <f>IF(ISNUMBER(SEARCH("World",'RawData'!C332)),"",'RawData'!G332)</f>
        <v>480</v>
      </c>
      <c r="H299" s="14">
        <f>IF(ISNUMBER(SEARCH("World",'RawData'!C332)),"",SUMIFS('RawData'!G:G,'RawData'!B:B,'RawData'!B332,'RawData'!C:C,"*World*"))</f>
        <v>4500</v>
      </c>
      <c r="I299" s="15">
        <f>IF(ISNUMBER(SEARCH("World",'RawData'!C332)),"",IFERROR(G299/H299,"-"))</f>
        <v>0.10666666666666667</v>
      </c>
      <c r="J299" s="7">
        <f>IF(ISNUMBER(SEARCH("World",'RawData'!C332)),"",IF(ISNUMBER(SEARCH("Other",C299)),COUNTIFS('RawData'!B:B,B299,'RawData'!C:C,"&lt;&gt;*World*"),IF(OR(G299="",G299=0),"-",SUMPRODUCT(('RawData'!B$2:B$822=B299)*('RawData'!G$2:G$822&gt;G299)*(ISERROR(SEARCH("World",'RawData'!C$2:C$822)))*(ISERROR(SEARCH("Other",'RawData'!C$2:C$822))))+1)))</f>
        <v>2</v>
      </c>
      <c r="K299" s="14">
        <f>IF(ISNUMBER(SEARCH("World",'RawData'!C332)),"",'RawData'!H332)</f>
        <v>34000</v>
      </c>
      <c r="L299" s="14">
        <f>IF(ISNUMBER(SEARCH("World",'RawData'!C332)),"",SUMIFS('RawData'!H:H,'RawData'!B:B,'RawData'!B332,'RawData'!C:C,"*World*"))</f>
        <v>95000</v>
      </c>
      <c r="M299" s="15">
        <f>IF(ISNUMBER(SEARCH("World",'RawData'!C332)),"",IFERROR(K299/L299,"-"))</f>
        <v>0.35789473684210527</v>
      </c>
      <c r="N299" s="7">
        <f>IF(ISNUMBER(SEARCH("World",'RawData'!C332)),"",IF(ISNUMBER(SEARCH("Other",C299)),COUNTIFS('RawData'!B:B,B299,'RawData'!C:C,"&lt;&gt;*World*"),IF(OR(K299="",K299=0),"-",SUMPRODUCT(('RawData'!B$2:B$822=B299)*('RawData'!H$2:H$822&gt;K299)*(ISERROR(SEARCH("World",'RawData'!C$2:C$822)))*(ISERROR(SEARCH("Other",'RawData'!C$2:C$822))))+1)))</f>
        <v>1</v>
      </c>
    </row>
    <row r="300" spans="1:14" x14ac:dyDescent="0.3">
      <c r="A300" s="4" t="str">
        <f>IF(ISNUMBER(SEARCH("World",'RawData'!C333)),"",'RawData'!A333)</f>
        <v>MCS2026</v>
      </c>
      <c r="B300" s="4" t="str">
        <f>IF(ISNUMBER(SEARCH("World",'RawData'!C333)),"",'RawData'!B333)</f>
        <v>Lead</v>
      </c>
      <c r="C300" s="4" t="str">
        <f>IF(ISNUMBER(SEARCH("World",'RawData'!C333)),"",'RawData'!C333)</f>
        <v>Bolivia</v>
      </c>
      <c r="D300" s="4" t="str">
        <f>IF(ISNUMBER(SEARCH("World",'RawData'!C333)),"",'RawData'!D333)</f>
        <v>Mine production, lead content</v>
      </c>
      <c r="E300" s="4" t="str">
        <f>IF(ISNUMBER(SEARCH("World",'RawData'!C333)),"",IF('RawData'!E333="WT001","kg",IF('RawData'!E333="WT002","ton",IF('RawData'!E333="WT003","k ton",""))))</f>
        <v>k ton</v>
      </c>
      <c r="F300" s="14">
        <f>IF(ISNUMBER(SEARCH("World",'RawData'!C333)),"",'RawData'!F333)</f>
        <v>110</v>
      </c>
      <c r="G300" s="14">
        <f>IF(ISNUMBER(SEARCH("World",'RawData'!C333)),"",'RawData'!G333)</f>
        <v>100</v>
      </c>
      <c r="H300" s="14">
        <f>IF(ISNUMBER(SEARCH("World",'RawData'!C333)),"",SUMIFS('RawData'!G:G,'RawData'!B:B,'RawData'!B333,'RawData'!C:C,"*World*"))</f>
        <v>4500</v>
      </c>
      <c r="I300" s="15">
        <f>IF(ISNUMBER(SEARCH("World",'RawData'!C333)),"",IFERROR(G300/H300,"-"))</f>
        <v>2.2222222222222223E-2</v>
      </c>
      <c r="J300" s="7">
        <f>IF(ISNUMBER(SEARCH("World",'RawData'!C333)),"",IF(ISNUMBER(SEARCH("Other",C300)),COUNTIFS('RawData'!B:B,B300,'RawData'!C:C,"&lt;&gt;*World*"),IF(OR(G300="",G300=0),"-",SUMPRODUCT(('RawData'!B$2:B$822=B300)*('RawData'!G$2:G$822&gt;G300)*(ISERROR(SEARCH("World",'RawData'!C$2:C$822)))*(ISERROR(SEARCH("Other",'RawData'!C$2:C$822))))+1)))</f>
        <v>8</v>
      </c>
      <c r="K300" s="14">
        <f>IF(ISNUMBER(SEARCH("World",'RawData'!C333)),"",'RawData'!H333)</f>
        <v>1600</v>
      </c>
      <c r="L300" s="14">
        <f>IF(ISNUMBER(SEARCH("World",'RawData'!C333)),"",SUMIFS('RawData'!H:H,'RawData'!B:B,'RawData'!B333,'RawData'!C:C,"*World*"))</f>
        <v>95000</v>
      </c>
      <c r="M300" s="15">
        <f>IF(ISNUMBER(SEARCH("World",'RawData'!C333)),"",IFERROR(K300/L300,"-"))</f>
        <v>1.6842105263157894E-2</v>
      </c>
      <c r="N300" s="7">
        <f>IF(ISNUMBER(SEARCH("World",'RawData'!C333)),"",IF(ISNUMBER(SEARCH("Other",C300)),COUNTIFS('RawData'!B:B,B300,'RawData'!C:C,"&lt;&gt;*World*"),IF(OR(K300="",K300=0),"-",SUMPRODUCT(('RawData'!B$2:B$822=B300)*('RawData'!H$2:H$822&gt;K300)*(ISERROR(SEARCH("World",'RawData'!C$2:C$822)))*(ISERROR(SEARCH("Other",'RawData'!C$2:C$822))))+1)))</f>
        <v>10</v>
      </c>
    </row>
    <row r="301" spans="1:14" x14ac:dyDescent="0.3">
      <c r="A301" s="4" t="str">
        <f>IF(ISNUMBER(SEARCH("World",'RawData'!C334)),"",'RawData'!A334)</f>
        <v>MCS2026</v>
      </c>
      <c r="B301" s="4" t="str">
        <f>IF(ISNUMBER(SEARCH("World",'RawData'!C334)),"",'RawData'!B334)</f>
        <v>Lead</v>
      </c>
      <c r="C301" s="4" t="str">
        <f>IF(ISNUMBER(SEARCH("World",'RawData'!C334)),"",'RawData'!C334)</f>
        <v>China</v>
      </c>
      <c r="D301" s="4" t="str">
        <f>IF(ISNUMBER(SEARCH("World",'RawData'!C334)),"",'RawData'!D334)</f>
        <v>Mine production, lead content</v>
      </c>
      <c r="E301" s="4" t="str">
        <f>IF(ISNUMBER(SEARCH("World",'RawData'!C334)),"",IF('RawData'!E334="WT001","kg",IF('RawData'!E334="WT002","ton",IF('RawData'!E334="WT003","k ton",""))))</f>
        <v>k ton</v>
      </c>
      <c r="F301" s="14">
        <f>IF(ISNUMBER(SEARCH("World",'RawData'!C334)),"",'RawData'!F334)</f>
        <v>1940</v>
      </c>
      <c r="G301" s="14">
        <f>IF(ISNUMBER(SEARCH("World",'RawData'!C334)),"",'RawData'!G334)</f>
        <v>1900</v>
      </c>
      <c r="H301" s="14">
        <f>IF(ISNUMBER(SEARCH("World",'RawData'!C334)),"",SUMIFS('RawData'!G:G,'RawData'!B:B,'RawData'!B334,'RawData'!C:C,"*World*"))</f>
        <v>4500</v>
      </c>
      <c r="I301" s="15">
        <f>IF(ISNUMBER(SEARCH("World",'RawData'!C334)),"",IFERROR(G301/H301,"-"))</f>
        <v>0.42222222222222222</v>
      </c>
      <c r="J301" s="7">
        <f>IF(ISNUMBER(SEARCH("World",'RawData'!C334)),"",IF(ISNUMBER(SEARCH("Other",C301)),COUNTIFS('RawData'!B:B,B301,'RawData'!C:C,"&lt;&gt;*World*"),IF(OR(G301="",G301=0),"-",SUMPRODUCT(('RawData'!B$2:B$822=B301)*('RawData'!G$2:G$822&gt;G301)*(ISERROR(SEARCH("World",'RawData'!C$2:C$822)))*(ISERROR(SEARCH("Other",'RawData'!C$2:C$822))))+1)))</f>
        <v>1</v>
      </c>
      <c r="K301" s="14">
        <f>IF(ISNUMBER(SEARCH("World",'RawData'!C334)),"",'RawData'!H334)</f>
        <v>22000</v>
      </c>
      <c r="L301" s="14">
        <f>IF(ISNUMBER(SEARCH("World",'RawData'!C334)),"",SUMIFS('RawData'!H:H,'RawData'!B:B,'RawData'!B334,'RawData'!C:C,"*World*"))</f>
        <v>95000</v>
      </c>
      <c r="M301" s="15">
        <f>IF(ISNUMBER(SEARCH("World",'RawData'!C334)),"",IFERROR(K301/L301,"-"))</f>
        <v>0.23157894736842105</v>
      </c>
      <c r="N301" s="7">
        <f>IF(ISNUMBER(SEARCH("World",'RawData'!C334)),"",IF(ISNUMBER(SEARCH("Other",C301)),COUNTIFS('RawData'!B:B,B301,'RawData'!C:C,"&lt;&gt;*World*"),IF(OR(K301="",K301=0),"-",SUMPRODUCT(('RawData'!B$2:B$822=B301)*('RawData'!H$2:H$822&gt;K301)*(ISERROR(SEARCH("World",'RawData'!C$2:C$822)))*(ISERROR(SEARCH("Other",'RawData'!C$2:C$822))))+1)))</f>
        <v>2</v>
      </c>
    </row>
    <row r="302" spans="1:14" x14ac:dyDescent="0.3">
      <c r="A302" s="4" t="str">
        <f>IF(ISNUMBER(SEARCH("World",'RawData'!C335)),"",'RawData'!A335)</f>
        <v>MCS2026</v>
      </c>
      <c r="B302" s="4" t="str">
        <f>IF(ISNUMBER(SEARCH("World",'RawData'!C335)),"",'RawData'!B335)</f>
        <v>Lead</v>
      </c>
      <c r="C302" s="4" t="str">
        <f>IF(ISNUMBER(SEARCH("World",'RawData'!C335)),"",'RawData'!C335)</f>
        <v>India</v>
      </c>
      <c r="D302" s="4" t="str">
        <f>IF(ISNUMBER(SEARCH("World",'RawData'!C335)),"",'RawData'!D335)</f>
        <v>Mine production, lead content</v>
      </c>
      <c r="E302" s="4" t="str">
        <f>IF(ISNUMBER(SEARCH("World",'RawData'!C335)),"",IF('RawData'!E335="WT001","kg",IF('RawData'!E335="WT002","ton",IF('RawData'!E335="WT003","k ton",""))))</f>
        <v>k ton</v>
      </c>
      <c r="F302" s="14">
        <f>IF(ISNUMBER(SEARCH("World",'RawData'!C335)),"",'RawData'!F335)</f>
        <v>226</v>
      </c>
      <c r="G302" s="14">
        <f>IF(ISNUMBER(SEARCH("World",'RawData'!C335)),"",'RawData'!G335)</f>
        <v>220</v>
      </c>
      <c r="H302" s="14">
        <f>IF(ISNUMBER(SEARCH("World",'RawData'!C335)),"",SUMIFS('RawData'!G:G,'RawData'!B:B,'RawData'!B335,'RawData'!C:C,"*World*"))</f>
        <v>4500</v>
      </c>
      <c r="I302" s="15">
        <f>IF(ISNUMBER(SEARCH("World",'RawData'!C335)),"",IFERROR(G302/H302,"-"))</f>
        <v>4.8888888888888891E-2</v>
      </c>
      <c r="J302" s="7">
        <f>IF(ISNUMBER(SEARCH("World",'RawData'!C335)),"",IF(ISNUMBER(SEARCH("Other",C302)),COUNTIFS('RawData'!B:B,B302,'RawData'!C:C,"&lt;&gt;*World*"),IF(OR(G302="",G302=0),"-",SUMPRODUCT(('RawData'!B$2:B$822=B302)*('RawData'!G$2:G$822&gt;G302)*(ISERROR(SEARCH("World",'RawData'!C$2:C$822)))*(ISERROR(SEARCH("Other",'RawData'!C$2:C$822))))+1)))</f>
        <v>6</v>
      </c>
      <c r="K302" s="14">
        <f>IF(ISNUMBER(SEARCH("World",'RawData'!C335)),"",'RawData'!H335)</f>
        <v>1900</v>
      </c>
      <c r="L302" s="14">
        <f>IF(ISNUMBER(SEARCH("World",'RawData'!C335)),"",SUMIFS('RawData'!H:H,'RawData'!B:B,'RawData'!B335,'RawData'!C:C,"*World*"))</f>
        <v>95000</v>
      </c>
      <c r="M302" s="15">
        <f>IF(ISNUMBER(SEARCH("World",'RawData'!C335)),"",IFERROR(K302/L302,"-"))</f>
        <v>0.02</v>
      </c>
      <c r="N302" s="7">
        <f>IF(ISNUMBER(SEARCH("World",'RawData'!C335)),"",IF(ISNUMBER(SEARCH("Other",C302)),COUNTIFS('RawData'!B:B,B302,'RawData'!C:C,"&lt;&gt;*World*"),IF(OR(K302="",K302=0),"-",SUMPRODUCT(('RawData'!B$2:B$822=B302)*('RawData'!H$2:H$822&gt;K302)*(ISERROR(SEARCH("World",'RawData'!C$2:C$822)))*(ISERROR(SEARCH("Other",'RawData'!C$2:C$822))))+1)))</f>
        <v>8</v>
      </c>
    </row>
    <row r="303" spans="1:14" x14ac:dyDescent="0.3">
      <c r="A303" s="4" t="str">
        <f>IF(ISNUMBER(SEARCH("World",'RawData'!C336)),"",'RawData'!A336)</f>
        <v>MCS2026</v>
      </c>
      <c r="B303" s="4" t="str">
        <f>IF(ISNUMBER(SEARCH("World",'RawData'!C336)),"",'RawData'!B336)</f>
        <v>Lead</v>
      </c>
      <c r="C303" s="4" t="str">
        <f>IF(ISNUMBER(SEARCH("World",'RawData'!C336)),"",'RawData'!C336)</f>
        <v>Iran</v>
      </c>
      <c r="D303" s="4" t="str">
        <f>IF(ISNUMBER(SEARCH("World",'RawData'!C336)),"",'RawData'!D336)</f>
        <v>Mine production, lead content</v>
      </c>
      <c r="E303" s="4" t="str">
        <f>IF(ISNUMBER(SEARCH("World",'RawData'!C336)),"",IF('RawData'!E336="WT001","kg",IF('RawData'!E336="WT002","ton",IF('RawData'!E336="WT003","k ton",""))))</f>
        <v>k ton</v>
      </c>
      <c r="F303" s="14">
        <f>IF(ISNUMBER(SEARCH("World",'RawData'!C336)),"",'RawData'!F336)</f>
        <v>70</v>
      </c>
      <c r="G303" s="14">
        <f>IF(ISNUMBER(SEARCH("World",'RawData'!C336)),"",'RawData'!G336)</f>
        <v>70</v>
      </c>
      <c r="H303" s="14">
        <f>IF(ISNUMBER(SEARCH("World",'RawData'!C336)),"",SUMIFS('RawData'!G:G,'RawData'!B:B,'RawData'!B336,'RawData'!C:C,"*World*"))</f>
        <v>4500</v>
      </c>
      <c r="I303" s="15">
        <f>IF(ISNUMBER(SEARCH("World",'RawData'!C336)),"",IFERROR(G303/H303,"-"))</f>
        <v>1.5555555555555555E-2</v>
      </c>
      <c r="J303" s="7">
        <f>IF(ISNUMBER(SEARCH("World",'RawData'!C336)),"",IF(ISNUMBER(SEARCH("Other",C303)),COUNTIFS('RawData'!B:B,B303,'RawData'!C:C,"&lt;&gt;*World*"),IF(OR(G303="",G303=0),"-",SUMPRODUCT(('RawData'!B$2:B$822=B303)*('RawData'!G$2:G$822&gt;G303)*(ISERROR(SEARCH("World",'RawData'!C$2:C$822)))*(ISERROR(SEARCH("Other",'RawData'!C$2:C$822))))+1)))</f>
        <v>9</v>
      </c>
      <c r="K303" s="14">
        <f>IF(ISNUMBER(SEARCH("World",'RawData'!C336)),"",'RawData'!H336)</f>
        <v>2000</v>
      </c>
      <c r="L303" s="14">
        <f>IF(ISNUMBER(SEARCH("World",'RawData'!C336)),"",SUMIFS('RawData'!H:H,'RawData'!B:B,'RawData'!B336,'RawData'!C:C,"*World*"))</f>
        <v>95000</v>
      </c>
      <c r="M303" s="15">
        <f>IF(ISNUMBER(SEARCH("World",'RawData'!C336)),"",IFERROR(K303/L303,"-"))</f>
        <v>2.1052631578947368E-2</v>
      </c>
      <c r="N303" s="7">
        <f>IF(ISNUMBER(SEARCH("World",'RawData'!C336)),"",IF(ISNUMBER(SEARCH("Other",C303)),COUNTIFS('RawData'!B:B,B303,'RawData'!C:C,"&lt;&gt;*World*"),IF(OR(K303="",K303=0),"-",SUMPRODUCT(('RawData'!B$2:B$822=B303)*('RawData'!H$2:H$822&gt;K303)*(ISERROR(SEARCH("World",'RawData'!C$2:C$822)))*(ISERROR(SEARCH("Other",'RawData'!C$2:C$822))))+1)))</f>
        <v>7</v>
      </c>
    </row>
    <row r="304" spans="1:14" x14ac:dyDescent="0.3">
      <c r="A304" s="4" t="str">
        <f>IF(ISNUMBER(SEARCH("World",'RawData'!C337)),"",'RawData'!A337)</f>
        <v>MCS2026</v>
      </c>
      <c r="B304" s="4" t="str">
        <f>IF(ISNUMBER(SEARCH("World",'RawData'!C337)),"",'RawData'!B337)</f>
        <v>Lead</v>
      </c>
      <c r="C304" s="4" t="str">
        <f>IF(ISNUMBER(SEARCH("World",'RawData'!C337)),"",'RawData'!C337)</f>
        <v>Mexico</v>
      </c>
      <c r="D304" s="4" t="str">
        <f>IF(ISNUMBER(SEARCH("World",'RawData'!C337)),"",'RawData'!D337)</f>
        <v>Mine production, lead content</v>
      </c>
      <c r="E304" s="4" t="str">
        <f>IF(ISNUMBER(SEARCH("World",'RawData'!C337)),"",IF('RawData'!E337="WT001","kg",IF('RawData'!E337="WT002","ton",IF('RawData'!E337="WT003","k ton",""))))</f>
        <v>k ton</v>
      </c>
      <c r="F304" s="14">
        <f>IF(ISNUMBER(SEARCH("World",'RawData'!C337)),"",'RawData'!F337)</f>
        <v>240</v>
      </c>
      <c r="G304" s="14">
        <f>IF(ISNUMBER(SEARCH("World",'RawData'!C337)),"",'RawData'!G337)</f>
        <v>200</v>
      </c>
      <c r="H304" s="14">
        <f>IF(ISNUMBER(SEARCH("World",'RawData'!C337)),"",SUMIFS('RawData'!G:G,'RawData'!B:B,'RawData'!B337,'RawData'!C:C,"*World*"))</f>
        <v>4500</v>
      </c>
      <c r="I304" s="15">
        <f>IF(ISNUMBER(SEARCH("World",'RawData'!C337)),"",IFERROR(G304/H304,"-"))</f>
        <v>4.4444444444444446E-2</v>
      </c>
      <c r="J304" s="7">
        <f>IF(ISNUMBER(SEARCH("World",'RawData'!C337)),"",IF(ISNUMBER(SEARCH("Other",C304)),COUNTIFS('RawData'!B:B,B304,'RawData'!C:C,"&lt;&gt;*World*"),IF(OR(G304="",G304=0),"-",SUMPRODUCT(('RawData'!B$2:B$822=B304)*('RawData'!G$2:G$822&gt;G304)*(ISERROR(SEARCH("World",'RawData'!C$2:C$822)))*(ISERROR(SEARCH("Other",'RawData'!C$2:C$822))))+1)))</f>
        <v>7</v>
      </c>
      <c r="K304" s="14">
        <f>IF(ISNUMBER(SEARCH("World",'RawData'!C337)),"",'RawData'!H337)</f>
        <v>5600</v>
      </c>
      <c r="L304" s="14">
        <f>IF(ISNUMBER(SEARCH("World",'RawData'!C337)),"",SUMIFS('RawData'!H:H,'RawData'!B:B,'RawData'!B337,'RawData'!C:C,"*World*"))</f>
        <v>95000</v>
      </c>
      <c r="M304" s="15">
        <f>IF(ISNUMBER(SEARCH("World",'RawData'!C337)),"",IFERROR(K304/L304,"-"))</f>
        <v>5.894736842105263E-2</v>
      </c>
      <c r="N304" s="7">
        <f>IF(ISNUMBER(SEARCH("World",'RawData'!C337)),"",IF(ISNUMBER(SEARCH("Other",C304)),COUNTIFS('RawData'!B:B,B304,'RawData'!C:C,"&lt;&gt;*World*"),IF(OR(K304="",K304=0),"-",SUMPRODUCT(('RawData'!B$2:B$822=B304)*('RawData'!H$2:H$822&gt;K304)*(ISERROR(SEARCH("World",'RawData'!C$2:C$822)))*(ISERROR(SEARCH("Other",'RawData'!C$2:C$822))))+1)))</f>
        <v>4</v>
      </c>
    </row>
    <row r="305" spans="1:14" x14ac:dyDescent="0.3">
      <c r="A305" s="4" t="str">
        <f>IF(ISNUMBER(SEARCH("World",'RawData'!C338)),"",'RawData'!A338)</f>
        <v>MCS2026</v>
      </c>
      <c r="B305" s="4" t="str">
        <f>IF(ISNUMBER(SEARCH("World",'RawData'!C338)),"",'RawData'!B338)</f>
        <v>Lead</v>
      </c>
      <c r="C305" s="4" t="str">
        <f>IF(ISNUMBER(SEARCH("World",'RawData'!C338)),"",'RawData'!C338)</f>
        <v>Other Countries</v>
      </c>
      <c r="D305" s="4" t="str">
        <f>IF(ISNUMBER(SEARCH("World",'RawData'!C338)),"",'RawData'!D338)</f>
        <v>Mine production, lead content</v>
      </c>
      <c r="E305" s="4" t="str">
        <f>IF(ISNUMBER(SEARCH("World",'RawData'!C338)),"",IF('RawData'!E338="WT001","kg",IF('RawData'!E338="WT002","ton",IF('RawData'!E338="WT003","k ton",""))))</f>
        <v>k ton</v>
      </c>
      <c r="F305" s="14">
        <f>IF(ISNUMBER(SEARCH("World",'RawData'!C338)),"",'RawData'!F338)</f>
        <v>498</v>
      </c>
      <c r="G305" s="14">
        <f>IF(ISNUMBER(SEARCH("World",'RawData'!C338)),"",'RawData'!G338)</f>
        <v>500</v>
      </c>
      <c r="H305" s="14">
        <f>IF(ISNUMBER(SEARCH("World",'RawData'!C338)),"",SUMIFS('RawData'!G:G,'RawData'!B:B,'RawData'!B338,'RawData'!C:C,"*World*"))</f>
        <v>4500</v>
      </c>
      <c r="I305" s="15">
        <f>IF(ISNUMBER(SEARCH("World",'RawData'!C338)),"",IFERROR(G305/H305,"-"))</f>
        <v>0.1111111111111111</v>
      </c>
      <c r="J305" s="7">
        <f>IF(ISNUMBER(SEARCH("World",'RawData'!C338)),"",IF(ISNUMBER(SEARCH("Other",C305)),COUNTIFS('RawData'!B:B,B305,'RawData'!C:C,"&lt;&gt;*World*"),IF(OR(G305="",G305=0),"-",SUMPRODUCT(('RawData'!B$2:B$822=B305)*('RawData'!G$2:G$822&gt;G305)*(ISERROR(SEARCH("World",'RawData'!C$2:C$822)))*(ISERROR(SEARCH("Other",'RawData'!C$2:C$822))))+1)))</f>
        <v>13</v>
      </c>
      <c r="K305" s="14">
        <f>IF(ISNUMBER(SEARCH("World",'RawData'!C338)),"",'RawData'!H338)</f>
        <v>5900</v>
      </c>
      <c r="L305" s="14">
        <f>IF(ISNUMBER(SEARCH("World",'RawData'!C338)),"",SUMIFS('RawData'!H:H,'RawData'!B:B,'RawData'!B338,'RawData'!C:C,"*World*"))</f>
        <v>95000</v>
      </c>
      <c r="M305" s="15">
        <f>IF(ISNUMBER(SEARCH("World",'RawData'!C338)),"",IFERROR(K305/L305,"-"))</f>
        <v>6.210526315789474E-2</v>
      </c>
      <c r="N305" s="7">
        <f>IF(ISNUMBER(SEARCH("World",'RawData'!C338)),"",IF(ISNUMBER(SEARCH("Other",C305)),COUNTIFS('RawData'!B:B,B305,'RawData'!C:C,"&lt;&gt;*World*"),IF(OR(K305="",K305=0),"-",SUMPRODUCT(('RawData'!B$2:B$822=B305)*('RawData'!H$2:H$822&gt;K305)*(ISERROR(SEARCH("World",'RawData'!C$2:C$822)))*(ISERROR(SEARCH("Other",'RawData'!C$2:C$822))))+1)))</f>
        <v>13</v>
      </c>
    </row>
    <row r="306" spans="1:14" x14ac:dyDescent="0.3">
      <c r="A306" s="4" t="str">
        <f>IF(ISNUMBER(SEARCH("World",'RawData'!C339)),"",'RawData'!A339)</f>
        <v>MCS2026</v>
      </c>
      <c r="B306" s="4" t="str">
        <f>IF(ISNUMBER(SEARCH("World",'RawData'!C339)),"",'RawData'!B339)</f>
        <v>Lead</v>
      </c>
      <c r="C306" s="4" t="str">
        <f>IF(ISNUMBER(SEARCH("World",'RawData'!C339)),"",'RawData'!C339)</f>
        <v>Peru</v>
      </c>
      <c r="D306" s="4" t="str">
        <f>IF(ISNUMBER(SEARCH("World",'RawData'!C339)),"",'RawData'!D339)</f>
        <v>Mine production, lead content</v>
      </c>
      <c r="E306" s="4" t="str">
        <f>IF(ISNUMBER(SEARCH("World",'RawData'!C339)),"",IF('RawData'!E339="WT001","kg",IF('RawData'!E339="WT002","ton",IF('RawData'!E339="WT003","k ton",""))))</f>
        <v>k ton</v>
      </c>
      <c r="F306" s="14">
        <f>IF(ISNUMBER(SEARCH("World",'RawData'!C339)),"",'RawData'!F339)</f>
        <v>291</v>
      </c>
      <c r="G306" s="14">
        <f>IF(ISNUMBER(SEARCH("World",'RawData'!C339)),"",'RawData'!G339)</f>
        <v>290</v>
      </c>
      <c r="H306" s="14">
        <f>IF(ISNUMBER(SEARCH("World",'RawData'!C339)),"",SUMIFS('RawData'!G:G,'RawData'!B:B,'RawData'!B339,'RawData'!C:C,"*World*"))</f>
        <v>4500</v>
      </c>
      <c r="I306" s="15">
        <f>IF(ISNUMBER(SEARCH("World",'RawData'!C339)),"",IFERROR(G306/H306,"-"))</f>
        <v>6.4444444444444443E-2</v>
      </c>
      <c r="J306" s="7">
        <f>IF(ISNUMBER(SEARCH("World",'RawData'!C339)),"",IF(ISNUMBER(SEARCH("Other",C306)),COUNTIFS('RawData'!B:B,B306,'RawData'!C:C,"&lt;&gt;*World*"),IF(OR(G306="",G306=0),"-",SUMPRODUCT(('RawData'!B$2:B$822=B306)*('RawData'!G$2:G$822&gt;G306)*(ISERROR(SEARCH("World",'RawData'!C$2:C$822)))*(ISERROR(SEARCH("Other",'RawData'!C$2:C$822))))+1)))</f>
        <v>3</v>
      </c>
      <c r="K306" s="14">
        <f>IF(ISNUMBER(SEARCH("World",'RawData'!C339)),"",'RawData'!H339)</f>
        <v>5000</v>
      </c>
      <c r="L306" s="14">
        <f>IF(ISNUMBER(SEARCH("World",'RawData'!C339)),"",SUMIFS('RawData'!H:H,'RawData'!B:B,'RawData'!B339,'RawData'!C:C,"*World*"))</f>
        <v>95000</v>
      </c>
      <c r="M306" s="15">
        <f>IF(ISNUMBER(SEARCH("World",'RawData'!C339)),"",IFERROR(K306/L306,"-"))</f>
        <v>5.2631578947368418E-2</v>
      </c>
      <c r="N306" s="7">
        <f>IF(ISNUMBER(SEARCH("World",'RawData'!C339)),"",IF(ISNUMBER(SEARCH("Other",C306)),COUNTIFS('RawData'!B:B,B306,'RawData'!C:C,"&lt;&gt;*World*"),IF(OR(K306="",K306=0),"-",SUMPRODUCT(('RawData'!B$2:B$822=B306)*('RawData'!H$2:H$822&gt;K306)*(ISERROR(SEARCH("World",'RawData'!C$2:C$822)))*(ISERROR(SEARCH("Other",'RawData'!C$2:C$822))))+1)))</f>
        <v>5</v>
      </c>
    </row>
    <row r="307" spans="1:14" x14ac:dyDescent="0.3">
      <c r="A307" s="4" t="str">
        <f>IF(ISNUMBER(SEARCH("World",'RawData'!C340)),"",'RawData'!A340)</f>
        <v>MCS2026</v>
      </c>
      <c r="B307" s="4" t="str">
        <f>IF(ISNUMBER(SEARCH("World",'RawData'!C340)),"",'RawData'!B340)</f>
        <v>Lead</v>
      </c>
      <c r="C307" s="4" t="str">
        <f>IF(ISNUMBER(SEARCH("World",'RawData'!C340)),"",'RawData'!C340)</f>
        <v>Turkiye</v>
      </c>
      <c r="D307" s="4" t="str">
        <f>IF(ISNUMBER(SEARCH("World",'RawData'!C340)),"",'RawData'!D340)</f>
        <v>Mine production, lead content</v>
      </c>
      <c r="E307" s="4" t="str">
        <f>IF(ISNUMBER(SEARCH("World",'RawData'!C340)),"",IF('RawData'!E340="WT001","kg",IF('RawData'!E340="WT002","ton",IF('RawData'!E340="WT003","k ton",""))))</f>
        <v>k ton</v>
      </c>
      <c r="F307" s="14">
        <f>IF(ISNUMBER(SEARCH("World",'RawData'!C340)),"",'RawData'!F340)</f>
        <v>66</v>
      </c>
      <c r="G307" s="14">
        <f>IF(ISNUMBER(SEARCH("World",'RawData'!C340)),"",'RawData'!G340)</f>
        <v>70</v>
      </c>
      <c r="H307" s="14">
        <f>IF(ISNUMBER(SEARCH("World",'RawData'!C340)),"",SUMIFS('RawData'!G:G,'RawData'!B:B,'RawData'!B340,'RawData'!C:C,"*World*"))</f>
        <v>4500</v>
      </c>
      <c r="I307" s="15">
        <f>IF(ISNUMBER(SEARCH("World",'RawData'!C340)),"",IFERROR(G307/H307,"-"))</f>
        <v>1.5555555555555555E-2</v>
      </c>
      <c r="J307" s="7">
        <f>IF(ISNUMBER(SEARCH("World",'RawData'!C340)),"",IF(ISNUMBER(SEARCH("Other",C307)),COUNTIFS('RawData'!B:B,B307,'RawData'!C:C,"&lt;&gt;*World*"),IF(OR(G307="",G307=0),"-",SUMPRODUCT(('RawData'!B$2:B$822=B307)*('RawData'!G$2:G$822&gt;G307)*(ISERROR(SEARCH("World",'RawData'!C$2:C$822)))*(ISERROR(SEARCH("Other",'RawData'!C$2:C$822))))+1)))</f>
        <v>9</v>
      </c>
      <c r="K307" s="14">
        <f>IF(ISNUMBER(SEARCH("World",'RawData'!C340)),"",'RawData'!H340)</f>
        <v>1600</v>
      </c>
      <c r="L307" s="14">
        <f>IF(ISNUMBER(SEARCH("World",'RawData'!C340)),"",SUMIFS('RawData'!H:H,'RawData'!B:B,'RawData'!B340,'RawData'!C:C,"*World*"))</f>
        <v>95000</v>
      </c>
      <c r="M307" s="15">
        <f>IF(ISNUMBER(SEARCH("World",'RawData'!C340)),"",IFERROR(K307/L307,"-"))</f>
        <v>1.6842105263157894E-2</v>
      </c>
      <c r="N307" s="7">
        <f>IF(ISNUMBER(SEARCH("World",'RawData'!C340)),"",IF(ISNUMBER(SEARCH("Other",C307)),COUNTIFS('RawData'!B:B,B307,'RawData'!C:C,"&lt;&gt;*World*"),IF(OR(K307="",K307=0),"-",SUMPRODUCT(('RawData'!B$2:B$822=B307)*('RawData'!H$2:H$822&gt;K307)*(ISERROR(SEARCH("World",'RawData'!C$2:C$822)))*(ISERROR(SEARCH("Other",'RawData'!C$2:C$822))))+1)))</f>
        <v>10</v>
      </c>
    </row>
    <row r="308" spans="1:14" x14ac:dyDescent="0.3">
      <c r="A308" s="4" t="str">
        <f>IF(ISNUMBER(SEARCH("World",'RawData'!C341)),"",'RawData'!A341)</f>
        <v>MCS2026</v>
      </c>
      <c r="B308" s="4" t="str">
        <f>IF(ISNUMBER(SEARCH("World",'RawData'!C341)),"",'RawData'!B341)</f>
        <v>Lead</v>
      </c>
      <c r="C308" s="4" t="str">
        <f>IF(ISNUMBER(SEARCH("World",'RawData'!C341)),"",'RawData'!C341)</f>
        <v xml:space="preserve">Russia </v>
      </c>
      <c r="D308" s="4" t="str">
        <f>IF(ISNUMBER(SEARCH("World",'RawData'!C341)),"",'RawData'!D341)</f>
        <v>Mine production, lead content</v>
      </c>
      <c r="E308" s="4" t="str">
        <f>IF(ISNUMBER(SEARCH("World",'RawData'!C341)),"",IF('RawData'!E341="WT001","kg",IF('RawData'!E341="WT002","ton",IF('RawData'!E341="WT003","k ton",""))))</f>
        <v>k ton</v>
      </c>
      <c r="F308" s="14">
        <f>IF(ISNUMBER(SEARCH("World",'RawData'!C341)),"",'RawData'!F341)</f>
        <v>260</v>
      </c>
      <c r="G308" s="14">
        <f>IF(ISNUMBER(SEARCH("World",'RawData'!C341)),"",'RawData'!G341)</f>
        <v>260</v>
      </c>
      <c r="H308" s="14">
        <f>IF(ISNUMBER(SEARCH("World",'RawData'!C341)),"",SUMIFS('RawData'!G:G,'RawData'!B:B,'RawData'!B341,'RawData'!C:C,"*World*"))</f>
        <v>4500</v>
      </c>
      <c r="I308" s="15">
        <f>IF(ISNUMBER(SEARCH("World",'RawData'!C341)),"",IFERROR(G308/H308,"-"))</f>
        <v>5.7777777777777775E-2</v>
      </c>
      <c r="J308" s="7">
        <f>IF(ISNUMBER(SEARCH("World",'RawData'!C341)),"",IF(ISNUMBER(SEARCH("Other",C308)),COUNTIFS('RawData'!B:B,B308,'RawData'!C:C,"&lt;&gt;*World*"),IF(OR(G308="",G308=0),"-",SUMPRODUCT(('RawData'!B$2:B$822=B308)*('RawData'!G$2:G$822&gt;G308)*(ISERROR(SEARCH("World",'RawData'!C$2:C$822)))*(ISERROR(SEARCH("Other",'RawData'!C$2:C$822))))+1)))</f>
        <v>5</v>
      </c>
      <c r="K308" s="14">
        <f>IF(ISNUMBER(SEARCH("World",'RawData'!C341)),"",'RawData'!H341)</f>
        <v>8900</v>
      </c>
      <c r="L308" s="14">
        <f>IF(ISNUMBER(SEARCH("World",'RawData'!C341)),"",SUMIFS('RawData'!H:H,'RawData'!B:B,'RawData'!B341,'RawData'!C:C,"*World*"))</f>
        <v>95000</v>
      </c>
      <c r="M308" s="15">
        <f>IF(ISNUMBER(SEARCH("World",'RawData'!C341)),"",IFERROR(K308/L308,"-"))</f>
        <v>9.3684210526315786E-2</v>
      </c>
      <c r="N308" s="7">
        <f>IF(ISNUMBER(SEARCH("World",'RawData'!C341)),"",IF(ISNUMBER(SEARCH("Other",C308)),COUNTIFS('RawData'!B:B,B308,'RawData'!C:C,"&lt;&gt;*World*"),IF(OR(K308="",K308=0),"-",SUMPRODUCT(('RawData'!B$2:B$822=B308)*('RawData'!H$2:H$822&gt;K308)*(ISERROR(SEARCH("World",'RawData'!C$2:C$822)))*(ISERROR(SEARCH("Other",'RawData'!C$2:C$822))))+1)))</f>
        <v>3</v>
      </c>
    </row>
    <row r="309" spans="1:14" x14ac:dyDescent="0.3">
      <c r="A309" s="4" t="str">
        <f>IF(ISNUMBER(SEARCH("World",'RawData'!C342)),"",'RawData'!A342)</f>
        <v>MCS2026</v>
      </c>
      <c r="B309" s="4" t="str">
        <f>IF(ISNUMBER(SEARCH("World",'RawData'!C342)),"",'RawData'!B342)</f>
        <v>Lead</v>
      </c>
      <c r="C309" s="4" t="str">
        <f>IF(ISNUMBER(SEARCH("World",'RawData'!C342)),"",'RawData'!C342)</f>
        <v>Sweden</v>
      </c>
      <c r="D309" s="4" t="str">
        <f>IF(ISNUMBER(SEARCH("World",'RawData'!C342)),"",'RawData'!D342)</f>
        <v>Mine production, lead content</v>
      </c>
      <c r="E309" s="4" t="str">
        <f>IF(ISNUMBER(SEARCH("World",'RawData'!C342)),"",IF('RawData'!E342="WT001","kg",IF('RawData'!E342="WT002","ton",IF('RawData'!E342="WT003","k ton",""))))</f>
        <v>k ton</v>
      </c>
      <c r="F309" s="14">
        <f>IF(ISNUMBER(SEARCH("World",'RawData'!C342)),"",'RawData'!F342)</f>
        <v>75</v>
      </c>
      <c r="G309" s="14">
        <f>IF(ISNUMBER(SEARCH("World",'RawData'!C342)),"",'RawData'!G342)</f>
        <v>70</v>
      </c>
      <c r="H309" s="14">
        <f>IF(ISNUMBER(SEARCH("World",'RawData'!C342)),"",SUMIFS('RawData'!G:G,'RawData'!B:B,'RawData'!B342,'RawData'!C:C,"*World*"))</f>
        <v>4500</v>
      </c>
      <c r="I309" s="15">
        <f>IF(ISNUMBER(SEARCH("World",'RawData'!C342)),"",IFERROR(G309/H309,"-"))</f>
        <v>1.5555555555555555E-2</v>
      </c>
      <c r="J309" s="7">
        <f>IF(ISNUMBER(SEARCH("World",'RawData'!C342)),"",IF(ISNUMBER(SEARCH("Other",C309)),COUNTIFS('RawData'!B:B,B309,'RawData'!C:C,"&lt;&gt;*World*"),IF(OR(G309="",G309=0),"-",SUMPRODUCT(('RawData'!B$2:B$822=B309)*('RawData'!G$2:G$822&gt;G309)*(ISERROR(SEARCH("World",'RawData'!C$2:C$822)))*(ISERROR(SEARCH("Other",'RawData'!C$2:C$822))))+1)))</f>
        <v>9</v>
      </c>
      <c r="K309" s="14">
        <f>IF(ISNUMBER(SEARCH("World",'RawData'!C342)),"",'RawData'!H342)</f>
        <v>1700</v>
      </c>
      <c r="L309" s="14">
        <f>IF(ISNUMBER(SEARCH("World",'RawData'!C342)),"",SUMIFS('RawData'!H:H,'RawData'!B:B,'RawData'!B342,'RawData'!C:C,"*World*"))</f>
        <v>95000</v>
      </c>
      <c r="M309" s="15">
        <f>IF(ISNUMBER(SEARCH("World",'RawData'!C342)),"",IFERROR(K309/L309,"-"))</f>
        <v>1.7894736842105262E-2</v>
      </c>
      <c r="N309" s="7">
        <f>IF(ISNUMBER(SEARCH("World",'RawData'!C342)),"",IF(ISNUMBER(SEARCH("Other",C309)),COUNTIFS('RawData'!B:B,B309,'RawData'!C:C,"&lt;&gt;*World*"),IF(OR(K309="",K309=0),"-",SUMPRODUCT(('RawData'!B$2:B$822=B309)*('RawData'!H$2:H$822&gt;K309)*(ISERROR(SEARCH("World",'RawData'!C$2:C$822)))*(ISERROR(SEARCH("Other",'RawData'!C$2:C$822))))+1)))</f>
        <v>9</v>
      </c>
    </row>
    <row r="310" spans="1:14" x14ac:dyDescent="0.3">
      <c r="A310" s="4" t="str">
        <f>IF(ISNUMBER(SEARCH("World",'RawData'!C343)),"",'RawData'!A343)</f>
        <v>MCS2026</v>
      </c>
      <c r="B310" s="4" t="str">
        <f>IF(ISNUMBER(SEARCH("World",'RawData'!C343)),"",'RawData'!B343)</f>
        <v>Lead</v>
      </c>
      <c r="C310" s="4" t="str">
        <f>IF(ISNUMBER(SEARCH("World",'RawData'!C343)),"",'RawData'!C343)</f>
        <v>Tajikistan</v>
      </c>
      <c r="D310" s="4" t="str">
        <f>IF(ISNUMBER(SEARCH("World",'RawData'!C343)),"",'RawData'!D343)</f>
        <v>Mine production, lead content</v>
      </c>
      <c r="E310" s="4" t="str">
        <f>IF(ISNUMBER(SEARCH("World",'RawData'!C343)),"",IF('RawData'!E343="WT001","kg",IF('RawData'!E343="WT002","ton",IF('RawData'!E343="WT003","k ton",""))))</f>
        <v>k ton</v>
      </c>
      <c r="F310" s="14">
        <f>IF(ISNUMBER(SEARCH("World",'RawData'!C343)),"",'RawData'!F343)</f>
        <v>39</v>
      </c>
      <c r="G310" s="14">
        <f>IF(ISNUMBER(SEARCH("World",'RawData'!C343)),"",'RawData'!G343)</f>
        <v>40</v>
      </c>
      <c r="H310" s="14">
        <f>IF(ISNUMBER(SEARCH("World",'RawData'!C343)),"",SUMIFS('RawData'!G:G,'RawData'!B:B,'RawData'!B343,'RawData'!C:C,"*World*"))</f>
        <v>4500</v>
      </c>
      <c r="I310" s="15">
        <f>IF(ISNUMBER(SEARCH("World",'RawData'!C343)),"",IFERROR(G310/H310,"-"))</f>
        <v>8.8888888888888889E-3</v>
      </c>
      <c r="J310" s="7">
        <f>IF(ISNUMBER(SEARCH("World",'RawData'!C343)),"",IF(ISNUMBER(SEARCH("Other",C310)),COUNTIFS('RawData'!B:B,B310,'RawData'!C:C,"&lt;&gt;*World*"),IF(OR(G310="",G310=0),"-",SUMPRODUCT(('RawData'!B$2:B$822=B310)*('RawData'!G$2:G$822&gt;G310)*(ISERROR(SEARCH("World",'RawData'!C$2:C$822)))*(ISERROR(SEARCH("Other",'RawData'!C$2:C$822))))+1)))</f>
        <v>12</v>
      </c>
      <c r="K310" s="14">
        <f>IF(ISNUMBER(SEARCH("World",'RawData'!C343)),"",'RawData'!H343)</f>
        <v>0</v>
      </c>
      <c r="L310" s="14">
        <f>IF(ISNUMBER(SEARCH("World",'RawData'!C343)),"",SUMIFS('RawData'!H:H,'RawData'!B:B,'RawData'!B343,'RawData'!C:C,"*World*"))</f>
        <v>95000</v>
      </c>
      <c r="M310" s="15">
        <f>IF(ISNUMBER(SEARCH("World",'RawData'!C343)),"",IFERROR(K310/L310,"-"))</f>
        <v>0</v>
      </c>
      <c r="N310" s="7" t="str">
        <f>IF(ISNUMBER(SEARCH("World",'RawData'!C343)),"",IF(ISNUMBER(SEARCH("Other",C310)),COUNTIFS('RawData'!B:B,B310,'RawData'!C:C,"&lt;&gt;*World*"),IF(OR(K310="",K310=0),"-",SUMPRODUCT(('RawData'!B$2:B$822=B310)*('RawData'!H$2:H$822&gt;K310)*(ISERROR(SEARCH("World",'RawData'!C$2:C$822)))*(ISERROR(SEARCH("Other",'RawData'!C$2:C$822))))+1)))</f>
        <v>-</v>
      </c>
    </row>
    <row r="311" spans="1:14" x14ac:dyDescent="0.3">
      <c r="A311" s="4" t="str">
        <f>IF(ISNUMBER(SEARCH("World",'RawData'!C344)),"",'RawData'!A344)</f>
        <v>MCS2026</v>
      </c>
      <c r="B311" s="4" t="str">
        <f>IF(ISNUMBER(SEARCH("World",'RawData'!C344)),"",'RawData'!B344)</f>
        <v>Lead</v>
      </c>
      <c r="C311" s="4" t="str">
        <f>IF(ISNUMBER(SEARCH("World",'RawData'!C344)),"",'RawData'!C344)</f>
        <v>United States</v>
      </c>
      <c r="D311" s="4" t="str">
        <f>IF(ISNUMBER(SEARCH("World",'RawData'!C344)),"",'RawData'!D344)</f>
        <v>Mine production, lead content</v>
      </c>
      <c r="E311" s="4" t="str">
        <f>IF(ISNUMBER(SEARCH("World",'RawData'!C344)),"",IF('RawData'!E344="WT001","kg",IF('RawData'!E344="WT002","ton",IF('RawData'!E344="WT003","k ton",""))))</f>
        <v>k ton</v>
      </c>
      <c r="F311" s="14">
        <f>IF(ISNUMBER(SEARCH("World",'RawData'!C344)),"",'RawData'!F344)</f>
        <v>304</v>
      </c>
      <c r="G311" s="14">
        <f>IF(ISNUMBER(SEARCH("World",'RawData'!C344)),"",'RawData'!G344)</f>
        <v>280</v>
      </c>
      <c r="H311" s="14">
        <f>IF(ISNUMBER(SEARCH("World",'RawData'!C344)),"",SUMIFS('RawData'!G:G,'RawData'!B:B,'RawData'!B344,'RawData'!C:C,"*World*"))</f>
        <v>4500</v>
      </c>
      <c r="I311" s="15">
        <f>IF(ISNUMBER(SEARCH("World",'RawData'!C344)),"",IFERROR(G311/H311,"-"))</f>
        <v>6.222222222222222E-2</v>
      </c>
      <c r="J311" s="7">
        <f>IF(ISNUMBER(SEARCH("World",'RawData'!C344)),"",IF(ISNUMBER(SEARCH("Other",C311)),COUNTIFS('RawData'!B:B,B311,'RawData'!C:C,"&lt;&gt;*World*"),IF(OR(G311="",G311=0),"-",SUMPRODUCT(('RawData'!B$2:B$822=B311)*('RawData'!G$2:G$822&gt;G311)*(ISERROR(SEARCH("World",'RawData'!C$2:C$822)))*(ISERROR(SEARCH("Other",'RawData'!C$2:C$822))))+1)))</f>
        <v>4</v>
      </c>
      <c r="K311" s="14">
        <f>IF(ISNUMBER(SEARCH("World",'RawData'!C344)),"",'RawData'!H344)</f>
        <v>4600</v>
      </c>
      <c r="L311" s="14">
        <f>IF(ISNUMBER(SEARCH("World",'RawData'!C344)),"",SUMIFS('RawData'!H:H,'RawData'!B:B,'RawData'!B344,'RawData'!C:C,"*World*"))</f>
        <v>95000</v>
      </c>
      <c r="M311" s="15">
        <f>IF(ISNUMBER(SEARCH("World",'RawData'!C344)),"",IFERROR(K311/L311,"-"))</f>
        <v>4.8421052631578948E-2</v>
      </c>
      <c r="N311" s="7">
        <f>IF(ISNUMBER(SEARCH("World",'RawData'!C344)),"",IF(ISNUMBER(SEARCH("Other",C311)),COUNTIFS('RawData'!B:B,B311,'RawData'!C:C,"&lt;&gt;*World*"),IF(OR(K311="",K311=0),"-",SUMPRODUCT(('RawData'!B$2:B$822=B311)*('RawData'!H$2:H$822&gt;K311)*(ISERROR(SEARCH("World",'RawData'!C$2:C$822)))*(ISERROR(SEARCH("Other",'RawData'!C$2:C$822))))+1)))</f>
        <v>6</v>
      </c>
    </row>
    <row r="312" spans="1:14" x14ac:dyDescent="0.3">
      <c r="A312" s="4" t="str">
        <f>IF(ISNUMBER(SEARCH("World",'RawData'!C346)),"",'RawData'!A346)</f>
        <v>MCS2026</v>
      </c>
      <c r="B312" s="4" t="str">
        <f>IF(ISNUMBER(SEARCH("World",'RawData'!C346)),"",'RawData'!B346)</f>
        <v>Limestone</v>
      </c>
      <c r="C312" s="4" t="str">
        <f>IF(ISNUMBER(SEARCH("World",'RawData'!C346)),"",'RawData'!C346)</f>
        <v>Australia</v>
      </c>
      <c r="D312" s="4" t="str">
        <f>IF(ISNUMBER(SEARCH("World",'RawData'!C346)),"",'RawData'!D346)</f>
        <v>Plant production, lime</v>
      </c>
      <c r="E312" s="4" t="str">
        <f>IF(ISNUMBER(SEARCH("World",'RawData'!C346)),"",IF('RawData'!E346="WT001","kg",IF('RawData'!E346="WT002","ton",IF('RawData'!E346="WT003","k ton",""))))</f>
        <v>k ton</v>
      </c>
      <c r="F312" s="14">
        <f>IF(ISNUMBER(SEARCH("World",'RawData'!C346)),"",'RawData'!F346)</f>
        <v>1890</v>
      </c>
      <c r="G312" s="14">
        <f>IF(ISNUMBER(SEARCH("World",'RawData'!C346)),"",'RawData'!G346)</f>
        <v>1900</v>
      </c>
      <c r="H312" s="14">
        <f>IF(ISNUMBER(SEARCH("World",'RawData'!C346)),"",SUMIFS('RawData'!G:G,'RawData'!B:B,'RawData'!B346,'RawData'!C:C,"*World*"))</f>
        <v>420000</v>
      </c>
      <c r="I312" s="15">
        <f>IF(ISNUMBER(SEARCH("World",'RawData'!C346)),"",IFERROR(G312/H312,"-"))</f>
        <v>4.5238095238095237E-3</v>
      </c>
      <c r="J312" s="7">
        <f>IF(ISNUMBER(SEARCH("World",'RawData'!C346)),"",IF(ISNUMBER(SEARCH("Other",C312)),COUNTIFS('RawData'!B:B,B312,'RawData'!C:C,"&lt;&gt;*World*"),IF(OR(G312="",G312=0),"-",SUMPRODUCT(('RawData'!B$2:B$822=B312)*('RawData'!G$2:G$822&gt;G312)*(ISERROR(SEARCH("World",'RawData'!C$2:C$822)))*(ISERROR(SEARCH("Other",'RawData'!C$2:C$822))))+1)))</f>
        <v>13</v>
      </c>
      <c r="K312" s="14">
        <f>IF(ISNUMBER(SEARCH("World",'RawData'!C346)),"",'RawData'!H346)</f>
        <v>0</v>
      </c>
      <c r="L312" s="14">
        <f>IF(ISNUMBER(SEARCH("World",'RawData'!C346)),"",SUMIFS('RawData'!H:H,'RawData'!B:B,'RawData'!B346,'RawData'!C:C,"*World*"))</f>
        <v>0</v>
      </c>
      <c r="M312" s="15" t="str">
        <f>IF(ISNUMBER(SEARCH("World",'RawData'!C346)),"",IFERROR(K312/L312,"-"))</f>
        <v>-</v>
      </c>
      <c r="N312" s="7" t="str">
        <f>IF(ISNUMBER(SEARCH("World",'RawData'!C346)),"",IF(ISNUMBER(SEARCH("Other",C312)),COUNTIFS('RawData'!B:B,B312,'RawData'!C:C,"&lt;&gt;*World*"),IF(OR(K312="",K312=0),"-",SUMPRODUCT(('RawData'!B$2:B$822=B312)*('RawData'!H$2:H$822&gt;K312)*(ISERROR(SEARCH("World",'RawData'!C$2:C$822)))*(ISERROR(SEARCH("Other",'RawData'!C$2:C$822))))+1)))</f>
        <v>-</v>
      </c>
    </row>
    <row r="313" spans="1:14" x14ac:dyDescent="0.3">
      <c r="A313" s="4" t="str">
        <f>IF(ISNUMBER(SEARCH("World",'RawData'!C347)),"",'RawData'!A347)</f>
        <v>MCS2026</v>
      </c>
      <c r="B313" s="4" t="str">
        <f>IF(ISNUMBER(SEARCH("World",'RawData'!C347)),"",'RawData'!B347)</f>
        <v>Limestone</v>
      </c>
      <c r="C313" s="4" t="str">
        <f>IF(ISNUMBER(SEARCH("World",'RawData'!C347)),"",'RawData'!C347)</f>
        <v>Belgium</v>
      </c>
      <c r="D313" s="4" t="str">
        <f>IF(ISNUMBER(SEARCH("World",'RawData'!C347)),"",'RawData'!D347)</f>
        <v>Plant production, lime</v>
      </c>
      <c r="E313" s="4" t="str">
        <f>IF(ISNUMBER(SEARCH("World",'RawData'!C347)),"",IF('RawData'!E347="WT001","kg",IF('RawData'!E347="WT002","ton",IF('RawData'!E347="WT003","k ton",""))))</f>
        <v>k ton</v>
      </c>
      <c r="F313" s="14">
        <f>IF(ISNUMBER(SEARCH("World",'RawData'!C347)),"",'RawData'!F347)</f>
        <v>1100</v>
      </c>
      <c r="G313" s="14">
        <f>IF(ISNUMBER(SEARCH("World",'RawData'!C347)),"",'RawData'!G347)</f>
        <v>1100</v>
      </c>
      <c r="H313" s="14">
        <f>IF(ISNUMBER(SEARCH("World",'RawData'!C347)),"",SUMIFS('RawData'!G:G,'RawData'!B:B,'RawData'!B347,'RawData'!C:C,"*World*"))</f>
        <v>420000</v>
      </c>
      <c r="I313" s="15">
        <f>IF(ISNUMBER(SEARCH("World",'RawData'!C347)),"",IFERROR(G313/H313,"-"))</f>
        <v>2.6190476190476189E-3</v>
      </c>
      <c r="J313" s="7">
        <f>IF(ISNUMBER(SEARCH("World",'RawData'!C347)),"",IF(ISNUMBER(SEARCH("Other",C313)),COUNTIFS('RawData'!B:B,B313,'RawData'!C:C,"&lt;&gt;*World*"),IF(OR(G313="",G313=0),"-",SUMPRODUCT(('RawData'!B$2:B$822=B313)*('RawData'!G$2:G$822&gt;G313)*(ISERROR(SEARCH("World",'RawData'!C$2:C$822)))*(ISERROR(SEARCH("Other",'RawData'!C$2:C$822))))+1)))</f>
        <v>20</v>
      </c>
      <c r="K313" s="14">
        <f>IF(ISNUMBER(SEARCH("World",'RawData'!C347)),"",'RawData'!H347)</f>
        <v>0</v>
      </c>
      <c r="L313" s="14">
        <f>IF(ISNUMBER(SEARCH("World",'RawData'!C347)),"",SUMIFS('RawData'!H:H,'RawData'!B:B,'RawData'!B347,'RawData'!C:C,"*World*"))</f>
        <v>0</v>
      </c>
      <c r="M313" s="15" t="str">
        <f>IF(ISNUMBER(SEARCH("World",'RawData'!C347)),"",IFERROR(K313/L313,"-"))</f>
        <v>-</v>
      </c>
      <c r="N313" s="7" t="str">
        <f>IF(ISNUMBER(SEARCH("World",'RawData'!C347)),"",IF(ISNUMBER(SEARCH("Other",C313)),COUNTIFS('RawData'!B:B,B313,'RawData'!C:C,"&lt;&gt;*World*"),IF(OR(K313="",K313=0),"-",SUMPRODUCT(('RawData'!B$2:B$822=B313)*('RawData'!H$2:H$822&gt;K313)*(ISERROR(SEARCH("World",'RawData'!C$2:C$822)))*(ISERROR(SEARCH("Other",'RawData'!C$2:C$822))))+1)))</f>
        <v>-</v>
      </c>
    </row>
    <row r="314" spans="1:14" x14ac:dyDescent="0.3">
      <c r="A314" s="4" t="str">
        <f>IF(ISNUMBER(SEARCH("World",'RawData'!C348)),"",'RawData'!A348)</f>
        <v>MCS2026</v>
      </c>
      <c r="B314" s="4" t="str">
        <f>IF(ISNUMBER(SEARCH("World",'RawData'!C348)),"",'RawData'!B348)</f>
        <v>Limestone</v>
      </c>
      <c r="C314" s="4" t="str">
        <f>IF(ISNUMBER(SEARCH("World",'RawData'!C348)),"",'RawData'!C348)</f>
        <v>Brazil</v>
      </c>
      <c r="D314" s="4" t="str">
        <f>IF(ISNUMBER(SEARCH("World",'RawData'!C348)),"",'RawData'!D348)</f>
        <v>Plant production, lime</v>
      </c>
      <c r="E314" s="4" t="str">
        <f>IF(ISNUMBER(SEARCH("World",'RawData'!C348)),"",IF('RawData'!E348="WT001","kg",IF('RawData'!E348="WT002","ton",IF('RawData'!E348="WT003","k ton",""))))</f>
        <v>k ton</v>
      </c>
      <c r="F314" s="14">
        <f>IF(ISNUMBER(SEARCH("World",'RawData'!C348)),"",'RawData'!F348)</f>
        <v>8200</v>
      </c>
      <c r="G314" s="14">
        <f>IF(ISNUMBER(SEARCH("World",'RawData'!C348)),"",'RawData'!G348)</f>
        <v>8200</v>
      </c>
      <c r="H314" s="14">
        <f>IF(ISNUMBER(SEARCH("World",'RawData'!C348)),"",SUMIFS('RawData'!G:G,'RawData'!B:B,'RawData'!B348,'RawData'!C:C,"*World*"))</f>
        <v>420000</v>
      </c>
      <c r="I314" s="15">
        <f>IF(ISNUMBER(SEARCH("World",'RawData'!C348)),"",IFERROR(G314/H314,"-"))</f>
        <v>1.9523809523809523E-2</v>
      </c>
      <c r="J314" s="7">
        <f>IF(ISNUMBER(SEARCH("World",'RawData'!C348)),"",IF(ISNUMBER(SEARCH("Other",C314)),COUNTIFS('RawData'!B:B,B314,'RawData'!C:C,"&lt;&gt;*World*"),IF(OR(G314="",G314=0),"-",SUMPRODUCT(('RawData'!B$2:B$822=B314)*('RawData'!G$2:G$822&gt;G314)*(ISERROR(SEARCH("World",'RawData'!C$2:C$822)))*(ISERROR(SEARCH("Other",'RawData'!C$2:C$822))))+1)))</f>
        <v>5</v>
      </c>
      <c r="K314" s="14">
        <f>IF(ISNUMBER(SEARCH("World",'RawData'!C348)),"",'RawData'!H348)</f>
        <v>0</v>
      </c>
      <c r="L314" s="14">
        <f>IF(ISNUMBER(SEARCH("World",'RawData'!C348)),"",SUMIFS('RawData'!H:H,'RawData'!B:B,'RawData'!B348,'RawData'!C:C,"*World*"))</f>
        <v>0</v>
      </c>
      <c r="M314" s="15" t="str">
        <f>IF(ISNUMBER(SEARCH("World",'RawData'!C348)),"",IFERROR(K314/L314,"-"))</f>
        <v>-</v>
      </c>
      <c r="N314" s="7" t="str">
        <f>IF(ISNUMBER(SEARCH("World",'RawData'!C348)),"",IF(ISNUMBER(SEARCH("Other",C314)),COUNTIFS('RawData'!B:B,B314,'RawData'!C:C,"&lt;&gt;*World*"),IF(OR(K314="",K314=0),"-",SUMPRODUCT(('RawData'!B$2:B$822=B314)*('RawData'!H$2:H$822&gt;K314)*(ISERROR(SEARCH("World",'RawData'!C$2:C$822)))*(ISERROR(SEARCH("Other",'RawData'!C$2:C$822))))+1)))</f>
        <v>-</v>
      </c>
    </row>
    <row r="315" spans="1:14" x14ac:dyDescent="0.3">
      <c r="A315" s="4" t="str">
        <f>IF(ISNUMBER(SEARCH("World",'RawData'!C349)),"",'RawData'!A349)</f>
        <v>MCS2026</v>
      </c>
      <c r="B315" s="4" t="str">
        <f>IF(ISNUMBER(SEARCH("World",'RawData'!C349)),"",'RawData'!B349)</f>
        <v>Limestone</v>
      </c>
      <c r="C315" s="4" t="str">
        <f>IF(ISNUMBER(SEARCH("World",'RawData'!C349)),"",'RawData'!C349)</f>
        <v>Bulgaria</v>
      </c>
      <c r="D315" s="4" t="str">
        <f>IF(ISNUMBER(SEARCH("World",'RawData'!C349)),"",'RawData'!D349)</f>
        <v>Plant production, lime</v>
      </c>
      <c r="E315" s="4" t="str">
        <f>IF(ISNUMBER(SEARCH("World",'RawData'!C349)),"",IF('RawData'!E349="WT001","kg",IF('RawData'!E349="WT002","ton",IF('RawData'!E349="WT003","k ton",""))))</f>
        <v>k ton</v>
      </c>
      <c r="F315" s="14">
        <f>IF(ISNUMBER(SEARCH("World",'RawData'!C349)),"",'RawData'!F349)</f>
        <v>1300</v>
      </c>
      <c r="G315" s="14">
        <f>IF(ISNUMBER(SEARCH("World",'RawData'!C349)),"",'RawData'!G349)</f>
        <v>1300</v>
      </c>
      <c r="H315" s="14">
        <f>IF(ISNUMBER(SEARCH("World",'RawData'!C349)),"",SUMIFS('RawData'!G:G,'RawData'!B:B,'RawData'!B349,'RawData'!C:C,"*World*"))</f>
        <v>420000</v>
      </c>
      <c r="I315" s="15">
        <f>IF(ISNUMBER(SEARCH("World",'RawData'!C349)),"",IFERROR(G315/H315,"-"))</f>
        <v>3.0952380952380953E-3</v>
      </c>
      <c r="J315" s="7">
        <f>IF(ISNUMBER(SEARCH("World",'RawData'!C349)),"",IF(ISNUMBER(SEARCH("Other",C315)),COUNTIFS('RawData'!B:B,B315,'RawData'!C:C,"&lt;&gt;*World*"),IF(OR(G315="",G315=0),"-",SUMPRODUCT(('RawData'!B$2:B$822=B315)*('RawData'!G$2:G$822&gt;G315)*(ISERROR(SEARCH("World",'RawData'!C$2:C$822)))*(ISERROR(SEARCH("Other",'RawData'!C$2:C$822))))+1)))</f>
        <v>17</v>
      </c>
      <c r="K315" s="14">
        <f>IF(ISNUMBER(SEARCH("World",'RawData'!C349)),"",'RawData'!H349)</f>
        <v>0</v>
      </c>
      <c r="L315" s="14">
        <f>IF(ISNUMBER(SEARCH("World",'RawData'!C349)),"",SUMIFS('RawData'!H:H,'RawData'!B:B,'RawData'!B349,'RawData'!C:C,"*World*"))</f>
        <v>0</v>
      </c>
      <c r="M315" s="15" t="str">
        <f>IF(ISNUMBER(SEARCH("World",'RawData'!C349)),"",IFERROR(K315/L315,"-"))</f>
        <v>-</v>
      </c>
      <c r="N315" s="7" t="str">
        <f>IF(ISNUMBER(SEARCH("World",'RawData'!C349)),"",IF(ISNUMBER(SEARCH("Other",C315)),COUNTIFS('RawData'!B:B,B315,'RawData'!C:C,"&lt;&gt;*World*"),IF(OR(K315="",K315=0),"-",SUMPRODUCT(('RawData'!B$2:B$822=B315)*('RawData'!H$2:H$822&gt;K315)*(ISERROR(SEARCH("World",'RawData'!C$2:C$822)))*(ISERROR(SEARCH("Other",'RawData'!C$2:C$822))))+1)))</f>
        <v>-</v>
      </c>
    </row>
    <row r="316" spans="1:14" x14ac:dyDescent="0.3">
      <c r="A316" s="4" t="str">
        <f>IF(ISNUMBER(SEARCH("World",'RawData'!C350)),"",'RawData'!A350)</f>
        <v>MCS2026</v>
      </c>
      <c r="B316" s="4" t="str">
        <f>IF(ISNUMBER(SEARCH("World",'RawData'!C350)),"",'RawData'!B350)</f>
        <v>Limestone</v>
      </c>
      <c r="C316" s="4" t="str">
        <f>IF(ISNUMBER(SEARCH("World",'RawData'!C350)),"",'RawData'!C350)</f>
        <v xml:space="preserve">Canada </v>
      </c>
      <c r="D316" s="4" t="str">
        <f>IF(ISNUMBER(SEARCH("World",'RawData'!C350)),"",'RawData'!D350)</f>
        <v>Plant production, lime</v>
      </c>
      <c r="E316" s="4" t="str">
        <f>IF(ISNUMBER(SEARCH("World",'RawData'!C350)),"",IF('RawData'!E350="WT001","kg",IF('RawData'!E350="WT002","ton",IF('RawData'!E350="WT003","k ton",""))))</f>
        <v>k ton</v>
      </c>
      <c r="F316" s="14">
        <f>IF(ISNUMBER(SEARCH("World",'RawData'!C350)),"",'RawData'!F350)</f>
        <v>1550</v>
      </c>
      <c r="G316" s="14">
        <f>IF(ISNUMBER(SEARCH("World",'RawData'!C350)),"",'RawData'!G350)</f>
        <v>1600</v>
      </c>
      <c r="H316" s="14">
        <f>IF(ISNUMBER(SEARCH("World",'RawData'!C350)),"",SUMIFS('RawData'!G:G,'RawData'!B:B,'RawData'!B350,'RawData'!C:C,"*World*"))</f>
        <v>420000</v>
      </c>
      <c r="I316" s="15">
        <f>IF(ISNUMBER(SEARCH("World",'RawData'!C350)),"",IFERROR(G316/H316,"-"))</f>
        <v>3.8095238095238095E-3</v>
      </c>
      <c r="J316" s="7">
        <f>IF(ISNUMBER(SEARCH("World",'RawData'!C350)),"",IF(ISNUMBER(SEARCH("Other",C316)),COUNTIFS('RawData'!B:B,B316,'RawData'!C:C,"&lt;&gt;*World*"),IF(OR(G316="",G316=0),"-",SUMPRODUCT(('RawData'!B$2:B$822=B316)*('RawData'!G$2:G$822&gt;G316)*(ISERROR(SEARCH("World",'RawData'!C$2:C$822)))*(ISERROR(SEARCH("Other",'RawData'!C$2:C$822))))+1)))</f>
        <v>15</v>
      </c>
      <c r="K316" s="14">
        <f>IF(ISNUMBER(SEARCH("World",'RawData'!C350)),"",'RawData'!H350)</f>
        <v>0</v>
      </c>
      <c r="L316" s="14">
        <f>IF(ISNUMBER(SEARCH("World",'RawData'!C350)),"",SUMIFS('RawData'!H:H,'RawData'!B:B,'RawData'!B350,'RawData'!C:C,"*World*"))</f>
        <v>0</v>
      </c>
      <c r="M316" s="15" t="str">
        <f>IF(ISNUMBER(SEARCH("World",'RawData'!C350)),"",IFERROR(K316/L316,"-"))</f>
        <v>-</v>
      </c>
      <c r="N316" s="7" t="str">
        <f>IF(ISNUMBER(SEARCH("World",'RawData'!C350)),"",IF(ISNUMBER(SEARCH("Other",C316)),COUNTIFS('RawData'!B:B,B316,'RawData'!C:C,"&lt;&gt;*World*"),IF(OR(K316="",K316=0),"-",SUMPRODUCT(('RawData'!B$2:B$822=B316)*('RawData'!H$2:H$822&gt;K316)*(ISERROR(SEARCH("World",'RawData'!C$2:C$822)))*(ISERROR(SEARCH("Other",'RawData'!C$2:C$822))))+1)))</f>
        <v>-</v>
      </c>
    </row>
    <row r="317" spans="1:14" x14ac:dyDescent="0.3">
      <c r="A317" s="4" t="str">
        <f>IF(ISNUMBER(SEARCH("World",'RawData'!C351)),"",'RawData'!A351)</f>
        <v>MCS2026</v>
      </c>
      <c r="B317" s="4" t="str">
        <f>IF(ISNUMBER(SEARCH("World",'RawData'!C351)),"",'RawData'!B351)</f>
        <v>Limestone</v>
      </c>
      <c r="C317" s="4" t="str">
        <f>IF(ISNUMBER(SEARCH("World",'RawData'!C351)),"",'RawData'!C351)</f>
        <v>China</v>
      </c>
      <c r="D317" s="4" t="str">
        <f>IF(ISNUMBER(SEARCH("World",'RawData'!C351)),"",'RawData'!D351)</f>
        <v>Plant production, lime</v>
      </c>
      <c r="E317" s="4" t="str">
        <f>IF(ISNUMBER(SEARCH("World",'RawData'!C351)),"",IF('RawData'!E351="WT001","kg",IF('RawData'!E351="WT002","ton",IF('RawData'!E351="WT003","k ton",""))))</f>
        <v>k ton</v>
      </c>
      <c r="F317" s="14">
        <f>IF(ISNUMBER(SEARCH("World",'RawData'!C351)),"",'RawData'!F351)</f>
        <v>310000</v>
      </c>
      <c r="G317" s="14">
        <f>IF(ISNUMBER(SEARCH("World",'RawData'!C351)),"",'RawData'!G351)</f>
        <v>310000</v>
      </c>
      <c r="H317" s="14">
        <f>IF(ISNUMBER(SEARCH("World",'RawData'!C351)),"",SUMIFS('RawData'!G:G,'RawData'!B:B,'RawData'!B351,'RawData'!C:C,"*World*"))</f>
        <v>420000</v>
      </c>
      <c r="I317" s="15">
        <f>IF(ISNUMBER(SEARCH("World",'RawData'!C351)),"",IFERROR(G317/H317,"-"))</f>
        <v>0.73809523809523814</v>
      </c>
      <c r="J317" s="7">
        <f>IF(ISNUMBER(SEARCH("World",'RawData'!C351)),"",IF(ISNUMBER(SEARCH("Other",C317)),COUNTIFS('RawData'!B:B,B317,'RawData'!C:C,"&lt;&gt;*World*"),IF(OR(G317="",G317=0),"-",SUMPRODUCT(('RawData'!B$2:B$822=B317)*('RawData'!G$2:G$822&gt;G317)*(ISERROR(SEARCH("World",'RawData'!C$2:C$822)))*(ISERROR(SEARCH("Other",'RawData'!C$2:C$822))))+1)))</f>
        <v>1</v>
      </c>
      <c r="K317" s="14">
        <f>IF(ISNUMBER(SEARCH("World",'RawData'!C351)),"",'RawData'!H351)</f>
        <v>0</v>
      </c>
      <c r="L317" s="14">
        <f>IF(ISNUMBER(SEARCH("World",'RawData'!C351)),"",SUMIFS('RawData'!H:H,'RawData'!B:B,'RawData'!B351,'RawData'!C:C,"*World*"))</f>
        <v>0</v>
      </c>
      <c r="M317" s="15" t="str">
        <f>IF(ISNUMBER(SEARCH("World",'RawData'!C351)),"",IFERROR(K317/L317,"-"))</f>
        <v>-</v>
      </c>
      <c r="N317" s="7" t="str">
        <f>IF(ISNUMBER(SEARCH("World",'RawData'!C351)),"",IF(ISNUMBER(SEARCH("Other",C317)),COUNTIFS('RawData'!B:B,B317,'RawData'!C:C,"&lt;&gt;*World*"),IF(OR(K317="",K317=0),"-",SUMPRODUCT(('RawData'!B$2:B$822=B317)*('RawData'!H$2:H$822&gt;K317)*(ISERROR(SEARCH("World",'RawData'!C$2:C$822)))*(ISERROR(SEARCH("Other",'RawData'!C$2:C$822))))+1)))</f>
        <v>-</v>
      </c>
    </row>
    <row r="318" spans="1:14" x14ac:dyDescent="0.3">
      <c r="A318" s="4" t="str">
        <f>IF(ISNUMBER(SEARCH("World",'RawData'!C352)),"",'RawData'!A352)</f>
        <v>MCS2026</v>
      </c>
      <c r="B318" s="4" t="str">
        <f>IF(ISNUMBER(SEARCH("World",'RawData'!C352)),"",'RawData'!B352)</f>
        <v>Limestone</v>
      </c>
      <c r="C318" s="4" t="str">
        <f>IF(ISNUMBER(SEARCH("World",'RawData'!C352)),"",'RawData'!C352)</f>
        <v>France</v>
      </c>
      <c r="D318" s="4" t="str">
        <f>IF(ISNUMBER(SEARCH("World",'RawData'!C352)),"",'RawData'!D352)</f>
        <v>Plant production, lime</v>
      </c>
      <c r="E318" s="4" t="str">
        <f>IF(ISNUMBER(SEARCH("World",'RawData'!C352)),"",IF('RawData'!E352="WT001","kg",IF('RawData'!E352="WT002","ton",IF('RawData'!E352="WT003","k ton",""))))</f>
        <v>k ton</v>
      </c>
      <c r="F318" s="14">
        <f>IF(ISNUMBER(SEARCH("World",'RawData'!C352)),"",'RawData'!F352)</f>
        <v>3500</v>
      </c>
      <c r="G318" s="14">
        <f>IF(ISNUMBER(SEARCH("World",'RawData'!C352)),"",'RawData'!G352)</f>
        <v>3500</v>
      </c>
      <c r="H318" s="14">
        <f>IF(ISNUMBER(SEARCH("World",'RawData'!C352)),"",SUMIFS('RawData'!G:G,'RawData'!B:B,'RawData'!B352,'RawData'!C:C,"*World*"))</f>
        <v>420000</v>
      </c>
      <c r="I318" s="15">
        <f>IF(ISNUMBER(SEARCH("World",'RawData'!C352)),"",IFERROR(G318/H318,"-"))</f>
        <v>8.3333333333333332E-3</v>
      </c>
      <c r="J318" s="7">
        <f>IF(ISNUMBER(SEARCH("World",'RawData'!C352)),"",IF(ISNUMBER(SEARCH("Other",C318)),COUNTIFS('RawData'!B:B,B318,'RawData'!C:C,"&lt;&gt;*World*"),IF(OR(G318="",G318=0),"-",SUMPRODUCT(('RawData'!B$2:B$822=B318)*('RawData'!G$2:G$822&gt;G318)*(ISERROR(SEARCH("World",'RawData'!C$2:C$822)))*(ISERROR(SEARCH("Other",'RawData'!C$2:C$822))))+1)))</f>
        <v>11</v>
      </c>
      <c r="K318" s="14">
        <f>IF(ISNUMBER(SEARCH("World",'RawData'!C352)),"",'RawData'!H352)</f>
        <v>0</v>
      </c>
      <c r="L318" s="14">
        <f>IF(ISNUMBER(SEARCH("World",'RawData'!C352)),"",SUMIFS('RawData'!H:H,'RawData'!B:B,'RawData'!B352,'RawData'!C:C,"*World*"))</f>
        <v>0</v>
      </c>
      <c r="M318" s="15" t="str">
        <f>IF(ISNUMBER(SEARCH("World",'RawData'!C352)),"",IFERROR(K318/L318,"-"))</f>
        <v>-</v>
      </c>
      <c r="N318" s="7" t="str">
        <f>IF(ISNUMBER(SEARCH("World",'RawData'!C352)),"",IF(ISNUMBER(SEARCH("Other",C318)),COUNTIFS('RawData'!B:B,B318,'RawData'!C:C,"&lt;&gt;*World*"),IF(OR(K318="",K318=0),"-",SUMPRODUCT(('RawData'!B$2:B$822=B318)*('RawData'!H$2:H$822&gt;K318)*(ISERROR(SEARCH("World",'RawData'!C$2:C$822)))*(ISERROR(SEARCH("Other",'RawData'!C$2:C$822))))+1)))</f>
        <v>-</v>
      </c>
    </row>
    <row r="319" spans="1:14" x14ac:dyDescent="0.3">
      <c r="A319" s="4" t="str">
        <f>IF(ISNUMBER(SEARCH("World",'RawData'!C353)),"",'RawData'!A353)</f>
        <v>MCS2026</v>
      </c>
      <c r="B319" s="4" t="str">
        <f>IF(ISNUMBER(SEARCH("World",'RawData'!C353)),"",'RawData'!B353)</f>
        <v>Limestone</v>
      </c>
      <c r="C319" s="4" t="str">
        <f>IF(ISNUMBER(SEARCH("World",'RawData'!C353)),"",'RawData'!C353)</f>
        <v>Germany</v>
      </c>
      <c r="D319" s="4" t="str">
        <f>IF(ISNUMBER(SEARCH("World",'RawData'!C353)),"",'RawData'!D353)</f>
        <v>Plant production, lime</v>
      </c>
      <c r="E319" s="4" t="str">
        <f>IF(ISNUMBER(SEARCH("World",'RawData'!C353)),"",IF('RawData'!E353="WT001","kg",IF('RawData'!E353="WT002","ton",IF('RawData'!E353="WT003","k ton",""))))</f>
        <v>k ton</v>
      </c>
      <c r="F319" s="14">
        <f>IF(ISNUMBER(SEARCH("World",'RawData'!C353)),"",'RawData'!F353)</f>
        <v>4800</v>
      </c>
      <c r="G319" s="14">
        <f>IF(ISNUMBER(SEARCH("World",'RawData'!C353)),"",'RawData'!G353)</f>
        <v>4800</v>
      </c>
      <c r="H319" s="14">
        <f>IF(ISNUMBER(SEARCH("World",'RawData'!C353)),"",SUMIFS('RawData'!G:G,'RawData'!B:B,'RawData'!B353,'RawData'!C:C,"*World*"))</f>
        <v>420000</v>
      </c>
      <c r="I319" s="15">
        <f>IF(ISNUMBER(SEARCH("World",'RawData'!C353)),"",IFERROR(G319/H319,"-"))</f>
        <v>1.1428571428571429E-2</v>
      </c>
      <c r="J319" s="7">
        <f>IF(ISNUMBER(SEARCH("World",'RawData'!C353)),"",IF(ISNUMBER(SEARCH("Other",C319)),COUNTIFS('RawData'!B:B,B319,'RawData'!C:C,"&lt;&gt;*World*"),IF(OR(G319="",G319=0),"-",SUMPRODUCT(('RawData'!B$2:B$822=B319)*('RawData'!G$2:G$822&gt;G319)*(ISERROR(SEARCH("World",'RawData'!C$2:C$822)))*(ISERROR(SEARCH("Other",'RawData'!C$2:C$822))))+1)))</f>
        <v>8</v>
      </c>
      <c r="K319" s="14">
        <f>IF(ISNUMBER(SEARCH("World",'RawData'!C353)),"",'RawData'!H353)</f>
        <v>0</v>
      </c>
      <c r="L319" s="14">
        <f>IF(ISNUMBER(SEARCH("World",'RawData'!C353)),"",SUMIFS('RawData'!H:H,'RawData'!B:B,'RawData'!B353,'RawData'!C:C,"*World*"))</f>
        <v>0</v>
      </c>
      <c r="M319" s="15" t="str">
        <f>IF(ISNUMBER(SEARCH("World",'RawData'!C353)),"",IFERROR(K319/L319,"-"))</f>
        <v>-</v>
      </c>
      <c r="N319" s="7" t="str">
        <f>IF(ISNUMBER(SEARCH("World",'RawData'!C353)),"",IF(ISNUMBER(SEARCH("Other",C319)),COUNTIFS('RawData'!B:B,B319,'RawData'!C:C,"&lt;&gt;*World*"),IF(OR(K319="",K319=0),"-",SUMPRODUCT(('RawData'!B$2:B$822=B319)*('RawData'!H$2:H$822&gt;K319)*(ISERROR(SEARCH("World",'RawData'!C$2:C$822)))*(ISERROR(SEARCH("Other",'RawData'!C$2:C$822))))+1)))</f>
        <v>-</v>
      </c>
    </row>
    <row r="320" spans="1:14" x14ac:dyDescent="0.3">
      <c r="A320" s="4" t="str">
        <f>IF(ISNUMBER(SEARCH("World",'RawData'!C354)),"",'RawData'!A354)</f>
        <v>MCS2026</v>
      </c>
      <c r="B320" s="4" t="str">
        <f>IF(ISNUMBER(SEARCH("World",'RawData'!C354)),"",'RawData'!B354)</f>
        <v>Limestone</v>
      </c>
      <c r="C320" s="4" t="str">
        <f>IF(ISNUMBER(SEARCH("World",'RawData'!C354)),"",'RawData'!C354)</f>
        <v>India</v>
      </c>
      <c r="D320" s="4" t="str">
        <f>IF(ISNUMBER(SEARCH("World",'RawData'!C354)),"",'RawData'!D354)</f>
        <v>Plant production, lime</v>
      </c>
      <c r="E320" s="4" t="str">
        <f>IF(ISNUMBER(SEARCH("World",'RawData'!C354)),"",IF('RawData'!E354="WT001","kg",IF('RawData'!E354="WT002","ton",IF('RawData'!E354="WT003","k ton",""))))</f>
        <v>k ton</v>
      </c>
      <c r="F320" s="14">
        <f>IF(ISNUMBER(SEARCH("World",'RawData'!C354)),"",'RawData'!F354)</f>
        <v>17000</v>
      </c>
      <c r="G320" s="14">
        <f>IF(ISNUMBER(SEARCH("World",'RawData'!C354)),"",'RawData'!G354)</f>
        <v>17000</v>
      </c>
      <c r="H320" s="14">
        <f>IF(ISNUMBER(SEARCH("World",'RawData'!C354)),"",SUMIFS('RawData'!G:G,'RawData'!B:B,'RawData'!B354,'RawData'!C:C,"*World*"))</f>
        <v>420000</v>
      </c>
      <c r="I320" s="15">
        <f>IF(ISNUMBER(SEARCH("World",'RawData'!C354)),"",IFERROR(G320/H320,"-"))</f>
        <v>4.0476190476190478E-2</v>
      </c>
      <c r="J320" s="7">
        <f>IF(ISNUMBER(SEARCH("World",'RawData'!C354)),"",IF(ISNUMBER(SEARCH("Other",C320)),COUNTIFS('RawData'!B:B,B320,'RawData'!C:C,"&lt;&gt;*World*"),IF(OR(G320="",G320=0),"-",SUMPRODUCT(('RawData'!B$2:B$822=B320)*('RawData'!G$2:G$822&gt;G320)*(ISERROR(SEARCH("World",'RawData'!C$2:C$822)))*(ISERROR(SEARCH("Other",'RawData'!C$2:C$822))))+1)))</f>
        <v>2</v>
      </c>
      <c r="K320" s="14">
        <f>IF(ISNUMBER(SEARCH("World",'RawData'!C354)),"",'RawData'!H354)</f>
        <v>0</v>
      </c>
      <c r="L320" s="14">
        <f>IF(ISNUMBER(SEARCH("World",'RawData'!C354)),"",SUMIFS('RawData'!H:H,'RawData'!B:B,'RawData'!B354,'RawData'!C:C,"*World*"))</f>
        <v>0</v>
      </c>
      <c r="M320" s="15" t="str">
        <f>IF(ISNUMBER(SEARCH("World",'RawData'!C354)),"",IFERROR(K320/L320,"-"))</f>
        <v>-</v>
      </c>
      <c r="N320" s="7" t="str">
        <f>IF(ISNUMBER(SEARCH("World",'RawData'!C354)),"",IF(ISNUMBER(SEARCH("Other",C320)),COUNTIFS('RawData'!B:B,B320,'RawData'!C:C,"&lt;&gt;*World*"),IF(OR(K320="",K320=0),"-",SUMPRODUCT(('RawData'!B$2:B$822=B320)*('RawData'!H$2:H$822&gt;K320)*(ISERROR(SEARCH("World",'RawData'!C$2:C$822)))*(ISERROR(SEARCH("Other",'RawData'!C$2:C$822))))+1)))</f>
        <v>-</v>
      </c>
    </row>
    <row r="321" spans="1:14" x14ac:dyDescent="0.3">
      <c r="A321" s="4" t="str">
        <f>IF(ISNUMBER(SEARCH("World",'RawData'!C355)),"",'RawData'!A355)</f>
        <v>MCS2026</v>
      </c>
      <c r="B321" s="4" t="str">
        <f>IF(ISNUMBER(SEARCH("World",'RawData'!C355)),"",'RawData'!B355)</f>
        <v>Limestone</v>
      </c>
      <c r="C321" s="4" t="str">
        <f>IF(ISNUMBER(SEARCH("World",'RawData'!C355)),"",'RawData'!C355)</f>
        <v>Iran</v>
      </c>
      <c r="D321" s="4" t="str">
        <f>IF(ISNUMBER(SEARCH("World",'RawData'!C355)),"",'RawData'!D355)</f>
        <v>Plant production, lime</v>
      </c>
      <c r="E321" s="4" t="str">
        <f>IF(ISNUMBER(SEARCH("World",'RawData'!C355)),"",IF('RawData'!E355="WT001","kg",IF('RawData'!E355="WT002","ton",IF('RawData'!E355="WT003","k ton",""))))</f>
        <v>k ton</v>
      </c>
      <c r="F321" s="14">
        <f>IF(ISNUMBER(SEARCH("World",'RawData'!C355)),"",'RawData'!F355)</f>
        <v>4000</v>
      </c>
      <c r="G321" s="14">
        <f>IF(ISNUMBER(SEARCH("World",'RawData'!C355)),"",'RawData'!G355)</f>
        <v>4000</v>
      </c>
      <c r="H321" s="14">
        <f>IF(ISNUMBER(SEARCH("World",'RawData'!C355)),"",SUMIFS('RawData'!G:G,'RawData'!B:B,'RawData'!B355,'RawData'!C:C,"*World*"))</f>
        <v>420000</v>
      </c>
      <c r="I321" s="15">
        <f>IF(ISNUMBER(SEARCH("World",'RawData'!C355)),"",IFERROR(G321/H321,"-"))</f>
        <v>9.5238095238095247E-3</v>
      </c>
      <c r="J321" s="7">
        <f>IF(ISNUMBER(SEARCH("World",'RawData'!C355)),"",IF(ISNUMBER(SEARCH("Other",C321)),COUNTIFS('RawData'!B:B,B321,'RawData'!C:C,"&lt;&gt;*World*"),IF(OR(G321="",G321=0),"-",SUMPRODUCT(('RawData'!B$2:B$822=B321)*('RawData'!G$2:G$822&gt;G321)*(ISERROR(SEARCH("World",'RawData'!C$2:C$822)))*(ISERROR(SEARCH("Other",'RawData'!C$2:C$822))))+1)))</f>
        <v>9</v>
      </c>
      <c r="K321" s="14">
        <f>IF(ISNUMBER(SEARCH("World",'RawData'!C355)),"",'RawData'!H355)</f>
        <v>0</v>
      </c>
      <c r="L321" s="14">
        <f>IF(ISNUMBER(SEARCH("World",'RawData'!C355)),"",SUMIFS('RawData'!H:H,'RawData'!B:B,'RawData'!B355,'RawData'!C:C,"*World*"))</f>
        <v>0</v>
      </c>
      <c r="M321" s="15" t="str">
        <f>IF(ISNUMBER(SEARCH("World",'RawData'!C355)),"",IFERROR(K321/L321,"-"))</f>
        <v>-</v>
      </c>
      <c r="N321" s="7" t="str">
        <f>IF(ISNUMBER(SEARCH("World",'RawData'!C355)),"",IF(ISNUMBER(SEARCH("Other",C321)),COUNTIFS('RawData'!B:B,B321,'RawData'!C:C,"&lt;&gt;*World*"),IF(OR(K321="",K321=0),"-",SUMPRODUCT(('RawData'!B$2:B$822=B321)*('RawData'!H$2:H$822&gt;K321)*(ISERROR(SEARCH("World",'RawData'!C$2:C$822)))*(ISERROR(SEARCH("Other",'RawData'!C$2:C$822))))+1)))</f>
        <v>-</v>
      </c>
    </row>
    <row r="322" spans="1:14" x14ac:dyDescent="0.3">
      <c r="A322" s="4" t="str">
        <f>IF(ISNUMBER(SEARCH("World",'RawData'!C356)),"",'RawData'!A356)</f>
        <v>MCS2026</v>
      </c>
      <c r="B322" s="4" t="str">
        <f>IF(ISNUMBER(SEARCH("World",'RawData'!C356)),"",'RawData'!B356)</f>
        <v>Limestone</v>
      </c>
      <c r="C322" s="4" t="str">
        <f>IF(ISNUMBER(SEARCH("World",'RawData'!C356)),"",'RawData'!C356)</f>
        <v>Italy</v>
      </c>
      <c r="D322" s="4" t="str">
        <f>IF(ISNUMBER(SEARCH("World",'RawData'!C356)),"",'RawData'!D356)</f>
        <v>Plant production, lime</v>
      </c>
      <c r="E322" s="4" t="str">
        <f>IF(ISNUMBER(SEARCH("World",'RawData'!C356)),"",IF('RawData'!E356="WT001","kg",IF('RawData'!E356="WT002","ton",IF('RawData'!E356="WT003","k ton",""))))</f>
        <v>k ton</v>
      </c>
      <c r="F322" s="14">
        <f>IF(ISNUMBER(SEARCH("World",'RawData'!C356)),"",'RawData'!F356)</f>
        <v>2500</v>
      </c>
      <c r="G322" s="14">
        <f>IF(ISNUMBER(SEARCH("World",'RawData'!C356)),"",'RawData'!G356)</f>
        <v>2500</v>
      </c>
      <c r="H322" s="14">
        <f>IF(ISNUMBER(SEARCH("World",'RawData'!C356)),"",SUMIFS('RawData'!G:G,'RawData'!B:B,'RawData'!B356,'RawData'!C:C,"*World*"))</f>
        <v>420000</v>
      </c>
      <c r="I322" s="15">
        <f>IF(ISNUMBER(SEARCH("World",'RawData'!C356)),"",IFERROR(G322/H322,"-"))</f>
        <v>5.9523809523809521E-3</v>
      </c>
      <c r="J322" s="7">
        <f>IF(ISNUMBER(SEARCH("World",'RawData'!C356)),"",IF(ISNUMBER(SEARCH("Other",C322)),COUNTIFS('RawData'!B:B,B322,'RawData'!C:C,"&lt;&gt;*World*"),IF(OR(G322="",G322=0),"-",SUMPRODUCT(('RawData'!B$2:B$822=B322)*('RawData'!G$2:G$822&gt;G322)*(ISERROR(SEARCH("World",'RawData'!C$2:C$822)))*(ISERROR(SEARCH("Other",'RawData'!C$2:C$822))))+1)))</f>
        <v>12</v>
      </c>
      <c r="K322" s="14">
        <f>IF(ISNUMBER(SEARCH("World",'RawData'!C356)),"",'RawData'!H356)</f>
        <v>0</v>
      </c>
      <c r="L322" s="14">
        <f>IF(ISNUMBER(SEARCH("World",'RawData'!C356)),"",SUMIFS('RawData'!H:H,'RawData'!B:B,'RawData'!B356,'RawData'!C:C,"*World*"))</f>
        <v>0</v>
      </c>
      <c r="M322" s="15" t="str">
        <f>IF(ISNUMBER(SEARCH("World",'RawData'!C356)),"",IFERROR(K322/L322,"-"))</f>
        <v>-</v>
      </c>
      <c r="N322" s="7" t="str">
        <f>IF(ISNUMBER(SEARCH("World",'RawData'!C356)),"",IF(ISNUMBER(SEARCH("Other",C322)),COUNTIFS('RawData'!B:B,B322,'RawData'!C:C,"&lt;&gt;*World*"),IF(OR(K322="",K322=0),"-",SUMPRODUCT(('RawData'!B$2:B$822=B322)*('RawData'!H$2:H$822&gt;K322)*(ISERROR(SEARCH("World",'RawData'!C$2:C$822)))*(ISERROR(SEARCH("Other",'RawData'!C$2:C$822))))+1)))</f>
        <v>-</v>
      </c>
    </row>
    <row r="323" spans="1:14" x14ac:dyDescent="0.3">
      <c r="A323" s="4" t="str">
        <f>IF(ISNUMBER(SEARCH("World",'RawData'!C357)),"",'RawData'!A357)</f>
        <v>MCS2026</v>
      </c>
      <c r="B323" s="4" t="str">
        <f>IF(ISNUMBER(SEARCH("World",'RawData'!C357)),"",'RawData'!B357)</f>
        <v>Limestone</v>
      </c>
      <c r="C323" s="4" t="str">
        <f>IF(ISNUMBER(SEARCH("World",'RawData'!C357)),"",'RawData'!C357)</f>
        <v>Japan</v>
      </c>
      <c r="D323" s="4" t="str">
        <f>IF(ISNUMBER(SEARCH("World",'RawData'!C357)),"",'RawData'!D357)</f>
        <v>Plant production, lime</v>
      </c>
      <c r="E323" s="4" t="str">
        <f>IF(ISNUMBER(SEARCH("World",'RawData'!C357)),"",IF('RawData'!E357="WT001","kg",IF('RawData'!E357="WT002","ton",IF('RawData'!E357="WT003","k ton",""))))</f>
        <v>k ton</v>
      </c>
      <c r="F323" s="14">
        <f>IF(ISNUMBER(SEARCH("World",'RawData'!C357)),"",'RawData'!F357)</f>
        <v>5870</v>
      </c>
      <c r="G323" s="14">
        <f>IF(ISNUMBER(SEARCH("World",'RawData'!C357)),"",'RawData'!G357)</f>
        <v>5900</v>
      </c>
      <c r="H323" s="14">
        <f>IF(ISNUMBER(SEARCH("World",'RawData'!C357)),"",SUMIFS('RawData'!G:G,'RawData'!B:B,'RawData'!B357,'RawData'!C:C,"*World*"))</f>
        <v>420000</v>
      </c>
      <c r="I323" s="15">
        <f>IF(ISNUMBER(SEARCH("World",'RawData'!C357)),"",IFERROR(G323/H323,"-"))</f>
        <v>1.4047619047619048E-2</v>
      </c>
      <c r="J323" s="7">
        <f>IF(ISNUMBER(SEARCH("World",'RawData'!C357)),"",IF(ISNUMBER(SEARCH("Other",C323)),COUNTIFS('RawData'!B:B,B323,'RawData'!C:C,"&lt;&gt;*World*"),IF(OR(G323="",G323=0),"-",SUMPRODUCT(('RawData'!B$2:B$822=B323)*('RawData'!G$2:G$822&gt;G323)*(ISERROR(SEARCH("World",'RawData'!C$2:C$822)))*(ISERROR(SEARCH("Other",'RawData'!C$2:C$822))))+1)))</f>
        <v>6</v>
      </c>
      <c r="K323" s="14">
        <f>IF(ISNUMBER(SEARCH("World",'RawData'!C357)),"",'RawData'!H357)</f>
        <v>0</v>
      </c>
      <c r="L323" s="14">
        <f>IF(ISNUMBER(SEARCH("World",'RawData'!C357)),"",SUMIFS('RawData'!H:H,'RawData'!B:B,'RawData'!B357,'RawData'!C:C,"*World*"))</f>
        <v>0</v>
      </c>
      <c r="M323" s="15" t="str">
        <f>IF(ISNUMBER(SEARCH("World",'RawData'!C357)),"",IFERROR(K323/L323,"-"))</f>
        <v>-</v>
      </c>
      <c r="N323" s="7" t="str">
        <f>IF(ISNUMBER(SEARCH("World",'RawData'!C357)),"",IF(ISNUMBER(SEARCH("Other",C323)),COUNTIFS('RawData'!B:B,B323,'RawData'!C:C,"&lt;&gt;*World*"),IF(OR(K323="",K323=0),"-",SUMPRODUCT(('RawData'!B$2:B$822=B323)*('RawData'!H$2:H$822&gt;K323)*(ISERROR(SEARCH("World",'RawData'!C$2:C$822)))*(ISERROR(SEARCH("Other",'RawData'!C$2:C$822))))+1)))</f>
        <v>-</v>
      </c>
    </row>
    <row r="324" spans="1:14" x14ac:dyDescent="0.3">
      <c r="A324" s="4" t="str">
        <f>IF(ISNUMBER(SEARCH("World",'RawData'!C358)),"",'RawData'!A358)</f>
        <v>MCS2026</v>
      </c>
      <c r="B324" s="4" t="str">
        <f>IF(ISNUMBER(SEARCH("World",'RawData'!C358)),"",'RawData'!B358)</f>
        <v>Limestone</v>
      </c>
      <c r="C324" s="4" t="str">
        <f>IF(ISNUMBER(SEARCH("World",'RawData'!C358)),"",'RawData'!C358)</f>
        <v>Malaysia</v>
      </c>
      <c r="D324" s="4" t="str">
        <f>IF(ISNUMBER(SEARCH("World",'RawData'!C358)),"",'RawData'!D358)</f>
        <v>Plant production, lime</v>
      </c>
      <c r="E324" s="4" t="str">
        <f>IF(ISNUMBER(SEARCH("World",'RawData'!C358)),"",IF('RawData'!E358="WT001","kg",IF('RawData'!E358="WT002","ton",IF('RawData'!E358="WT003","k ton",""))))</f>
        <v>k ton</v>
      </c>
      <c r="F324" s="14">
        <f>IF(ISNUMBER(SEARCH("World",'RawData'!C358)),"",'RawData'!F358)</f>
        <v>1400</v>
      </c>
      <c r="G324" s="14">
        <f>IF(ISNUMBER(SEARCH("World",'RawData'!C358)),"",'RawData'!G358)</f>
        <v>1400</v>
      </c>
      <c r="H324" s="14">
        <f>IF(ISNUMBER(SEARCH("World",'RawData'!C358)),"",SUMIFS('RawData'!G:G,'RawData'!B:B,'RawData'!B358,'RawData'!C:C,"*World*"))</f>
        <v>420000</v>
      </c>
      <c r="I324" s="15">
        <f>IF(ISNUMBER(SEARCH("World",'RawData'!C358)),"",IFERROR(G324/H324,"-"))</f>
        <v>3.3333333333333335E-3</v>
      </c>
      <c r="J324" s="7">
        <f>IF(ISNUMBER(SEARCH("World",'RawData'!C358)),"",IF(ISNUMBER(SEARCH("Other",C324)),COUNTIFS('RawData'!B:B,B324,'RawData'!C:C,"&lt;&gt;*World*"),IF(OR(G324="",G324=0),"-",SUMPRODUCT(('RawData'!B$2:B$822=B324)*('RawData'!G$2:G$822&gt;G324)*(ISERROR(SEARCH("World",'RawData'!C$2:C$822)))*(ISERROR(SEARCH("Other",'RawData'!C$2:C$822))))+1)))</f>
        <v>16</v>
      </c>
      <c r="K324" s="14">
        <f>IF(ISNUMBER(SEARCH("World",'RawData'!C358)),"",'RawData'!H358)</f>
        <v>0</v>
      </c>
      <c r="L324" s="14">
        <f>IF(ISNUMBER(SEARCH("World",'RawData'!C358)),"",SUMIFS('RawData'!H:H,'RawData'!B:B,'RawData'!B358,'RawData'!C:C,"*World*"))</f>
        <v>0</v>
      </c>
      <c r="M324" s="15" t="str">
        <f>IF(ISNUMBER(SEARCH("World",'RawData'!C358)),"",IFERROR(K324/L324,"-"))</f>
        <v>-</v>
      </c>
      <c r="N324" s="7" t="str">
        <f>IF(ISNUMBER(SEARCH("World",'RawData'!C358)),"",IF(ISNUMBER(SEARCH("Other",C324)),COUNTIFS('RawData'!B:B,B324,'RawData'!C:C,"&lt;&gt;*World*"),IF(OR(K324="",K324=0),"-",SUMPRODUCT(('RawData'!B$2:B$822=B324)*('RawData'!H$2:H$822&gt;K324)*(ISERROR(SEARCH("World",'RawData'!C$2:C$822)))*(ISERROR(SEARCH("Other",'RawData'!C$2:C$822))))+1)))</f>
        <v>-</v>
      </c>
    </row>
    <row r="325" spans="1:14" x14ac:dyDescent="0.3">
      <c r="A325" s="4" t="str">
        <f>IF(ISNUMBER(SEARCH("World",'RawData'!C359)),"",'RawData'!A359)</f>
        <v>MCS2026</v>
      </c>
      <c r="B325" s="4" t="str">
        <f>IF(ISNUMBER(SEARCH("World",'RawData'!C359)),"",'RawData'!B359)</f>
        <v>Limestone</v>
      </c>
      <c r="C325" s="4" t="str">
        <f>IF(ISNUMBER(SEARCH("World",'RawData'!C359)),"",'RawData'!C359)</f>
        <v>Other Countries</v>
      </c>
      <c r="D325" s="4" t="str">
        <f>IF(ISNUMBER(SEARCH("World",'RawData'!C359)),"",'RawData'!D359)</f>
        <v>Plant production, lime</v>
      </c>
      <c r="E325" s="4" t="str">
        <f>IF(ISNUMBER(SEARCH("World",'RawData'!C359)),"",IF('RawData'!E359="WT001","kg",IF('RawData'!E359="WT002","ton",IF('RawData'!E359="WT003","k ton",""))))</f>
        <v>k ton</v>
      </c>
      <c r="F325" s="14">
        <f>IF(ISNUMBER(SEARCH("World",'RawData'!C359)),"",'RawData'!F359)</f>
        <v>16200</v>
      </c>
      <c r="G325" s="14">
        <f>IF(ISNUMBER(SEARCH("World",'RawData'!C359)),"",'RawData'!G359)</f>
        <v>16000</v>
      </c>
      <c r="H325" s="14">
        <f>IF(ISNUMBER(SEARCH("World",'RawData'!C359)),"",SUMIFS('RawData'!G:G,'RawData'!B:B,'RawData'!B359,'RawData'!C:C,"*World*"))</f>
        <v>420000</v>
      </c>
      <c r="I325" s="15">
        <f>IF(ISNUMBER(SEARCH("World",'RawData'!C359)),"",IFERROR(G325/H325,"-"))</f>
        <v>3.8095238095238099E-2</v>
      </c>
      <c r="J325" s="7">
        <f>IF(ISNUMBER(SEARCH("World",'RawData'!C359)),"",IF(ISNUMBER(SEARCH("Other",C325)),COUNTIFS('RawData'!B:B,B325,'RawData'!C:C,"&lt;&gt;*World*"),IF(OR(G325="",G325=0),"-",SUMPRODUCT(('RawData'!B$2:B$822=B325)*('RawData'!G$2:G$822&gt;G325)*(ISERROR(SEARCH("World",'RawData'!C$2:C$822)))*(ISERROR(SEARCH("Other",'RawData'!C$2:C$822))))+1)))</f>
        <v>23</v>
      </c>
      <c r="K325" s="14">
        <f>IF(ISNUMBER(SEARCH("World",'RawData'!C359)),"",'RawData'!H359)</f>
        <v>0</v>
      </c>
      <c r="L325" s="14">
        <f>IF(ISNUMBER(SEARCH("World",'RawData'!C359)),"",SUMIFS('RawData'!H:H,'RawData'!B:B,'RawData'!B359,'RawData'!C:C,"*World*"))</f>
        <v>0</v>
      </c>
      <c r="M325" s="15" t="str">
        <f>IF(ISNUMBER(SEARCH("World",'RawData'!C359)),"",IFERROR(K325/L325,"-"))</f>
        <v>-</v>
      </c>
      <c r="N325" s="7">
        <f>IF(ISNUMBER(SEARCH("World",'RawData'!C359)),"",IF(ISNUMBER(SEARCH("Other",C325)),COUNTIFS('RawData'!B:B,B325,'RawData'!C:C,"&lt;&gt;*World*"),IF(OR(K325="",K325=0),"-",SUMPRODUCT(('RawData'!B$2:B$822=B325)*('RawData'!H$2:H$822&gt;K325)*(ISERROR(SEARCH("World",'RawData'!C$2:C$822)))*(ISERROR(SEARCH("Other",'RawData'!C$2:C$822))))+1)))</f>
        <v>23</v>
      </c>
    </row>
    <row r="326" spans="1:14" x14ac:dyDescent="0.3">
      <c r="A326" s="4" t="str">
        <f>IF(ISNUMBER(SEARCH("World",'RawData'!C360)),"",'RawData'!A360)</f>
        <v>MCS2026</v>
      </c>
      <c r="B326" s="4" t="str">
        <f>IF(ISNUMBER(SEARCH("World",'RawData'!C360)),"",'RawData'!B360)</f>
        <v>Limestone</v>
      </c>
      <c r="C326" s="4" t="str">
        <f>IF(ISNUMBER(SEARCH("World",'RawData'!C360)),"",'RawData'!C360)</f>
        <v>Poland</v>
      </c>
      <c r="D326" s="4" t="str">
        <f>IF(ISNUMBER(SEARCH("World",'RawData'!C360)),"",'RawData'!D360)</f>
        <v>Plant production, lime</v>
      </c>
      <c r="E326" s="4" t="str">
        <f>IF(ISNUMBER(SEARCH("World",'RawData'!C360)),"",IF('RawData'!E360="WT001","kg",IF('RawData'!E360="WT002","ton",IF('RawData'!E360="WT003","k ton",""))))</f>
        <v>k ton</v>
      </c>
      <c r="F326" s="14">
        <f>IF(ISNUMBER(SEARCH("World",'RawData'!C360)),"",'RawData'!F360)</f>
        <v>1290</v>
      </c>
      <c r="G326" s="14">
        <f>IF(ISNUMBER(SEARCH("World",'RawData'!C360)),"",'RawData'!G360)</f>
        <v>1300</v>
      </c>
      <c r="H326" s="14">
        <f>IF(ISNUMBER(SEARCH("World",'RawData'!C360)),"",SUMIFS('RawData'!G:G,'RawData'!B:B,'RawData'!B360,'RawData'!C:C,"*World*"))</f>
        <v>420000</v>
      </c>
      <c r="I326" s="15">
        <f>IF(ISNUMBER(SEARCH("World",'RawData'!C360)),"",IFERROR(G326/H326,"-"))</f>
        <v>3.0952380952380953E-3</v>
      </c>
      <c r="J326" s="7">
        <f>IF(ISNUMBER(SEARCH("World",'RawData'!C360)),"",IF(ISNUMBER(SEARCH("Other",C326)),COUNTIFS('RawData'!B:B,B326,'RawData'!C:C,"&lt;&gt;*World*"),IF(OR(G326="",G326=0),"-",SUMPRODUCT(('RawData'!B$2:B$822=B326)*('RawData'!G$2:G$822&gt;G326)*(ISERROR(SEARCH("World",'RawData'!C$2:C$822)))*(ISERROR(SEARCH("Other",'RawData'!C$2:C$822))))+1)))</f>
        <v>17</v>
      </c>
      <c r="K326" s="14">
        <f>IF(ISNUMBER(SEARCH("World",'RawData'!C360)),"",'RawData'!H360)</f>
        <v>0</v>
      </c>
      <c r="L326" s="14">
        <f>IF(ISNUMBER(SEARCH("World",'RawData'!C360)),"",SUMIFS('RawData'!H:H,'RawData'!B:B,'RawData'!B360,'RawData'!C:C,"*World*"))</f>
        <v>0</v>
      </c>
      <c r="M326" s="15" t="str">
        <f>IF(ISNUMBER(SEARCH("World",'RawData'!C360)),"",IFERROR(K326/L326,"-"))</f>
        <v>-</v>
      </c>
      <c r="N326" s="7" t="str">
        <f>IF(ISNUMBER(SEARCH("World",'RawData'!C360)),"",IF(ISNUMBER(SEARCH("Other",C326)),COUNTIFS('RawData'!B:B,B326,'RawData'!C:C,"&lt;&gt;*World*"),IF(OR(K326="",K326=0),"-",SUMPRODUCT(('RawData'!B$2:B$822=B326)*('RawData'!H$2:H$822&gt;K326)*(ISERROR(SEARCH("World",'RawData'!C$2:C$822)))*(ISERROR(SEARCH("Other",'RawData'!C$2:C$822))))+1)))</f>
        <v>-</v>
      </c>
    </row>
    <row r="327" spans="1:14" x14ac:dyDescent="0.3">
      <c r="A327" s="4" t="str">
        <f>IF(ISNUMBER(SEARCH("World",'RawData'!C361)),"",'RawData'!A361)</f>
        <v>MCS2026</v>
      </c>
      <c r="B327" s="4" t="str">
        <f>IF(ISNUMBER(SEARCH("World",'RawData'!C361)),"",'RawData'!B361)</f>
        <v>Limestone</v>
      </c>
      <c r="C327" s="4" t="str">
        <f>IF(ISNUMBER(SEARCH("World",'RawData'!C361)),"",'RawData'!C361)</f>
        <v>Turkiye</v>
      </c>
      <c r="D327" s="4" t="str">
        <f>IF(ISNUMBER(SEARCH("World",'RawData'!C361)),"",'RawData'!D361)</f>
        <v>Plant production, lime</v>
      </c>
      <c r="E327" s="4" t="str">
        <f>IF(ISNUMBER(SEARCH("World",'RawData'!C361)),"",IF('RawData'!E361="WT001","kg",IF('RawData'!E361="WT002","ton",IF('RawData'!E361="WT003","k ton",""))))</f>
        <v>k ton</v>
      </c>
      <c r="F327" s="14">
        <f>IF(ISNUMBER(SEARCH("World",'RawData'!C361)),"",'RawData'!F361)</f>
        <v>4000</v>
      </c>
      <c r="G327" s="14">
        <f>IF(ISNUMBER(SEARCH("World",'RawData'!C361)),"",'RawData'!G361)</f>
        <v>4000</v>
      </c>
      <c r="H327" s="14">
        <f>IF(ISNUMBER(SEARCH("World",'RawData'!C361)),"",SUMIFS('RawData'!G:G,'RawData'!B:B,'RawData'!B361,'RawData'!C:C,"*World*"))</f>
        <v>420000</v>
      </c>
      <c r="I327" s="15">
        <f>IF(ISNUMBER(SEARCH("World",'RawData'!C361)),"",IFERROR(G327/H327,"-"))</f>
        <v>9.5238095238095247E-3</v>
      </c>
      <c r="J327" s="7">
        <f>IF(ISNUMBER(SEARCH("World",'RawData'!C361)),"",IF(ISNUMBER(SEARCH("Other",C327)),COUNTIFS('RawData'!B:B,B327,'RawData'!C:C,"&lt;&gt;*World*"),IF(OR(G327="",G327=0),"-",SUMPRODUCT(('RawData'!B$2:B$822=B327)*('RawData'!G$2:G$822&gt;G327)*(ISERROR(SEARCH("World",'RawData'!C$2:C$822)))*(ISERROR(SEARCH("Other",'RawData'!C$2:C$822))))+1)))</f>
        <v>9</v>
      </c>
      <c r="K327" s="14">
        <f>IF(ISNUMBER(SEARCH("World",'RawData'!C361)),"",'RawData'!H361)</f>
        <v>0</v>
      </c>
      <c r="L327" s="14">
        <f>IF(ISNUMBER(SEARCH("World",'RawData'!C361)),"",SUMIFS('RawData'!H:H,'RawData'!B:B,'RawData'!B361,'RawData'!C:C,"*World*"))</f>
        <v>0</v>
      </c>
      <c r="M327" s="15" t="str">
        <f>IF(ISNUMBER(SEARCH("World",'RawData'!C361)),"",IFERROR(K327/L327,"-"))</f>
        <v>-</v>
      </c>
      <c r="N327" s="7" t="str">
        <f>IF(ISNUMBER(SEARCH("World",'RawData'!C361)),"",IF(ISNUMBER(SEARCH("Other",C327)),COUNTIFS('RawData'!B:B,B327,'RawData'!C:C,"&lt;&gt;*World*"),IF(OR(K327="",K327=0),"-",SUMPRODUCT(('RawData'!B$2:B$822=B327)*('RawData'!H$2:H$822&gt;K327)*(ISERROR(SEARCH("World",'RawData'!C$2:C$822)))*(ISERROR(SEARCH("Other",'RawData'!C$2:C$822))))+1)))</f>
        <v>-</v>
      </c>
    </row>
    <row r="328" spans="1:14" x14ac:dyDescent="0.3">
      <c r="A328" s="4" t="str">
        <f>IF(ISNUMBER(SEARCH("World",'RawData'!C362)),"",'RawData'!A362)</f>
        <v>MCS2026</v>
      </c>
      <c r="B328" s="4" t="str">
        <f>IF(ISNUMBER(SEARCH("World",'RawData'!C362)),"",'RawData'!B362)</f>
        <v>Limestone</v>
      </c>
      <c r="C328" s="4" t="str">
        <f>IF(ISNUMBER(SEARCH("World",'RawData'!C362)),"",'RawData'!C362)</f>
        <v xml:space="preserve">Russia </v>
      </c>
      <c r="D328" s="4" t="str">
        <f>IF(ISNUMBER(SEARCH("World",'RawData'!C362)),"",'RawData'!D362)</f>
        <v>Plant production, lime</v>
      </c>
      <c r="E328" s="4" t="str">
        <f>IF(ISNUMBER(SEARCH("World",'RawData'!C362)),"",IF('RawData'!E362="WT001","kg",IF('RawData'!E362="WT002","ton",IF('RawData'!E362="WT003","k ton",""))))</f>
        <v>k ton</v>
      </c>
      <c r="F328" s="14">
        <f>IF(ISNUMBER(SEARCH("World",'RawData'!C362)),"",'RawData'!F362)</f>
        <v>11800</v>
      </c>
      <c r="G328" s="14">
        <f>IF(ISNUMBER(SEARCH("World",'RawData'!C362)),"",'RawData'!G362)</f>
        <v>12000</v>
      </c>
      <c r="H328" s="14">
        <f>IF(ISNUMBER(SEARCH("World",'RawData'!C362)),"",SUMIFS('RawData'!G:G,'RawData'!B:B,'RawData'!B362,'RawData'!C:C,"*World*"))</f>
        <v>420000</v>
      </c>
      <c r="I328" s="15">
        <f>IF(ISNUMBER(SEARCH("World",'RawData'!C362)),"",IFERROR(G328/H328,"-"))</f>
        <v>2.8571428571428571E-2</v>
      </c>
      <c r="J328" s="7">
        <f>IF(ISNUMBER(SEARCH("World",'RawData'!C362)),"",IF(ISNUMBER(SEARCH("Other",C328)),COUNTIFS('RawData'!B:B,B328,'RawData'!C:C,"&lt;&gt;*World*"),IF(OR(G328="",G328=0),"-",SUMPRODUCT(('RawData'!B$2:B$822=B328)*('RawData'!G$2:G$822&gt;G328)*(ISERROR(SEARCH("World",'RawData'!C$2:C$822)))*(ISERROR(SEARCH("Other",'RawData'!C$2:C$822))))+1)))</f>
        <v>4</v>
      </c>
      <c r="K328" s="14">
        <f>IF(ISNUMBER(SEARCH("World",'RawData'!C362)),"",'RawData'!H362)</f>
        <v>0</v>
      </c>
      <c r="L328" s="14">
        <f>IF(ISNUMBER(SEARCH("World",'RawData'!C362)),"",SUMIFS('RawData'!H:H,'RawData'!B:B,'RawData'!B362,'RawData'!C:C,"*World*"))</f>
        <v>0</v>
      </c>
      <c r="M328" s="15" t="str">
        <f>IF(ISNUMBER(SEARCH("World",'RawData'!C362)),"",IFERROR(K328/L328,"-"))</f>
        <v>-</v>
      </c>
      <c r="N328" s="7" t="str">
        <f>IF(ISNUMBER(SEARCH("World",'RawData'!C362)),"",IF(ISNUMBER(SEARCH("Other",C328)),COUNTIFS('RawData'!B:B,B328,'RawData'!C:C,"&lt;&gt;*World*"),IF(OR(K328="",K328=0),"-",SUMPRODUCT(('RawData'!B$2:B$822=B328)*('RawData'!H$2:H$822&gt;K328)*(ISERROR(SEARCH("World",'RawData'!C$2:C$822)))*(ISERROR(SEARCH("Other",'RawData'!C$2:C$822))))+1)))</f>
        <v>-</v>
      </c>
    </row>
    <row r="329" spans="1:14" x14ac:dyDescent="0.3">
      <c r="A329" s="4" t="str">
        <f>IF(ISNUMBER(SEARCH("World",'RawData'!C363)),"",'RawData'!A363)</f>
        <v>MCS2026</v>
      </c>
      <c r="B329" s="4" t="str">
        <f>IF(ISNUMBER(SEARCH("World",'RawData'!C363)),"",'RawData'!B363)</f>
        <v>Limestone</v>
      </c>
      <c r="C329" s="4" t="str">
        <f>IF(ISNUMBER(SEARCH("World",'RawData'!C363)),"",'RawData'!C363)</f>
        <v xml:space="preserve">South Africa </v>
      </c>
      <c r="D329" s="4" t="str">
        <f>IF(ISNUMBER(SEARCH("World",'RawData'!C363)),"",'RawData'!D363)</f>
        <v>Plant production, lime</v>
      </c>
      <c r="E329" s="4" t="str">
        <f>IF(ISNUMBER(SEARCH("World",'RawData'!C363)),"",IF('RawData'!E363="WT001","kg",IF('RawData'!E363="WT002","ton",IF('RawData'!E363="WT003","k ton",""))))</f>
        <v>k ton</v>
      </c>
      <c r="F329" s="14">
        <f>IF(ISNUMBER(SEARCH("World",'RawData'!C363)),"",'RawData'!F363)</f>
        <v>1000</v>
      </c>
      <c r="G329" s="14">
        <f>IF(ISNUMBER(SEARCH("World",'RawData'!C363)),"",'RawData'!G363)</f>
        <v>1000</v>
      </c>
      <c r="H329" s="14">
        <f>IF(ISNUMBER(SEARCH("World",'RawData'!C363)),"",SUMIFS('RawData'!G:G,'RawData'!B:B,'RawData'!B363,'RawData'!C:C,"*World*"))</f>
        <v>420000</v>
      </c>
      <c r="I329" s="15">
        <f>IF(ISNUMBER(SEARCH("World",'RawData'!C363)),"",IFERROR(G329/H329,"-"))</f>
        <v>2.3809523809523812E-3</v>
      </c>
      <c r="J329" s="7">
        <f>IF(ISNUMBER(SEARCH("World",'RawData'!C363)),"",IF(ISNUMBER(SEARCH("Other",C329)),COUNTIFS('RawData'!B:B,B329,'RawData'!C:C,"&lt;&gt;*World*"),IF(OR(G329="",G329=0),"-",SUMPRODUCT(('RawData'!B$2:B$822=B329)*('RawData'!G$2:G$822&gt;G329)*(ISERROR(SEARCH("World",'RawData'!C$2:C$822)))*(ISERROR(SEARCH("Other",'RawData'!C$2:C$822))))+1)))</f>
        <v>22</v>
      </c>
      <c r="K329" s="14">
        <f>IF(ISNUMBER(SEARCH("World",'RawData'!C363)),"",'RawData'!H363)</f>
        <v>0</v>
      </c>
      <c r="L329" s="14">
        <f>IF(ISNUMBER(SEARCH("World",'RawData'!C363)),"",SUMIFS('RawData'!H:H,'RawData'!B:B,'RawData'!B363,'RawData'!C:C,"*World*"))</f>
        <v>0</v>
      </c>
      <c r="M329" s="15" t="str">
        <f>IF(ISNUMBER(SEARCH("World",'RawData'!C363)),"",IFERROR(K329/L329,"-"))</f>
        <v>-</v>
      </c>
      <c r="N329" s="7" t="str">
        <f>IF(ISNUMBER(SEARCH("World",'RawData'!C363)),"",IF(ISNUMBER(SEARCH("Other",C329)),COUNTIFS('RawData'!B:B,B329,'RawData'!C:C,"&lt;&gt;*World*"),IF(OR(K329="",K329=0),"-",SUMPRODUCT(('RawData'!B$2:B$822=B329)*('RawData'!H$2:H$822&gt;K329)*(ISERROR(SEARCH("World",'RawData'!C$2:C$822)))*(ISERROR(SEARCH("Other",'RawData'!C$2:C$822))))+1)))</f>
        <v>-</v>
      </c>
    </row>
    <row r="330" spans="1:14" x14ac:dyDescent="0.3">
      <c r="A330" s="4" t="str">
        <f>IF(ISNUMBER(SEARCH("World",'RawData'!C364)),"",'RawData'!A364)</f>
        <v>MCS2026</v>
      </c>
      <c r="B330" s="4" t="str">
        <f>IF(ISNUMBER(SEARCH("World",'RawData'!C364)),"",'RawData'!B364)</f>
        <v>Limestone</v>
      </c>
      <c r="C330" s="4" t="str">
        <f>IF(ISNUMBER(SEARCH("World",'RawData'!C364)),"",'RawData'!C364)</f>
        <v>South Korea</v>
      </c>
      <c r="D330" s="4" t="str">
        <f>IF(ISNUMBER(SEARCH("World",'RawData'!C364)),"",'RawData'!D364)</f>
        <v>Plant production, lime</v>
      </c>
      <c r="E330" s="4" t="str">
        <f>IF(ISNUMBER(SEARCH("World",'RawData'!C364)),"",IF('RawData'!E364="WT001","kg",IF('RawData'!E364="WT002","ton",IF('RawData'!E364="WT003","k ton",""))))</f>
        <v>k ton</v>
      </c>
      <c r="F330" s="14">
        <f>IF(ISNUMBER(SEARCH("World",'RawData'!C364)),"",'RawData'!F364)</f>
        <v>5000</v>
      </c>
      <c r="G330" s="14">
        <f>IF(ISNUMBER(SEARCH("World",'RawData'!C364)),"",'RawData'!G364)</f>
        <v>5000</v>
      </c>
      <c r="H330" s="14">
        <f>IF(ISNUMBER(SEARCH("World",'RawData'!C364)),"",SUMIFS('RawData'!G:G,'RawData'!B:B,'RawData'!B364,'RawData'!C:C,"*World*"))</f>
        <v>420000</v>
      </c>
      <c r="I330" s="15">
        <f>IF(ISNUMBER(SEARCH("World",'RawData'!C364)),"",IFERROR(G330/H330,"-"))</f>
        <v>1.1904761904761904E-2</v>
      </c>
      <c r="J330" s="7">
        <f>IF(ISNUMBER(SEARCH("World",'RawData'!C364)),"",IF(ISNUMBER(SEARCH("Other",C330)),COUNTIFS('RawData'!B:B,B330,'RawData'!C:C,"&lt;&gt;*World*"),IF(OR(G330="",G330=0),"-",SUMPRODUCT(('RawData'!B$2:B$822=B330)*('RawData'!G$2:G$822&gt;G330)*(ISERROR(SEARCH("World",'RawData'!C$2:C$822)))*(ISERROR(SEARCH("Other",'RawData'!C$2:C$822))))+1)))</f>
        <v>7</v>
      </c>
      <c r="K330" s="14">
        <f>IF(ISNUMBER(SEARCH("World",'RawData'!C364)),"",'RawData'!H364)</f>
        <v>0</v>
      </c>
      <c r="L330" s="14">
        <f>IF(ISNUMBER(SEARCH("World",'RawData'!C364)),"",SUMIFS('RawData'!H:H,'RawData'!B:B,'RawData'!B364,'RawData'!C:C,"*World*"))</f>
        <v>0</v>
      </c>
      <c r="M330" s="15" t="str">
        <f>IF(ISNUMBER(SEARCH("World",'RawData'!C364)),"",IFERROR(K330/L330,"-"))</f>
        <v>-</v>
      </c>
      <c r="N330" s="7" t="str">
        <f>IF(ISNUMBER(SEARCH("World",'RawData'!C364)),"",IF(ISNUMBER(SEARCH("Other",C330)),COUNTIFS('RawData'!B:B,B330,'RawData'!C:C,"&lt;&gt;*World*"),IF(OR(K330="",K330=0),"-",SUMPRODUCT(('RawData'!B$2:B$822=B330)*('RawData'!H$2:H$822&gt;K330)*(ISERROR(SEARCH("World",'RawData'!C$2:C$822)))*(ISERROR(SEARCH("Other",'RawData'!C$2:C$822))))+1)))</f>
        <v>-</v>
      </c>
    </row>
    <row r="331" spans="1:14" x14ac:dyDescent="0.3">
      <c r="A331" s="4" t="str">
        <f>IF(ISNUMBER(SEARCH("World",'RawData'!C365)),"",'RawData'!A365)</f>
        <v>MCS2026</v>
      </c>
      <c r="B331" s="4" t="str">
        <f>IF(ISNUMBER(SEARCH("World",'RawData'!C365)),"",'RawData'!B365)</f>
        <v>Limestone</v>
      </c>
      <c r="C331" s="4" t="str">
        <f>IF(ISNUMBER(SEARCH("World",'RawData'!C365)),"",'RawData'!C365)</f>
        <v>Spain</v>
      </c>
      <c r="D331" s="4" t="str">
        <f>IF(ISNUMBER(SEARCH("World",'RawData'!C365)),"",'RawData'!D365)</f>
        <v>Plant production, lime</v>
      </c>
      <c r="E331" s="4" t="str">
        <f>IF(ISNUMBER(SEARCH("World",'RawData'!C365)),"",IF('RawData'!E365="WT001","kg",IF('RawData'!E365="WT002","ton",IF('RawData'!E365="WT003","k ton",""))))</f>
        <v>k ton</v>
      </c>
      <c r="F331" s="14">
        <f>IF(ISNUMBER(SEARCH("World",'RawData'!C365)),"",'RawData'!F365)</f>
        <v>1700</v>
      </c>
      <c r="G331" s="14">
        <f>IF(ISNUMBER(SEARCH("World",'RawData'!C365)),"",'RawData'!G365)</f>
        <v>1700</v>
      </c>
      <c r="H331" s="14">
        <f>IF(ISNUMBER(SEARCH("World",'RawData'!C365)),"",SUMIFS('RawData'!G:G,'RawData'!B:B,'RawData'!B365,'RawData'!C:C,"*World*"))</f>
        <v>420000</v>
      </c>
      <c r="I331" s="15">
        <f>IF(ISNUMBER(SEARCH("World",'RawData'!C365)),"",IFERROR(G331/H331,"-"))</f>
        <v>4.0476190476190473E-3</v>
      </c>
      <c r="J331" s="7">
        <f>IF(ISNUMBER(SEARCH("World",'RawData'!C365)),"",IF(ISNUMBER(SEARCH("Other",C331)),COUNTIFS('RawData'!B:B,B331,'RawData'!C:C,"&lt;&gt;*World*"),IF(OR(G331="",G331=0),"-",SUMPRODUCT(('RawData'!B$2:B$822=B331)*('RawData'!G$2:G$822&gt;G331)*(ISERROR(SEARCH("World",'RawData'!C$2:C$822)))*(ISERROR(SEARCH("Other",'RawData'!C$2:C$822))))+1)))</f>
        <v>14</v>
      </c>
      <c r="K331" s="14">
        <f>IF(ISNUMBER(SEARCH("World",'RawData'!C365)),"",'RawData'!H365)</f>
        <v>0</v>
      </c>
      <c r="L331" s="14">
        <f>IF(ISNUMBER(SEARCH("World",'RawData'!C365)),"",SUMIFS('RawData'!H:H,'RawData'!B:B,'RawData'!B365,'RawData'!C:C,"*World*"))</f>
        <v>0</v>
      </c>
      <c r="M331" s="15" t="str">
        <f>IF(ISNUMBER(SEARCH("World",'RawData'!C365)),"",IFERROR(K331/L331,"-"))</f>
        <v>-</v>
      </c>
      <c r="N331" s="7" t="str">
        <f>IF(ISNUMBER(SEARCH("World",'RawData'!C365)),"",IF(ISNUMBER(SEARCH("Other",C331)),COUNTIFS('RawData'!B:B,B331,'RawData'!C:C,"&lt;&gt;*World*"),IF(OR(K331="",K331=0),"-",SUMPRODUCT(('RawData'!B$2:B$822=B331)*('RawData'!H$2:H$822&gt;K331)*(ISERROR(SEARCH("World",'RawData'!C$2:C$822)))*(ISERROR(SEARCH("Other",'RawData'!C$2:C$822))))+1)))</f>
        <v>-</v>
      </c>
    </row>
    <row r="332" spans="1:14" x14ac:dyDescent="0.3">
      <c r="A332" s="4" t="str">
        <f>IF(ISNUMBER(SEARCH("World",'RawData'!C366)),"",'RawData'!A366)</f>
        <v>MCS2026</v>
      </c>
      <c r="B332" s="4" t="str">
        <f>IF(ISNUMBER(SEARCH("World",'RawData'!C366)),"",'RawData'!B366)</f>
        <v>Limestone</v>
      </c>
      <c r="C332" s="4" t="str">
        <f>IF(ISNUMBER(SEARCH("World",'RawData'!C366)),"",'RawData'!C366)</f>
        <v>Ukraine</v>
      </c>
      <c r="D332" s="4" t="str">
        <f>IF(ISNUMBER(SEARCH("World",'RawData'!C366)),"",'RawData'!D366)</f>
        <v>Plant production, lime</v>
      </c>
      <c r="E332" s="4" t="str">
        <f>IF(ISNUMBER(SEARCH("World",'RawData'!C366)),"",IF('RawData'!E366="WT001","kg",IF('RawData'!E366="WT002","ton",IF('RawData'!E366="WT003","k ton",""))))</f>
        <v>k ton</v>
      </c>
      <c r="F332" s="14">
        <f>IF(ISNUMBER(SEARCH("World",'RawData'!C366)),"",'RawData'!F366)</f>
        <v>1100</v>
      </c>
      <c r="G332" s="14">
        <f>IF(ISNUMBER(SEARCH("World",'RawData'!C366)),"",'RawData'!G366)</f>
        <v>1100</v>
      </c>
      <c r="H332" s="14">
        <f>IF(ISNUMBER(SEARCH("World",'RawData'!C366)),"",SUMIFS('RawData'!G:G,'RawData'!B:B,'RawData'!B366,'RawData'!C:C,"*World*"))</f>
        <v>420000</v>
      </c>
      <c r="I332" s="15">
        <f>IF(ISNUMBER(SEARCH("World",'RawData'!C366)),"",IFERROR(G332/H332,"-"))</f>
        <v>2.6190476190476189E-3</v>
      </c>
      <c r="J332" s="7">
        <f>IF(ISNUMBER(SEARCH("World",'RawData'!C366)),"",IF(ISNUMBER(SEARCH("Other",C332)),COUNTIFS('RawData'!B:B,B332,'RawData'!C:C,"&lt;&gt;*World*"),IF(OR(G332="",G332=0),"-",SUMPRODUCT(('RawData'!B$2:B$822=B332)*('RawData'!G$2:G$822&gt;G332)*(ISERROR(SEARCH("World",'RawData'!C$2:C$822)))*(ISERROR(SEARCH("Other",'RawData'!C$2:C$822))))+1)))</f>
        <v>20</v>
      </c>
      <c r="K332" s="14">
        <f>IF(ISNUMBER(SEARCH("World",'RawData'!C366)),"",'RawData'!H366)</f>
        <v>0</v>
      </c>
      <c r="L332" s="14">
        <f>IF(ISNUMBER(SEARCH("World",'RawData'!C366)),"",SUMIFS('RawData'!H:H,'RawData'!B:B,'RawData'!B366,'RawData'!C:C,"*World*"))</f>
        <v>0</v>
      </c>
      <c r="M332" s="15" t="str">
        <f>IF(ISNUMBER(SEARCH("World",'RawData'!C366)),"",IFERROR(K332/L332,"-"))</f>
        <v>-</v>
      </c>
      <c r="N332" s="7" t="str">
        <f>IF(ISNUMBER(SEARCH("World",'RawData'!C366)),"",IF(ISNUMBER(SEARCH("Other",C332)),COUNTIFS('RawData'!B:B,B332,'RawData'!C:C,"&lt;&gt;*World*"),IF(OR(K332="",K332=0),"-",SUMPRODUCT(('RawData'!B$2:B$822=B332)*('RawData'!H$2:H$822&gt;K332)*(ISERROR(SEARCH("World",'RawData'!C$2:C$822)))*(ISERROR(SEARCH("Other",'RawData'!C$2:C$822))))+1)))</f>
        <v>-</v>
      </c>
    </row>
    <row r="333" spans="1:14" x14ac:dyDescent="0.3">
      <c r="A333" s="4" t="str">
        <f>IF(ISNUMBER(SEARCH("World",'RawData'!C367)),"",'RawData'!A367)</f>
        <v>MCS2026</v>
      </c>
      <c r="B333" s="4" t="str">
        <f>IF(ISNUMBER(SEARCH("World",'RawData'!C367)),"",'RawData'!B367)</f>
        <v>Limestone</v>
      </c>
      <c r="C333" s="4" t="str">
        <f>IF(ISNUMBER(SEARCH("World",'RawData'!C367)),"",'RawData'!C367)</f>
        <v>United Kingdom</v>
      </c>
      <c r="D333" s="4" t="str">
        <f>IF(ISNUMBER(SEARCH("World",'RawData'!C367)),"",'RawData'!D367)</f>
        <v>Plant production, lime</v>
      </c>
      <c r="E333" s="4" t="str">
        <f>IF(ISNUMBER(SEARCH("World",'RawData'!C367)),"",IF('RawData'!E367="WT001","kg",IF('RawData'!E367="WT002","ton",IF('RawData'!E367="WT003","k ton",""))))</f>
        <v>k ton</v>
      </c>
      <c r="F333" s="14">
        <f>IF(ISNUMBER(SEARCH("World",'RawData'!C367)),"",'RawData'!F367)</f>
        <v>1300</v>
      </c>
      <c r="G333" s="14">
        <f>IF(ISNUMBER(SEARCH("World",'RawData'!C367)),"",'RawData'!G367)</f>
        <v>1300</v>
      </c>
      <c r="H333" s="14">
        <f>IF(ISNUMBER(SEARCH("World",'RawData'!C367)),"",SUMIFS('RawData'!G:G,'RawData'!B:B,'RawData'!B367,'RawData'!C:C,"*World*"))</f>
        <v>420000</v>
      </c>
      <c r="I333" s="15">
        <f>IF(ISNUMBER(SEARCH("World",'RawData'!C367)),"",IFERROR(G333/H333,"-"))</f>
        <v>3.0952380952380953E-3</v>
      </c>
      <c r="J333" s="7">
        <f>IF(ISNUMBER(SEARCH("World",'RawData'!C367)),"",IF(ISNUMBER(SEARCH("Other",C333)),COUNTIFS('RawData'!B:B,B333,'RawData'!C:C,"&lt;&gt;*World*"),IF(OR(G333="",G333=0),"-",SUMPRODUCT(('RawData'!B$2:B$822=B333)*('RawData'!G$2:G$822&gt;G333)*(ISERROR(SEARCH("World",'RawData'!C$2:C$822)))*(ISERROR(SEARCH("Other",'RawData'!C$2:C$822))))+1)))</f>
        <v>17</v>
      </c>
      <c r="K333" s="14">
        <f>IF(ISNUMBER(SEARCH("World",'RawData'!C367)),"",'RawData'!H367)</f>
        <v>0</v>
      </c>
      <c r="L333" s="14">
        <f>IF(ISNUMBER(SEARCH("World",'RawData'!C367)),"",SUMIFS('RawData'!H:H,'RawData'!B:B,'RawData'!B367,'RawData'!C:C,"*World*"))</f>
        <v>0</v>
      </c>
      <c r="M333" s="15" t="str">
        <f>IF(ISNUMBER(SEARCH("World",'RawData'!C367)),"",IFERROR(K333/L333,"-"))</f>
        <v>-</v>
      </c>
      <c r="N333" s="7" t="str">
        <f>IF(ISNUMBER(SEARCH("World",'RawData'!C367)),"",IF(ISNUMBER(SEARCH("Other",C333)),COUNTIFS('RawData'!B:B,B333,'RawData'!C:C,"&lt;&gt;*World*"),IF(OR(K333="",K333=0),"-",SUMPRODUCT(('RawData'!B$2:B$822=B333)*('RawData'!H$2:H$822&gt;K333)*(ISERROR(SEARCH("World",'RawData'!C$2:C$822)))*(ISERROR(SEARCH("Other",'RawData'!C$2:C$822))))+1)))</f>
        <v>-</v>
      </c>
    </row>
    <row r="334" spans="1:14" x14ac:dyDescent="0.3">
      <c r="A334" s="4" t="str">
        <f>IF(ISNUMBER(SEARCH("World",'RawData'!C368)),"",'RawData'!A368)</f>
        <v>MCS2026</v>
      </c>
      <c r="B334" s="4" t="str">
        <f>IF(ISNUMBER(SEARCH("World",'RawData'!C368)),"",'RawData'!B368)</f>
        <v>Limestone</v>
      </c>
      <c r="C334" s="4" t="str">
        <f>IF(ISNUMBER(SEARCH("World",'RawData'!C368)),"",'RawData'!C368)</f>
        <v>United States</v>
      </c>
      <c r="D334" s="4" t="str">
        <f>IF(ISNUMBER(SEARCH("World",'RawData'!C368)),"",'RawData'!D368)</f>
        <v>Plant production, lime</v>
      </c>
      <c r="E334" s="4" t="str">
        <f>IF(ISNUMBER(SEARCH("World",'RawData'!C368)),"",IF('RawData'!E368="WT001","kg",IF('RawData'!E368="WT002","ton",IF('RawData'!E368="WT003","k ton",""))))</f>
        <v>k ton</v>
      </c>
      <c r="F334" s="14">
        <f>IF(ISNUMBER(SEARCH("World",'RawData'!C368)),"",'RawData'!F368)</f>
        <v>15000</v>
      </c>
      <c r="G334" s="14">
        <f>IF(ISNUMBER(SEARCH("World",'RawData'!C368)),"",'RawData'!G368)</f>
        <v>15000</v>
      </c>
      <c r="H334" s="14">
        <f>IF(ISNUMBER(SEARCH("World",'RawData'!C368)),"",SUMIFS('RawData'!G:G,'RawData'!B:B,'RawData'!B368,'RawData'!C:C,"*World*"))</f>
        <v>420000</v>
      </c>
      <c r="I334" s="15">
        <f>IF(ISNUMBER(SEARCH("World",'RawData'!C368)),"",IFERROR(G334/H334,"-"))</f>
        <v>3.5714285714285712E-2</v>
      </c>
      <c r="J334" s="7">
        <f>IF(ISNUMBER(SEARCH("World",'RawData'!C368)),"",IF(ISNUMBER(SEARCH("Other",C334)),COUNTIFS('RawData'!B:B,B334,'RawData'!C:C,"&lt;&gt;*World*"),IF(OR(G334="",G334=0),"-",SUMPRODUCT(('RawData'!B$2:B$822=B334)*('RawData'!G$2:G$822&gt;G334)*(ISERROR(SEARCH("World",'RawData'!C$2:C$822)))*(ISERROR(SEARCH("Other",'RawData'!C$2:C$822))))+1)))</f>
        <v>3</v>
      </c>
      <c r="K334" s="14">
        <f>IF(ISNUMBER(SEARCH("World",'RawData'!C368)),"",'RawData'!H368)</f>
        <v>0</v>
      </c>
      <c r="L334" s="14">
        <f>IF(ISNUMBER(SEARCH("World",'RawData'!C368)),"",SUMIFS('RawData'!H:H,'RawData'!B:B,'RawData'!B368,'RawData'!C:C,"*World*"))</f>
        <v>0</v>
      </c>
      <c r="M334" s="15" t="str">
        <f>IF(ISNUMBER(SEARCH("World",'RawData'!C368)),"",IFERROR(K334/L334,"-"))</f>
        <v>-</v>
      </c>
      <c r="N334" s="7" t="str">
        <f>IF(ISNUMBER(SEARCH("World",'RawData'!C368)),"",IF(ISNUMBER(SEARCH("Other",C334)),COUNTIFS('RawData'!B:B,B334,'RawData'!C:C,"&lt;&gt;*World*"),IF(OR(K334="",K334=0),"-",SUMPRODUCT(('RawData'!B$2:B$822=B334)*('RawData'!H$2:H$822&gt;K334)*(ISERROR(SEARCH("World",'RawData'!C$2:C$822)))*(ISERROR(SEARCH("Other",'RawData'!C$2:C$822))))+1)))</f>
        <v>-</v>
      </c>
    </row>
    <row r="335" spans="1:14" x14ac:dyDescent="0.3">
      <c r="A335" s="4" t="str">
        <f>IF(ISNUMBER(SEARCH("World",'RawData'!C370)),"",'RawData'!A370)</f>
        <v>MCS2026</v>
      </c>
      <c r="B335" s="4" t="str">
        <f>IF(ISNUMBER(SEARCH("World",'RawData'!C370)),"",'RawData'!B370)</f>
        <v xml:space="preserve">Lithium </v>
      </c>
      <c r="C335" s="4" t="str">
        <f>IF(ISNUMBER(SEARCH("World",'RawData'!C370)),"",'RawData'!C370)</f>
        <v>Argentina</v>
      </c>
      <c r="D335" s="4" t="str">
        <f>IF(ISNUMBER(SEARCH("World",'RawData'!C370)),"",'RawData'!D370)</f>
        <v>Mine production, lithium content</v>
      </c>
      <c r="E335" s="4" t="str">
        <f>IF(ISNUMBER(SEARCH("World",'RawData'!C370)),"",IF('RawData'!E370="WT001","kg",IF('RawData'!E370="WT002","ton",IF('RawData'!E370="WT003","k ton",""))))</f>
        <v>ton</v>
      </c>
      <c r="F335" s="14">
        <f>IF(ISNUMBER(SEARCH("World",'RawData'!C370)),"",'RawData'!F370)</f>
        <v>13800</v>
      </c>
      <c r="G335" s="14">
        <f>IF(ISNUMBER(SEARCH("World",'RawData'!C370)),"",'RawData'!G370)</f>
        <v>23000</v>
      </c>
      <c r="H335" s="14">
        <f>IF(ISNUMBER(SEARCH("World",'RawData'!C370)),"",SUMIFS('RawData'!G:G,'RawData'!B:B,'RawData'!B370,'RawData'!C:C,"*World*"))</f>
        <v>290000</v>
      </c>
      <c r="I335" s="15">
        <f>IF(ISNUMBER(SEARCH("World",'RawData'!C370)),"",IFERROR(G335/H335,"-"))</f>
        <v>7.9310344827586213E-2</v>
      </c>
      <c r="J335" s="7">
        <f>IF(ISNUMBER(SEARCH("World",'RawData'!C370)),"",IF(ISNUMBER(SEARCH("Other",C335)),COUNTIFS('RawData'!B:B,B335,'RawData'!C:C,"&lt;&gt;*World*"),IF(OR(G335="",G335=0),"-",SUMPRODUCT(('RawData'!B$2:B$822=B335)*('RawData'!G$2:G$822&gt;G335)*(ISERROR(SEARCH("World",'RawData'!C$2:C$822)))*(ISERROR(SEARCH("Other",'RawData'!C$2:C$822))))+1)))</f>
        <v>5</v>
      </c>
      <c r="K335" s="14">
        <f>IF(ISNUMBER(SEARCH("World",'RawData'!C370)),"",'RawData'!H370)</f>
        <v>4400000</v>
      </c>
      <c r="L335" s="14">
        <f>IF(ISNUMBER(SEARCH("World",'RawData'!C370)),"",SUMIFS('RawData'!H:H,'RawData'!B:B,'RawData'!B370,'RawData'!C:C,"*World*"))</f>
        <v>37000000</v>
      </c>
      <c r="M335" s="15">
        <f>IF(ISNUMBER(SEARCH("World",'RawData'!C370)),"",IFERROR(K335/L335,"-"))</f>
        <v>0.11891891891891893</v>
      </c>
      <c r="N335" s="7">
        <f>IF(ISNUMBER(SEARCH("World",'RawData'!C370)),"",IF(ISNUMBER(SEARCH("Other",C335)),COUNTIFS('RawData'!B:B,B335,'RawData'!C:C,"&lt;&gt;*World*"),IF(OR(K335="",K335=0),"-",SUMPRODUCT(('RawData'!B$2:B$822=B335)*('RawData'!H$2:H$822&gt;K335)*(ISERROR(SEARCH("World",'RawData'!C$2:C$822)))*(ISERROR(SEARCH("Other",'RawData'!C$2:C$822))))+1)))</f>
        <v>4</v>
      </c>
    </row>
    <row r="336" spans="1:14" x14ac:dyDescent="0.3">
      <c r="A336" s="4" t="str">
        <f>IF(ISNUMBER(SEARCH("World",'RawData'!C371)),"",'RawData'!A371)</f>
        <v>MCS2026</v>
      </c>
      <c r="B336" s="4" t="str">
        <f>IF(ISNUMBER(SEARCH("World",'RawData'!C371)),"",'RawData'!B371)</f>
        <v xml:space="preserve">Lithium </v>
      </c>
      <c r="C336" s="4" t="str">
        <f>IF(ISNUMBER(SEARCH("World",'RawData'!C371)),"",'RawData'!C371)</f>
        <v>Australia</v>
      </c>
      <c r="D336" s="4" t="str">
        <f>IF(ISNUMBER(SEARCH("World",'RawData'!C371)),"",'RawData'!D371)</f>
        <v>Mine production, lithium content</v>
      </c>
      <c r="E336" s="4" t="str">
        <f>IF(ISNUMBER(SEARCH("World",'RawData'!C371)),"",IF('RawData'!E371="WT001","kg",IF('RawData'!E371="WT002","ton",IF('RawData'!E371="WT003","k ton",""))))</f>
        <v>ton</v>
      </c>
      <c r="F336" s="14">
        <f>IF(ISNUMBER(SEARCH("World",'RawData'!C371)),"",'RawData'!F371)</f>
        <v>82700</v>
      </c>
      <c r="G336" s="14">
        <f>IF(ISNUMBER(SEARCH("World",'RawData'!C371)),"",'RawData'!G371)</f>
        <v>92000</v>
      </c>
      <c r="H336" s="14">
        <f>IF(ISNUMBER(SEARCH("World",'RawData'!C371)),"",SUMIFS('RawData'!G:G,'RawData'!B:B,'RawData'!B371,'RawData'!C:C,"*World*"))</f>
        <v>290000</v>
      </c>
      <c r="I336" s="15">
        <f>IF(ISNUMBER(SEARCH("World",'RawData'!C371)),"",IFERROR(G336/H336,"-"))</f>
        <v>0.31724137931034485</v>
      </c>
      <c r="J336" s="7">
        <f>IF(ISNUMBER(SEARCH("World",'RawData'!C371)),"",IF(ISNUMBER(SEARCH("Other",C336)),COUNTIFS('RawData'!B:B,B336,'RawData'!C:C,"&lt;&gt;*World*"),IF(OR(G336="",G336=0),"-",SUMPRODUCT(('RawData'!B$2:B$822=B336)*('RawData'!G$2:G$822&gt;G336)*(ISERROR(SEARCH("World",'RawData'!C$2:C$822)))*(ISERROR(SEARCH("Other",'RawData'!C$2:C$822))))+1)))</f>
        <v>1</v>
      </c>
      <c r="K336" s="14">
        <f>IF(ISNUMBER(SEARCH("World",'RawData'!C371)),"",'RawData'!H371)</f>
        <v>8400000</v>
      </c>
      <c r="L336" s="14">
        <f>IF(ISNUMBER(SEARCH("World",'RawData'!C371)),"",SUMIFS('RawData'!H:H,'RawData'!B:B,'RawData'!B371,'RawData'!C:C,"*World*"))</f>
        <v>37000000</v>
      </c>
      <c r="M336" s="15">
        <f>IF(ISNUMBER(SEARCH("World",'RawData'!C371)),"",IFERROR(K336/L336,"-"))</f>
        <v>0.22702702702702704</v>
      </c>
      <c r="N336" s="7">
        <f>IF(ISNUMBER(SEARCH("World",'RawData'!C371)),"",IF(ISNUMBER(SEARCH("Other",C336)),COUNTIFS('RawData'!B:B,B336,'RawData'!C:C,"&lt;&gt;*World*"),IF(OR(K336="",K336=0),"-",SUMPRODUCT(('RawData'!B$2:B$822=B336)*('RawData'!H$2:H$822&gt;K336)*(ISERROR(SEARCH("World",'RawData'!C$2:C$822)))*(ISERROR(SEARCH("Other",'RawData'!C$2:C$822))))+1)))</f>
        <v>2</v>
      </c>
    </row>
    <row r="337" spans="1:14" x14ac:dyDescent="0.3">
      <c r="A337" s="4" t="str">
        <f>IF(ISNUMBER(SEARCH("World",'RawData'!C372)),"",'RawData'!A372)</f>
        <v>MCS2026</v>
      </c>
      <c r="B337" s="4" t="str">
        <f>IF(ISNUMBER(SEARCH("World",'RawData'!C372)),"",'RawData'!B372)</f>
        <v xml:space="preserve">Lithium </v>
      </c>
      <c r="C337" s="4" t="str">
        <f>IF(ISNUMBER(SEARCH("World",'RawData'!C372)),"",'RawData'!C372)</f>
        <v>Brazil</v>
      </c>
      <c r="D337" s="4" t="str">
        <f>IF(ISNUMBER(SEARCH("World",'RawData'!C372)),"",'RawData'!D372)</f>
        <v>Mine production, lithium content</v>
      </c>
      <c r="E337" s="4" t="str">
        <f>IF(ISNUMBER(SEARCH("World",'RawData'!C372)),"",IF('RawData'!E372="WT001","kg",IF('RawData'!E372="WT002","ton",IF('RawData'!E372="WT003","k ton",""))))</f>
        <v>ton</v>
      </c>
      <c r="F337" s="14">
        <f>IF(ISNUMBER(SEARCH("World",'RawData'!C372)),"",'RawData'!F372)</f>
        <v>10200</v>
      </c>
      <c r="G337" s="14">
        <f>IF(ISNUMBER(SEARCH("World",'RawData'!C372)),"",'RawData'!G372)</f>
        <v>12000</v>
      </c>
      <c r="H337" s="14">
        <f>IF(ISNUMBER(SEARCH("World",'RawData'!C372)),"",SUMIFS('RawData'!G:G,'RawData'!B:B,'RawData'!B372,'RawData'!C:C,"*World*"))</f>
        <v>290000</v>
      </c>
      <c r="I337" s="15">
        <f>IF(ISNUMBER(SEARCH("World",'RawData'!C372)),"",IFERROR(G337/H337,"-"))</f>
        <v>4.1379310344827586E-2</v>
      </c>
      <c r="J337" s="7">
        <f>IF(ISNUMBER(SEARCH("World",'RawData'!C372)),"",IF(ISNUMBER(SEARCH("Other",C337)),COUNTIFS('RawData'!B:B,B337,'RawData'!C:C,"&lt;&gt;*World*"),IF(OR(G337="",G337=0),"-",SUMPRODUCT(('RawData'!B$2:B$822=B337)*('RawData'!G$2:G$822&gt;G337)*(ISERROR(SEARCH("World",'RawData'!C$2:C$822)))*(ISERROR(SEARCH("Other",'RawData'!C$2:C$822))))+1)))</f>
        <v>6</v>
      </c>
      <c r="K337" s="14">
        <f>IF(ISNUMBER(SEARCH("World",'RawData'!C372)),"",'RawData'!H372)</f>
        <v>540000</v>
      </c>
      <c r="L337" s="14">
        <f>IF(ISNUMBER(SEARCH("World",'RawData'!C372)),"",SUMIFS('RawData'!H:H,'RawData'!B:B,'RawData'!B372,'RawData'!C:C,"*World*"))</f>
        <v>37000000</v>
      </c>
      <c r="M337" s="15">
        <f>IF(ISNUMBER(SEARCH("World",'RawData'!C372)),"",IFERROR(K337/L337,"-"))</f>
        <v>1.4594594594594595E-2</v>
      </c>
      <c r="N337" s="7">
        <f>IF(ISNUMBER(SEARCH("World",'RawData'!C372)),"",IF(ISNUMBER(SEARCH("Other",C337)),COUNTIFS('RawData'!B:B,B337,'RawData'!C:C,"&lt;&gt;*World*"),IF(OR(K337="",K337=0),"-",SUMPRODUCT(('RawData'!B$2:B$822=B337)*('RawData'!H$2:H$822&gt;K337)*(ISERROR(SEARCH("World",'RawData'!C$2:C$822)))*(ISERROR(SEARCH("Other",'RawData'!C$2:C$822))))+1)))</f>
        <v>7</v>
      </c>
    </row>
    <row r="338" spans="1:14" x14ac:dyDescent="0.3">
      <c r="A338" s="4" t="str">
        <f>IF(ISNUMBER(SEARCH("World",'RawData'!C373)),"",'RawData'!A373)</f>
        <v>MCS2026</v>
      </c>
      <c r="B338" s="4" t="str">
        <f>IF(ISNUMBER(SEARCH("World",'RawData'!C373)),"",'RawData'!B373)</f>
        <v xml:space="preserve">Lithium </v>
      </c>
      <c r="C338" s="4" t="str">
        <f>IF(ISNUMBER(SEARCH("World",'RawData'!C373)),"",'RawData'!C373)</f>
        <v xml:space="preserve">Canada </v>
      </c>
      <c r="D338" s="4" t="str">
        <f>IF(ISNUMBER(SEARCH("World",'RawData'!C373)),"",'RawData'!D373)</f>
        <v>Mine production, lithium content</v>
      </c>
      <c r="E338" s="4" t="str">
        <f>IF(ISNUMBER(SEARCH("World",'RawData'!C373)),"",IF('RawData'!E373="WT001","kg",IF('RawData'!E373="WT002","ton",IF('RawData'!E373="WT003","k ton",""))))</f>
        <v>ton</v>
      </c>
      <c r="F338" s="14">
        <f>IF(ISNUMBER(SEARCH("World",'RawData'!C373)),"",'RawData'!F373)</f>
        <v>4820</v>
      </c>
      <c r="G338" s="14">
        <f>IF(ISNUMBER(SEARCH("World",'RawData'!C373)),"",'RawData'!G373)</f>
        <v>5600</v>
      </c>
      <c r="H338" s="14">
        <f>IF(ISNUMBER(SEARCH("World",'RawData'!C373)),"",SUMIFS('RawData'!G:G,'RawData'!B:B,'RawData'!B373,'RawData'!C:C,"*World*"))</f>
        <v>290000</v>
      </c>
      <c r="I338" s="15">
        <f>IF(ISNUMBER(SEARCH("World",'RawData'!C373)),"",IFERROR(G338/H338,"-"))</f>
        <v>1.9310344827586208E-2</v>
      </c>
      <c r="J338" s="7">
        <f>IF(ISNUMBER(SEARCH("World",'RawData'!C373)),"",IF(ISNUMBER(SEARCH("Other",C338)),COUNTIFS('RawData'!B:B,B338,'RawData'!C:C,"&lt;&gt;*World*"),IF(OR(G338="",G338=0),"-",SUMPRODUCT(('RawData'!B$2:B$822=B338)*('RawData'!G$2:G$822&gt;G338)*(ISERROR(SEARCH("World",'RawData'!C$2:C$822)))*(ISERROR(SEARCH("Other",'RawData'!C$2:C$822))))+1)))</f>
        <v>8</v>
      </c>
      <c r="K338" s="14">
        <f>IF(ISNUMBER(SEARCH("World",'RawData'!C373)),"",'RawData'!H373)</f>
        <v>1600000</v>
      </c>
      <c r="L338" s="14">
        <f>IF(ISNUMBER(SEARCH("World",'RawData'!C373)),"",SUMIFS('RawData'!H:H,'RawData'!B:B,'RawData'!B373,'RawData'!C:C,"*World*"))</f>
        <v>37000000</v>
      </c>
      <c r="M338" s="15">
        <f>IF(ISNUMBER(SEARCH("World",'RawData'!C373)),"",IFERROR(K338/L338,"-"))</f>
        <v>4.3243243243243246E-2</v>
      </c>
      <c r="N338" s="7">
        <f>IF(ISNUMBER(SEARCH("World",'RawData'!C373)),"",IF(ISNUMBER(SEARCH("Other",C338)),COUNTIFS('RawData'!B:B,B338,'RawData'!C:C,"&lt;&gt;*World*"),IF(OR(K338="",K338=0),"-",SUMPRODUCT(('RawData'!B$2:B$822=B338)*('RawData'!H$2:H$822&gt;K338)*(ISERROR(SEARCH("World",'RawData'!C$2:C$822)))*(ISERROR(SEARCH("Other",'RawData'!C$2:C$822))))+1)))</f>
        <v>6</v>
      </c>
    </row>
    <row r="339" spans="1:14" x14ac:dyDescent="0.3">
      <c r="A339" s="4" t="str">
        <f>IF(ISNUMBER(SEARCH("World",'RawData'!C374)),"",'RawData'!A374)</f>
        <v>MCS2026</v>
      </c>
      <c r="B339" s="4" t="str">
        <f>IF(ISNUMBER(SEARCH("World",'RawData'!C374)),"",'RawData'!B374)</f>
        <v xml:space="preserve">Lithium </v>
      </c>
      <c r="C339" s="4" t="str">
        <f>IF(ISNUMBER(SEARCH("World",'RawData'!C374)),"",'RawData'!C374)</f>
        <v>Chile</v>
      </c>
      <c r="D339" s="4" t="str">
        <f>IF(ISNUMBER(SEARCH("World",'RawData'!C374)),"",'RawData'!D374)</f>
        <v>Mine production, lithium content</v>
      </c>
      <c r="E339" s="4" t="str">
        <f>IF(ISNUMBER(SEARCH("World",'RawData'!C374)),"",IF('RawData'!E374="WT001","kg",IF('RawData'!E374="WT002","ton",IF('RawData'!E374="WT003","k ton",""))))</f>
        <v>ton</v>
      </c>
      <c r="F339" s="14">
        <f>IF(ISNUMBER(SEARCH("World",'RawData'!C374)),"",'RawData'!F374)</f>
        <v>48900</v>
      </c>
      <c r="G339" s="14">
        <f>IF(ISNUMBER(SEARCH("World",'RawData'!C374)),"",'RawData'!G374)</f>
        <v>56000</v>
      </c>
      <c r="H339" s="14">
        <f>IF(ISNUMBER(SEARCH("World",'RawData'!C374)),"",SUMIFS('RawData'!G:G,'RawData'!B:B,'RawData'!B374,'RawData'!C:C,"*World*"))</f>
        <v>290000</v>
      </c>
      <c r="I339" s="15">
        <f>IF(ISNUMBER(SEARCH("World",'RawData'!C374)),"",IFERROR(G339/H339,"-"))</f>
        <v>0.19310344827586207</v>
      </c>
      <c r="J339" s="7">
        <f>IF(ISNUMBER(SEARCH("World",'RawData'!C374)),"",IF(ISNUMBER(SEARCH("Other",C339)),COUNTIFS('RawData'!B:B,B339,'RawData'!C:C,"&lt;&gt;*World*"),IF(OR(G339="",G339=0),"-",SUMPRODUCT(('RawData'!B$2:B$822=B339)*('RawData'!G$2:G$822&gt;G339)*(ISERROR(SEARCH("World",'RawData'!C$2:C$822)))*(ISERROR(SEARCH("Other",'RawData'!C$2:C$822))))+1)))</f>
        <v>3</v>
      </c>
      <c r="K339" s="14">
        <f>IF(ISNUMBER(SEARCH("World",'RawData'!C374)),"",'RawData'!H374)</f>
        <v>9200000</v>
      </c>
      <c r="L339" s="14">
        <f>IF(ISNUMBER(SEARCH("World",'RawData'!C374)),"",SUMIFS('RawData'!H:H,'RawData'!B:B,'RawData'!B374,'RawData'!C:C,"*World*"))</f>
        <v>37000000</v>
      </c>
      <c r="M339" s="15">
        <f>IF(ISNUMBER(SEARCH("World",'RawData'!C374)),"",IFERROR(K339/L339,"-"))</f>
        <v>0.24864864864864866</v>
      </c>
      <c r="N339" s="7">
        <f>IF(ISNUMBER(SEARCH("World",'RawData'!C374)),"",IF(ISNUMBER(SEARCH("Other",C339)),COUNTIFS('RawData'!B:B,B339,'RawData'!C:C,"&lt;&gt;*World*"),IF(OR(K339="",K339=0),"-",SUMPRODUCT(('RawData'!B$2:B$822=B339)*('RawData'!H$2:H$822&gt;K339)*(ISERROR(SEARCH("World",'RawData'!C$2:C$822)))*(ISERROR(SEARCH("Other",'RawData'!C$2:C$822))))+1)))</f>
        <v>1</v>
      </c>
    </row>
    <row r="340" spans="1:14" x14ac:dyDescent="0.3">
      <c r="A340" s="4" t="str">
        <f>IF(ISNUMBER(SEARCH("World",'RawData'!C375)),"",'RawData'!A375)</f>
        <v>MCS2026</v>
      </c>
      <c r="B340" s="4" t="str">
        <f>IF(ISNUMBER(SEARCH("World",'RawData'!C375)),"",'RawData'!B375)</f>
        <v xml:space="preserve">Lithium </v>
      </c>
      <c r="C340" s="4" t="str">
        <f>IF(ISNUMBER(SEARCH("World",'RawData'!C375)),"",'RawData'!C375)</f>
        <v>China</v>
      </c>
      <c r="D340" s="4" t="str">
        <f>IF(ISNUMBER(SEARCH("World",'RawData'!C375)),"",'RawData'!D375)</f>
        <v>Mine production, lithium content</v>
      </c>
      <c r="E340" s="4" t="str">
        <f>IF(ISNUMBER(SEARCH("World",'RawData'!C375)),"",IF('RawData'!E375="WT001","kg",IF('RawData'!E375="WT002","ton",IF('RawData'!E375="WT003","k ton",""))))</f>
        <v>ton</v>
      </c>
      <c r="F340" s="14">
        <f>IF(ISNUMBER(SEARCH("World",'RawData'!C375)),"",'RawData'!F375)</f>
        <v>41400</v>
      </c>
      <c r="G340" s="14">
        <f>IF(ISNUMBER(SEARCH("World",'RawData'!C375)),"",'RawData'!G375)</f>
        <v>62000</v>
      </c>
      <c r="H340" s="14">
        <f>IF(ISNUMBER(SEARCH("World",'RawData'!C375)),"",SUMIFS('RawData'!G:G,'RawData'!B:B,'RawData'!B375,'RawData'!C:C,"*World*"))</f>
        <v>290000</v>
      </c>
      <c r="I340" s="15">
        <f>IF(ISNUMBER(SEARCH("World",'RawData'!C375)),"",IFERROR(G340/H340,"-"))</f>
        <v>0.21379310344827587</v>
      </c>
      <c r="J340" s="7">
        <f>IF(ISNUMBER(SEARCH("World",'RawData'!C375)),"",IF(ISNUMBER(SEARCH("Other",C340)),COUNTIFS('RawData'!B:B,B340,'RawData'!C:C,"&lt;&gt;*World*"),IF(OR(G340="",G340=0),"-",SUMPRODUCT(('RawData'!B$2:B$822=B340)*('RawData'!G$2:G$822&gt;G340)*(ISERROR(SEARCH("World",'RawData'!C$2:C$822)))*(ISERROR(SEARCH("Other",'RawData'!C$2:C$822))))+1)))</f>
        <v>2</v>
      </c>
      <c r="K340" s="14">
        <f>IF(ISNUMBER(SEARCH("World",'RawData'!C375)),"",'RawData'!H375)</f>
        <v>4600000</v>
      </c>
      <c r="L340" s="14">
        <f>IF(ISNUMBER(SEARCH("World",'RawData'!C375)),"",SUMIFS('RawData'!H:H,'RawData'!B:B,'RawData'!B375,'RawData'!C:C,"*World*"))</f>
        <v>37000000</v>
      </c>
      <c r="M340" s="15">
        <f>IF(ISNUMBER(SEARCH("World",'RawData'!C375)),"",IFERROR(K340/L340,"-"))</f>
        <v>0.12432432432432433</v>
      </c>
      <c r="N340" s="7">
        <f>IF(ISNUMBER(SEARCH("World",'RawData'!C375)),"",IF(ISNUMBER(SEARCH("Other",C340)),COUNTIFS('RawData'!B:B,B340,'RawData'!C:C,"&lt;&gt;*World*"),IF(OR(K340="",K340=0),"-",SUMPRODUCT(('RawData'!B$2:B$822=B340)*('RawData'!H$2:H$822&gt;K340)*(ISERROR(SEARCH("World",'RawData'!C$2:C$822)))*(ISERROR(SEARCH("Other",'RawData'!C$2:C$822))))+1)))</f>
        <v>3</v>
      </c>
    </row>
    <row r="341" spans="1:14" x14ac:dyDescent="0.3">
      <c r="A341" s="4" t="str">
        <f>IF(ISNUMBER(SEARCH("World",'RawData'!C376)),"",'RawData'!A376)</f>
        <v>MCS2026</v>
      </c>
      <c r="B341" s="4" t="str">
        <f>IF(ISNUMBER(SEARCH("World",'RawData'!C376)),"",'RawData'!B376)</f>
        <v xml:space="preserve">Lithium </v>
      </c>
      <c r="C341" s="4" t="str">
        <f>IF(ISNUMBER(SEARCH("World",'RawData'!C376)),"",'RawData'!C376)</f>
        <v>Mali</v>
      </c>
      <c r="D341" s="4" t="str">
        <f>IF(ISNUMBER(SEARCH("World",'RawData'!C376)),"",'RawData'!D376)</f>
        <v>Mine production, lithium content</v>
      </c>
      <c r="E341" s="4" t="str">
        <f>IF(ISNUMBER(SEARCH("World",'RawData'!C376)),"",IF('RawData'!E376="WT001","kg",IF('RawData'!E376="WT002","ton",IF('RawData'!E376="WT003","k ton",""))))</f>
        <v>ton</v>
      </c>
      <c r="F341" s="14">
        <f>IF(ISNUMBER(SEARCH("World",'RawData'!C376)),"",'RawData'!F376)</f>
        <v>770</v>
      </c>
      <c r="G341" s="14">
        <f>IF(ISNUMBER(SEARCH("World",'RawData'!C376)),"",'RawData'!G376)</f>
        <v>9400</v>
      </c>
      <c r="H341" s="14">
        <f>IF(ISNUMBER(SEARCH("World",'RawData'!C376)),"",SUMIFS('RawData'!G:G,'RawData'!B:B,'RawData'!B376,'RawData'!C:C,"*World*"))</f>
        <v>290000</v>
      </c>
      <c r="I341" s="15">
        <f>IF(ISNUMBER(SEARCH("World",'RawData'!C376)),"",IFERROR(G341/H341,"-"))</f>
        <v>3.2413793103448274E-2</v>
      </c>
      <c r="J341" s="7">
        <f>IF(ISNUMBER(SEARCH("World",'RawData'!C376)),"",IF(ISNUMBER(SEARCH("Other",C341)),COUNTIFS('RawData'!B:B,B341,'RawData'!C:C,"&lt;&gt;*World*"),IF(OR(G341="",G341=0),"-",SUMPRODUCT(('RawData'!B$2:B$822=B341)*('RawData'!G$2:G$822&gt;G341)*(ISERROR(SEARCH("World",'RawData'!C$2:C$822)))*(ISERROR(SEARCH("Other",'RawData'!C$2:C$822))))+1)))</f>
        <v>7</v>
      </c>
      <c r="K341" s="14">
        <f>IF(ISNUMBER(SEARCH("World",'RawData'!C376)),"",'RawData'!H376)</f>
        <v>370000</v>
      </c>
      <c r="L341" s="14">
        <f>IF(ISNUMBER(SEARCH("World",'RawData'!C376)),"",SUMIFS('RawData'!H:H,'RawData'!B:B,'RawData'!B376,'RawData'!C:C,"*World*"))</f>
        <v>37000000</v>
      </c>
      <c r="M341" s="15">
        <f>IF(ISNUMBER(SEARCH("World",'RawData'!C376)),"",IFERROR(K341/L341,"-"))</f>
        <v>0.01</v>
      </c>
      <c r="N341" s="7">
        <f>IF(ISNUMBER(SEARCH("World",'RawData'!C376)),"",IF(ISNUMBER(SEARCH("Other",C341)),COUNTIFS('RawData'!B:B,B341,'RawData'!C:C,"&lt;&gt;*World*"),IF(OR(K341="",K341=0),"-",SUMPRODUCT(('RawData'!B$2:B$822=B341)*('RawData'!H$2:H$822&gt;K341)*(ISERROR(SEARCH("World",'RawData'!C$2:C$822)))*(ISERROR(SEARCH("Other",'RawData'!C$2:C$822))))+1)))</f>
        <v>9</v>
      </c>
    </row>
    <row r="342" spans="1:14" x14ac:dyDescent="0.3">
      <c r="A342" s="4" t="str">
        <f>IF(ISNUMBER(SEARCH("World",'RawData'!C377)),"",'RawData'!A377)</f>
        <v>MCS2026</v>
      </c>
      <c r="B342" s="4" t="str">
        <f>IF(ISNUMBER(SEARCH("World",'RawData'!C377)),"",'RawData'!B377)</f>
        <v xml:space="preserve">Lithium </v>
      </c>
      <c r="C342" s="4" t="str">
        <f>IF(ISNUMBER(SEARCH("World",'RawData'!C377)),"",'RawData'!C377)</f>
        <v>Other Countries</v>
      </c>
      <c r="D342" s="4" t="str">
        <f>IF(ISNUMBER(SEARCH("World",'RawData'!C377)),"",'RawData'!D377)</f>
        <v>Mine production, lithium content</v>
      </c>
      <c r="E342" s="4" t="str">
        <f>IF(ISNUMBER(SEARCH("World",'RawData'!C377)),"",IF('RawData'!E377="WT001","kg",IF('RawData'!E377="WT002","ton",IF('RawData'!E377="WT003","k ton",""))))</f>
        <v>ton</v>
      </c>
      <c r="F342" s="14">
        <f>IF(ISNUMBER(SEARCH("World",'RawData'!C377)),"",'RawData'!F377)</f>
        <v>0</v>
      </c>
      <c r="G342" s="14">
        <f>IF(ISNUMBER(SEARCH("World",'RawData'!C377)),"",'RawData'!G377)</f>
        <v>0</v>
      </c>
      <c r="H342" s="14">
        <f>IF(ISNUMBER(SEARCH("World",'RawData'!C377)),"",SUMIFS('RawData'!G:G,'RawData'!B:B,'RawData'!B377,'RawData'!C:C,"*World*"))</f>
        <v>290000</v>
      </c>
      <c r="I342" s="15">
        <f>IF(ISNUMBER(SEARCH("World",'RawData'!C377)),"",IFERROR(G342/H342,"-"))</f>
        <v>0</v>
      </c>
      <c r="J342" s="7">
        <f>IF(ISNUMBER(SEARCH("World",'RawData'!C377)),"",IF(ISNUMBER(SEARCH("Other",C342)),COUNTIFS('RawData'!B:B,B342,'RawData'!C:C,"&lt;&gt;*World*"),IF(OR(G342="",G342=0),"-",SUMPRODUCT(('RawData'!B$2:B$822=B342)*('RawData'!G$2:G$822&gt;G342)*(ISERROR(SEARCH("World",'RawData'!C$2:C$822)))*(ISERROR(SEARCH("Other",'RawData'!C$2:C$822))))+1)))</f>
        <v>11</v>
      </c>
      <c r="K342" s="14">
        <f>IF(ISNUMBER(SEARCH("World",'RawData'!C377)),"",'RawData'!H377)</f>
        <v>2400000</v>
      </c>
      <c r="L342" s="14">
        <f>IF(ISNUMBER(SEARCH("World",'RawData'!C377)),"",SUMIFS('RawData'!H:H,'RawData'!B:B,'RawData'!B377,'RawData'!C:C,"*World*"))</f>
        <v>37000000</v>
      </c>
      <c r="M342" s="15">
        <f>IF(ISNUMBER(SEARCH("World",'RawData'!C377)),"",IFERROR(K342/L342,"-"))</f>
        <v>6.4864864864864868E-2</v>
      </c>
      <c r="N342" s="7">
        <f>IF(ISNUMBER(SEARCH("World",'RawData'!C377)),"",IF(ISNUMBER(SEARCH("Other",C342)),COUNTIFS('RawData'!B:B,B342,'RawData'!C:C,"&lt;&gt;*World*"),IF(OR(K342="",K342=0),"-",SUMPRODUCT(('RawData'!B$2:B$822=B342)*('RawData'!H$2:H$822&gt;K342)*(ISERROR(SEARCH("World",'RawData'!C$2:C$822)))*(ISERROR(SEARCH("Other",'RawData'!C$2:C$822))))+1)))</f>
        <v>11</v>
      </c>
    </row>
    <row r="343" spans="1:14" x14ac:dyDescent="0.3">
      <c r="A343" s="4" t="str">
        <f>IF(ISNUMBER(SEARCH("World",'RawData'!C378)),"",'RawData'!A378)</f>
        <v>MCS2026</v>
      </c>
      <c r="B343" s="4" t="str">
        <f>IF(ISNUMBER(SEARCH("World",'RawData'!C378)),"",'RawData'!B378)</f>
        <v xml:space="preserve">Lithium </v>
      </c>
      <c r="C343" s="4" t="str">
        <f>IF(ISNUMBER(SEARCH("World",'RawData'!C378)),"",'RawData'!C378)</f>
        <v>Portugal</v>
      </c>
      <c r="D343" s="4" t="str">
        <f>IF(ISNUMBER(SEARCH("World",'RawData'!C378)),"",'RawData'!D378)</f>
        <v>Mine production, lithium content</v>
      </c>
      <c r="E343" s="4" t="str">
        <f>IF(ISNUMBER(SEARCH("World",'RawData'!C378)),"",IF('RawData'!E378="WT001","kg",IF('RawData'!E378="WT002","ton",IF('RawData'!E378="WT003","k ton",""))))</f>
        <v>ton</v>
      </c>
      <c r="F343" s="14">
        <f>IF(ISNUMBER(SEARCH("World",'RawData'!C378)),"",'RawData'!F378)</f>
        <v>380</v>
      </c>
      <c r="G343" s="14">
        <f>IF(ISNUMBER(SEARCH("World",'RawData'!C378)),"",'RawData'!G378)</f>
        <v>380</v>
      </c>
      <c r="H343" s="14">
        <f>IF(ISNUMBER(SEARCH("World",'RawData'!C378)),"",SUMIFS('RawData'!G:G,'RawData'!B:B,'RawData'!B378,'RawData'!C:C,"*World*"))</f>
        <v>290000</v>
      </c>
      <c r="I343" s="15">
        <f>IF(ISNUMBER(SEARCH("World",'RawData'!C378)),"",IFERROR(G343/H343,"-"))</f>
        <v>1.310344827586207E-3</v>
      </c>
      <c r="J343" s="7">
        <f>IF(ISNUMBER(SEARCH("World",'RawData'!C378)),"",IF(ISNUMBER(SEARCH("Other",C343)),COUNTIFS('RawData'!B:B,B343,'RawData'!C:C,"&lt;&gt;*World*"),IF(OR(G343="",G343=0),"-",SUMPRODUCT(('RawData'!B$2:B$822=B343)*('RawData'!G$2:G$822&gt;G343)*(ISERROR(SEARCH("World",'RawData'!C$2:C$822)))*(ISERROR(SEARCH("Other",'RawData'!C$2:C$822))))+1)))</f>
        <v>9</v>
      </c>
      <c r="K343" s="14">
        <f>IF(ISNUMBER(SEARCH("World",'RawData'!C378)),"",'RawData'!H378)</f>
        <v>60000</v>
      </c>
      <c r="L343" s="14">
        <f>IF(ISNUMBER(SEARCH("World",'RawData'!C378)),"",SUMIFS('RawData'!H:H,'RawData'!B:B,'RawData'!B378,'RawData'!C:C,"*World*"))</f>
        <v>37000000</v>
      </c>
      <c r="M343" s="15">
        <f>IF(ISNUMBER(SEARCH("World",'RawData'!C378)),"",IFERROR(K343/L343,"-"))</f>
        <v>1.6216216216216215E-3</v>
      </c>
      <c r="N343" s="7">
        <f>IF(ISNUMBER(SEARCH("World",'RawData'!C378)),"",IF(ISNUMBER(SEARCH("Other",C343)),COUNTIFS('RawData'!B:B,B343,'RawData'!C:C,"&lt;&gt;*World*"),IF(OR(K343="",K343=0),"-",SUMPRODUCT(('RawData'!B$2:B$822=B343)*('RawData'!H$2:H$822&gt;K343)*(ISERROR(SEARCH("World",'RawData'!C$2:C$822)))*(ISERROR(SEARCH("Other",'RawData'!C$2:C$822))))+1)))</f>
        <v>10</v>
      </c>
    </row>
    <row r="344" spans="1:14" x14ac:dyDescent="0.3">
      <c r="A344" s="4" t="str">
        <f>IF(ISNUMBER(SEARCH("World",'RawData'!C379)),"",'RawData'!A379)</f>
        <v>MCS2026</v>
      </c>
      <c r="B344" s="4" t="str">
        <f>IF(ISNUMBER(SEARCH("World",'RawData'!C379)),"",'RawData'!B379)</f>
        <v xml:space="preserve">Lithium </v>
      </c>
      <c r="C344" s="4" t="str">
        <f>IF(ISNUMBER(SEARCH("World",'RawData'!C379)),"",'RawData'!C379)</f>
        <v>United States</v>
      </c>
      <c r="D344" s="4" t="str">
        <f>IF(ISNUMBER(SEARCH("World",'RawData'!C379)),"",'RawData'!D379)</f>
        <v>Mine production, lithium content</v>
      </c>
      <c r="E344" s="4" t="str">
        <f>IF(ISNUMBER(SEARCH("World",'RawData'!C379)),"",IF('RawData'!E379="WT001","kg",IF('RawData'!E379="WT002","ton",IF('RawData'!E379="WT003","k ton",""))))</f>
        <v>ton</v>
      </c>
      <c r="F344" s="14">
        <f>IF(ISNUMBER(SEARCH("World",'RawData'!C379)),"",'RawData'!F379)</f>
        <v>0</v>
      </c>
      <c r="G344" s="14">
        <f>IF(ISNUMBER(SEARCH("World",'RawData'!C379)),"",'RawData'!G379)</f>
        <v>0</v>
      </c>
      <c r="H344" s="14">
        <f>IF(ISNUMBER(SEARCH("World",'RawData'!C379)),"",SUMIFS('RawData'!G:G,'RawData'!B:B,'RawData'!B379,'RawData'!C:C,"*World*"))</f>
        <v>290000</v>
      </c>
      <c r="I344" s="15">
        <f>IF(ISNUMBER(SEARCH("World",'RawData'!C379)),"",IFERROR(G344/H344,"-"))</f>
        <v>0</v>
      </c>
      <c r="J344" s="7" t="str">
        <f>IF(ISNUMBER(SEARCH("World",'RawData'!C379)),"",IF(ISNUMBER(SEARCH("Other",C344)),COUNTIFS('RawData'!B:B,B344,'RawData'!C:C,"&lt;&gt;*World*"),IF(OR(G344="",G344=0),"-",SUMPRODUCT(('RawData'!B$2:B$822=B344)*('RawData'!G$2:G$822&gt;G344)*(ISERROR(SEARCH("World",'RawData'!C$2:C$822)))*(ISERROR(SEARCH("Other",'RawData'!C$2:C$822))))+1)))</f>
        <v>-</v>
      </c>
      <c r="K344" s="14">
        <f>IF(ISNUMBER(SEARCH("World",'RawData'!C379)),"",'RawData'!H379)</f>
        <v>4400000</v>
      </c>
      <c r="L344" s="14">
        <f>IF(ISNUMBER(SEARCH("World",'RawData'!C379)),"",SUMIFS('RawData'!H:H,'RawData'!B:B,'RawData'!B379,'RawData'!C:C,"*World*"))</f>
        <v>37000000</v>
      </c>
      <c r="M344" s="15">
        <f>IF(ISNUMBER(SEARCH("World",'RawData'!C379)),"",IFERROR(K344/L344,"-"))</f>
        <v>0.11891891891891893</v>
      </c>
      <c r="N344" s="7">
        <f>IF(ISNUMBER(SEARCH("World",'RawData'!C379)),"",IF(ISNUMBER(SEARCH("Other",C344)),COUNTIFS('RawData'!B:B,B344,'RawData'!C:C,"&lt;&gt;*World*"),IF(OR(K344="",K344=0),"-",SUMPRODUCT(('RawData'!B$2:B$822=B344)*('RawData'!H$2:H$822&gt;K344)*(ISERROR(SEARCH("World",'RawData'!C$2:C$822)))*(ISERROR(SEARCH("Other",'RawData'!C$2:C$822))))+1)))</f>
        <v>4</v>
      </c>
    </row>
    <row r="345" spans="1:14" x14ac:dyDescent="0.3">
      <c r="A345" s="4" t="str">
        <f>IF(ISNUMBER(SEARCH("World",'RawData'!C381)),"",'RawData'!A381)</f>
        <v>MCS2026</v>
      </c>
      <c r="B345" s="4" t="str">
        <f>IF(ISNUMBER(SEARCH("World",'RawData'!C381)),"",'RawData'!B381)</f>
        <v xml:space="preserve">Lithium </v>
      </c>
      <c r="C345" s="4" t="str">
        <f>IF(ISNUMBER(SEARCH("World",'RawData'!C381)),"",'RawData'!C381)</f>
        <v>Zimbabwe</v>
      </c>
      <c r="D345" s="4" t="str">
        <f>IF(ISNUMBER(SEARCH("World",'RawData'!C381)),"",'RawData'!D381)</f>
        <v>Mine production, lithium content</v>
      </c>
      <c r="E345" s="4" t="str">
        <f>IF(ISNUMBER(SEARCH("World",'RawData'!C381)),"",IF('RawData'!E381="WT001","kg",IF('RawData'!E381="WT002","ton",IF('RawData'!E381="WT003","k ton",""))))</f>
        <v>ton</v>
      </c>
      <c r="F345" s="14">
        <f>IF(ISNUMBER(SEARCH("World",'RawData'!C381)),"",'RawData'!F381)</f>
        <v>20000</v>
      </c>
      <c r="G345" s="14">
        <f>IF(ISNUMBER(SEARCH("World",'RawData'!C381)),"",'RawData'!G381)</f>
        <v>28000</v>
      </c>
      <c r="H345" s="14">
        <f>IF(ISNUMBER(SEARCH("World",'RawData'!C381)),"",SUMIFS('RawData'!G:G,'RawData'!B:B,'RawData'!B381,'RawData'!C:C,"*World*"))</f>
        <v>290000</v>
      </c>
      <c r="I345" s="15">
        <f>IF(ISNUMBER(SEARCH("World",'RawData'!C381)),"",IFERROR(G345/H345,"-"))</f>
        <v>9.6551724137931033E-2</v>
      </c>
      <c r="J345" s="7">
        <f>IF(ISNUMBER(SEARCH("World",'RawData'!C381)),"",IF(ISNUMBER(SEARCH("Other",C345)),COUNTIFS('RawData'!B:B,B345,'RawData'!C:C,"&lt;&gt;*World*"),IF(OR(G345="",G345=0),"-",SUMPRODUCT(('RawData'!B$2:B$822=B345)*('RawData'!G$2:G$822&gt;G345)*(ISERROR(SEARCH("World",'RawData'!C$2:C$822)))*(ISERROR(SEARCH("Other",'RawData'!C$2:C$822))))+1)))</f>
        <v>4</v>
      </c>
      <c r="K345" s="14">
        <f>IF(ISNUMBER(SEARCH("World",'RawData'!C381)),"",'RawData'!H381)</f>
        <v>500000</v>
      </c>
      <c r="L345" s="14">
        <f>IF(ISNUMBER(SEARCH("World",'RawData'!C381)),"",SUMIFS('RawData'!H:H,'RawData'!B:B,'RawData'!B381,'RawData'!C:C,"*World*"))</f>
        <v>37000000</v>
      </c>
      <c r="M345" s="15">
        <f>IF(ISNUMBER(SEARCH("World",'RawData'!C381)),"",IFERROR(K345/L345,"-"))</f>
        <v>1.3513513513513514E-2</v>
      </c>
      <c r="N345" s="7">
        <f>IF(ISNUMBER(SEARCH("World",'RawData'!C381)),"",IF(ISNUMBER(SEARCH("Other",C345)),COUNTIFS('RawData'!B:B,B345,'RawData'!C:C,"&lt;&gt;*World*"),IF(OR(K345="",K345=0),"-",SUMPRODUCT(('RawData'!B$2:B$822=B345)*('RawData'!H$2:H$822&gt;K345)*(ISERROR(SEARCH("World",'RawData'!C$2:C$822)))*(ISERROR(SEARCH("Other",'RawData'!C$2:C$822))))+1)))</f>
        <v>8</v>
      </c>
    </row>
    <row r="346" spans="1:14" x14ac:dyDescent="0.3">
      <c r="A346" s="4" t="str">
        <f>IF(ISNUMBER(SEARCH("World",'RawData'!C382)),"",'RawData'!A382)</f>
        <v>MCS2026</v>
      </c>
      <c r="B346" s="4" t="str">
        <f>IF(ISNUMBER(SEARCH("World",'RawData'!C382)),"",'RawData'!B382)</f>
        <v>Magnesium</v>
      </c>
      <c r="C346" s="4" t="str">
        <f>IF(ISNUMBER(SEARCH("World",'RawData'!C382)),"",'RawData'!C382)</f>
        <v>Australia</v>
      </c>
      <c r="D346" s="4" t="str">
        <f>IF(ISNUMBER(SEARCH("World",'RawData'!C382)),"",'RawData'!D382)</f>
        <v>Mine production, magnesite - gross weight</v>
      </c>
      <c r="E346" s="4" t="str">
        <f>IF(ISNUMBER(SEARCH("World",'RawData'!C382)),"",IF('RawData'!E382="WT001","kg",IF('RawData'!E382="WT002","ton",IF('RawData'!E382="WT003","k ton",""))))</f>
        <v>k ton</v>
      </c>
      <c r="F346" s="14">
        <f>IF(ISNUMBER(SEARCH("World",'RawData'!C382)),"",'RawData'!F382)</f>
        <v>410</v>
      </c>
      <c r="G346" s="14">
        <f>IF(ISNUMBER(SEARCH("World",'RawData'!C382)),"",'RawData'!G382)</f>
        <v>400</v>
      </c>
      <c r="H346" s="14">
        <f>IF(ISNUMBER(SEARCH("World",'RawData'!C382)),"",SUMIFS('RawData'!G:G,'RawData'!B:B,'RawData'!B382,'RawData'!C:C,"*World*"))</f>
        <v>21000</v>
      </c>
      <c r="I346" s="15">
        <f>IF(ISNUMBER(SEARCH("World",'RawData'!C382)),"",IFERROR(G346/H346,"-"))</f>
        <v>1.9047619047619049E-2</v>
      </c>
      <c r="J346" s="7">
        <f>IF(ISNUMBER(SEARCH("World",'RawData'!C382)),"",IF(ISNUMBER(SEARCH("Other",C346)),COUNTIFS('RawData'!B:B,B346,'RawData'!C:C,"&lt;&gt;*World*"),IF(OR(G346="",G346=0),"-",SUMPRODUCT(('RawData'!B$2:B$822=B346)*('RawData'!G$2:G$822&gt;G346)*(ISERROR(SEARCH("World",'RawData'!C$2:C$822)))*(ISERROR(SEARCH("Other",'RawData'!C$2:C$822))))+1)))</f>
        <v>7</v>
      </c>
      <c r="K346" s="14">
        <f>IF(ISNUMBER(SEARCH("World",'RawData'!C382)),"",'RawData'!H382)</f>
        <v>280000</v>
      </c>
      <c r="L346" s="14">
        <f>IF(ISNUMBER(SEARCH("World",'RawData'!C382)),"",SUMIFS('RawData'!H:H,'RawData'!B:B,'RawData'!B382,'RawData'!C:C,"*World*"))</f>
        <v>7800000</v>
      </c>
      <c r="M346" s="15">
        <f>IF(ISNUMBER(SEARCH("World",'RawData'!C382)),"",IFERROR(K346/L346,"-"))</f>
        <v>3.5897435897435895E-2</v>
      </c>
      <c r="N346" s="7">
        <f>IF(ISNUMBER(SEARCH("World",'RawData'!C382)),"",IF(ISNUMBER(SEARCH("Other",C346)),COUNTIFS('RawData'!B:B,B346,'RawData'!C:C,"&lt;&gt;*World*"),IF(OR(K346="",K346=0),"-",SUMPRODUCT(('RawData'!B$2:B$822=B346)*('RawData'!H$2:H$822&gt;K346)*(ISERROR(SEARCH("World",'RawData'!C$2:C$822)))*(ISERROR(SEARCH("Other",'RawData'!C$2:C$822))))+1)))</f>
        <v>4</v>
      </c>
    </row>
    <row r="347" spans="1:14" x14ac:dyDescent="0.3">
      <c r="A347" s="4" t="str">
        <f>IF(ISNUMBER(SEARCH("World",'RawData'!C383)),"",'RawData'!A383)</f>
        <v>MCS2026</v>
      </c>
      <c r="B347" s="4" t="str">
        <f>IF(ISNUMBER(SEARCH("World",'RawData'!C383)),"",'RawData'!B383)</f>
        <v>Magnesium</v>
      </c>
      <c r="C347" s="4" t="str">
        <f>IF(ISNUMBER(SEARCH("World",'RawData'!C383)),"",'RawData'!C383)</f>
        <v>Austria</v>
      </c>
      <c r="D347" s="4" t="str">
        <f>IF(ISNUMBER(SEARCH("World",'RawData'!C383)),"",'RawData'!D383)</f>
        <v>Mine production, magnesite - gross weight</v>
      </c>
      <c r="E347" s="4" t="str">
        <f>IF(ISNUMBER(SEARCH("World",'RawData'!C383)),"",IF('RawData'!E383="WT001","kg",IF('RawData'!E383="WT002","ton",IF('RawData'!E383="WT003","k ton",""))))</f>
        <v>k ton</v>
      </c>
      <c r="F347" s="14">
        <f>IF(ISNUMBER(SEARCH("World",'RawData'!C383)),"",'RawData'!F383)</f>
        <v>664</v>
      </c>
      <c r="G347" s="14">
        <f>IF(ISNUMBER(SEARCH("World",'RawData'!C383)),"",'RawData'!G383)</f>
        <v>650</v>
      </c>
      <c r="H347" s="14">
        <f>IF(ISNUMBER(SEARCH("World",'RawData'!C383)),"",SUMIFS('RawData'!G:G,'RawData'!B:B,'RawData'!B383,'RawData'!C:C,"*World*"))</f>
        <v>21000</v>
      </c>
      <c r="I347" s="15">
        <f>IF(ISNUMBER(SEARCH("World",'RawData'!C383)),"",IFERROR(G347/H347,"-"))</f>
        <v>3.0952380952380953E-2</v>
      </c>
      <c r="J347" s="7">
        <f>IF(ISNUMBER(SEARCH("World",'RawData'!C383)),"",IF(ISNUMBER(SEARCH("Other",C347)),COUNTIFS('RawData'!B:B,B347,'RawData'!C:C,"&lt;&gt;*World*"),IF(OR(G347="",G347=0),"-",SUMPRODUCT(('RawData'!B$2:B$822=B347)*('RawData'!G$2:G$822&gt;G347)*(ISERROR(SEARCH("World",'RawData'!C$2:C$822)))*(ISERROR(SEARCH("Other",'RawData'!C$2:C$822))))+1)))</f>
        <v>5</v>
      </c>
      <c r="K347" s="14">
        <f>IF(ISNUMBER(SEARCH("World",'RawData'!C383)),"",'RawData'!H383)</f>
        <v>49000</v>
      </c>
      <c r="L347" s="14">
        <f>IF(ISNUMBER(SEARCH("World",'RawData'!C383)),"",SUMIFS('RawData'!H:H,'RawData'!B:B,'RawData'!B383,'RawData'!C:C,"*World*"))</f>
        <v>7800000</v>
      </c>
      <c r="M347" s="15">
        <f>IF(ISNUMBER(SEARCH("World",'RawData'!C383)),"",IFERROR(K347/L347,"-"))</f>
        <v>6.2820512820512819E-3</v>
      </c>
      <c r="N347" s="7">
        <f>IF(ISNUMBER(SEARCH("World",'RawData'!C383)),"",IF(ISNUMBER(SEARCH("Other",C347)),COUNTIFS('RawData'!B:B,B347,'RawData'!C:C,"&lt;&gt;*World*"),IF(OR(K347="",K347=0),"-",SUMPRODUCT(('RawData'!B$2:B$822=B347)*('RawData'!H$2:H$822&gt;K347)*(ISERROR(SEARCH("World",'RawData'!C$2:C$822)))*(ISERROR(SEARCH("Other",'RawData'!C$2:C$822))))+1)))</f>
        <v>9</v>
      </c>
    </row>
    <row r="348" spans="1:14" x14ac:dyDescent="0.3">
      <c r="A348" s="4" t="str">
        <f>IF(ISNUMBER(SEARCH("World",'RawData'!C384)),"",'RawData'!A384)</f>
        <v>MCS2026</v>
      </c>
      <c r="B348" s="4" t="str">
        <f>IF(ISNUMBER(SEARCH("World",'RawData'!C384)),"",'RawData'!B384)</f>
        <v>Magnesium</v>
      </c>
      <c r="C348" s="4" t="str">
        <f>IF(ISNUMBER(SEARCH("World",'RawData'!C384)),"",'RawData'!C384)</f>
        <v>Brazil</v>
      </c>
      <c r="D348" s="4" t="str">
        <f>IF(ISNUMBER(SEARCH("World",'RawData'!C384)),"",'RawData'!D384)</f>
        <v>Mine production, magnesite - gross weight</v>
      </c>
      <c r="E348" s="4" t="str">
        <f>IF(ISNUMBER(SEARCH("World",'RawData'!C384)),"",IF('RawData'!E384="WT001","kg",IF('RawData'!E384="WT002","ton",IF('RawData'!E384="WT003","k ton",""))))</f>
        <v>k ton</v>
      </c>
      <c r="F348" s="14">
        <f>IF(ISNUMBER(SEARCH("World",'RawData'!C384)),"",'RawData'!F384)</f>
        <v>1850</v>
      </c>
      <c r="G348" s="14">
        <f>IF(ISNUMBER(SEARCH("World",'RawData'!C384)),"",'RawData'!G384)</f>
        <v>1800</v>
      </c>
      <c r="H348" s="14">
        <f>IF(ISNUMBER(SEARCH("World",'RawData'!C384)),"",SUMIFS('RawData'!G:G,'RawData'!B:B,'RawData'!B384,'RawData'!C:C,"*World*"))</f>
        <v>21000</v>
      </c>
      <c r="I348" s="15">
        <f>IF(ISNUMBER(SEARCH("World",'RawData'!C384)),"",IFERROR(G348/H348,"-"))</f>
        <v>8.5714285714285715E-2</v>
      </c>
      <c r="J348" s="7">
        <f>IF(ISNUMBER(SEARCH("World",'RawData'!C384)),"",IF(ISNUMBER(SEARCH("Other",C348)),COUNTIFS('RawData'!B:B,B348,'RawData'!C:C,"&lt;&gt;*World*"),IF(OR(G348="",G348=0),"-",SUMPRODUCT(('RawData'!B$2:B$822=B348)*('RawData'!G$2:G$822&gt;G348)*(ISERROR(SEARCH("World",'RawData'!C$2:C$822)))*(ISERROR(SEARCH("Other",'RawData'!C$2:C$822))))+1)))</f>
        <v>2</v>
      </c>
      <c r="K348" s="14">
        <f>IF(ISNUMBER(SEARCH("World",'RawData'!C384)),"",'RawData'!H384)</f>
        <v>200000</v>
      </c>
      <c r="L348" s="14">
        <f>IF(ISNUMBER(SEARCH("World",'RawData'!C384)),"",SUMIFS('RawData'!H:H,'RawData'!B:B,'RawData'!B384,'RawData'!C:C,"*World*"))</f>
        <v>7800000</v>
      </c>
      <c r="M348" s="15">
        <f>IF(ISNUMBER(SEARCH("World",'RawData'!C384)),"",IFERROR(K348/L348,"-"))</f>
        <v>2.564102564102564E-2</v>
      </c>
      <c r="N348" s="7">
        <f>IF(ISNUMBER(SEARCH("World",'RawData'!C384)),"",IF(ISNUMBER(SEARCH("Other",C348)),COUNTIFS('RawData'!B:B,B348,'RawData'!C:C,"&lt;&gt;*World*"),IF(OR(K348="",K348=0),"-",SUMPRODUCT(('RawData'!B$2:B$822=B348)*('RawData'!H$2:H$822&gt;K348)*(ISERROR(SEARCH("World",'RawData'!C$2:C$822)))*(ISERROR(SEARCH("Other",'RawData'!C$2:C$822))))+1)))</f>
        <v>6</v>
      </c>
    </row>
    <row r="349" spans="1:14" x14ac:dyDescent="0.3">
      <c r="A349" s="4" t="str">
        <f>IF(ISNUMBER(SEARCH("World",'RawData'!C385)),"",'RawData'!A385)</f>
        <v>MCS2026</v>
      </c>
      <c r="B349" s="4" t="str">
        <f>IF(ISNUMBER(SEARCH("World",'RawData'!C385)),"",'RawData'!B385)</f>
        <v>Magnesium</v>
      </c>
      <c r="C349" s="4" t="str">
        <f>IF(ISNUMBER(SEARCH("World",'RawData'!C385)),"",'RawData'!C385)</f>
        <v xml:space="preserve">Canada </v>
      </c>
      <c r="D349" s="4" t="str">
        <f>IF(ISNUMBER(SEARCH("World",'RawData'!C385)),"",'RawData'!D385)</f>
        <v>Mine production, magnesite - gross weight</v>
      </c>
      <c r="E349" s="4" t="str">
        <f>IF(ISNUMBER(SEARCH("World",'RawData'!C385)),"",IF('RawData'!E385="WT001","kg",IF('RawData'!E385="WT002","ton",IF('RawData'!E385="WT003","k ton",""))))</f>
        <v>k ton</v>
      </c>
      <c r="F349" s="14">
        <f>IF(ISNUMBER(SEARCH("World",'RawData'!C385)),"",'RawData'!F385)</f>
        <v>230</v>
      </c>
      <c r="G349" s="14">
        <f>IF(ISNUMBER(SEARCH("World",'RawData'!C385)),"",'RawData'!G385)</f>
        <v>230</v>
      </c>
      <c r="H349" s="14">
        <f>IF(ISNUMBER(SEARCH("World",'RawData'!C385)),"",SUMIFS('RawData'!G:G,'RawData'!B:B,'RawData'!B385,'RawData'!C:C,"*World*"))</f>
        <v>21000</v>
      </c>
      <c r="I349" s="15">
        <f>IF(ISNUMBER(SEARCH("World",'RawData'!C385)),"",IFERROR(G349/H349,"-"))</f>
        <v>1.0952380952380953E-2</v>
      </c>
      <c r="J349" s="7">
        <f>IF(ISNUMBER(SEARCH("World",'RawData'!C385)),"",IF(ISNUMBER(SEARCH("Other",C349)),COUNTIFS('RawData'!B:B,B349,'RawData'!C:C,"&lt;&gt;*World*"),IF(OR(G349="",G349=0),"-",SUMPRODUCT(('RawData'!B$2:B$822=B349)*('RawData'!G$2:G$822&gt;G349)*(ISERROR(SEARCH("World",'RawData'!C$2:C$822)))*(ISERROR(SEARCH("Other",'RawData'!C$2:C$822))))+1)))</f>
        <v>9</v>
      </c>
      <c r="K349" s="14">
        <f>IF(ISNUMBER(SEARCH("World",'RawData'!C385)),"",'RawData'!H385)</f>
        <v>0</v>
      </c>
      <c r="L349" s="14">
        <f>IF(ISNUMBER(SEARCH("World",'RawData'!C385)),"",SUMIFS('RawData'!H:H,'RawData'!B:B,'RawData'!B385,'RawData'!C:C,"*World*"))</f>
        <v>7800000</v>
      </c>
      <c r="M349" s="15">
        <f>IF(ISNUMBER(SEARCH("World",'RawData'!C385)),"",IFERROR(K349/L349,"-"))</f>
        <v>0</v>
      </c>
      <c r="N349" s="7" t="str">
        <f>IF(ISNUMBER(SEARCH("World",'RawData'!C385)),"",IF(ISNUMBER(SEARCH("Other",C349)),COUNTIFS('RawData'!B:B,B349,'RawData'!C:C,"&lt;&gt;*World*"),IF(OR(K349="",K349=0),"-",SUMPRODUCT(('RawData'!B$2:B$822=B349)*('RawData'!H$2:H$822&gt;K349)*(ISERROR(SEARCH("World",'RawData'!C$2:C$822)))*(ISERROR(SEARCH("Other",'RawData'!C$2:C$822))))+1)))</f>
        <v>-</v>
      </c>
    </row>
    <row r="350" spans="1:14" x14ac:dyDescent="0.3">
      <c r="A350" s="4" t="str">
        <f>IF(ISNUMBER(SEARCH("World",'RawData'!C386)),"",'RawData'!A386)</f>
        <v>MCS2026</v>
      </c>
      <c r="B350" s="4" t="str">
        <f>IF(ISNUMBER(SEARCH("World",'RawData'!C386)),"",'RawData'!B386)</f>
        <v>Magnesium</v>
      </c>
      <c r="C350" s="4" t="str">
        <f>IF(ISNUMBER(SEARCH("World",'RawData'!C386)),"",'RawData'!C386)</f>
        <v>China</v>
      </c>
      <c r="D350" s="4" t="str">
        <f>IF(ISNUMBER(SEARCH("World",'RawData'!C386)),"",'RawData'!D386)</f>
        <v>Mine production, magnesite - gross weight</v>
      </c>
      <c r="E350" s="4" t="str">
        <f>IF(ISNUMBER(SEARCH("World",'RawData'!C386)),"",IF('RawData'!E386="WT001","kg",IF('RawData'!E386="WT002","ton",IF('RawData'!E386="WT003","k ton",""))))</f>
        <v>k ton</v>
      </c>
      <c r="F350" s="14">
        <f>IF(ISNUMBER(SEARCH("World",'RawData'!C386)),"",'RawData'!F386)</f>
        <v>12900</v>
      </c>
      <c r="G350" s="14">
        <f>IF(ISNUMBER(SEARCH("World",'RawData'!C386)),"",'RawData'!G386)</f>
        <v>12700</v>
      </c>
      <c r="H350" s="14">
        <f>IF(ISNUMBER(SEARCH("World",'RawData'!C386)),"",SUMIFS('RawData'!G:G,'RawData'!B:B,'RawData'!B386,'RawData'!C:C,"*World*"))</f>
        <v>21000</v>
      </c>
      <c r="I350" s="15">
        <f>IF(ISNUMBER(SEARCH("World",'RawData'!C386)),"",IFERROR(G350/H350,"-"))</f>
        <v>0.60476190476190472</v>
      </c>
      <c r="J350" s="7">
        <f>IF(ISNUMBER(SEARCH("World",'RawData'!C386)),"",IF(ISNUMBER(SEARCH("Other",C350)),COUNTIFS('RawData'!B:B,B350,'RawData'!C:C,"&lt;&gt;*World*"),IF(OR(G350="",G350=0),"-",SUMPRODUCT(('RawData'!B$2:B$822=B350)*('RawData'!G$2:G$822&gt;G350)*(ISERROR(SEARCH("World",'RawData'!C$2:C$822)))*(ISERROR(SEARCH("Other",'RawData'!C$2:C$822))))+1)))</f>
        <v>1</v>
      </c>
      <c r="K350" s="14">
        <f>IF(ISNUMBER(SEARCH("World",'RawData'!C386)),"",'RawData'!H386)</f>
        <v>700000</v>
      </c>
      <c r="L350" s="14">
        <f>IF(ISNUMBER(SEARCH("World",'RawData'!C386)),"",SUMIFS('RawData'!H:H,'RawData'!B:B,'RawData'!B386,'RawData'!C:C,"*World*"))</f>
        <v>7800000</v>
      </c>
      <c r="M350" s="15">
        <f>IF(ISNUMBER(SEARCH("World",'RawData'!C386)),"",IFERROR(K350/L350,"-"))</f>
        <v>8.9743589743589744E-2</v>
      </c>
      <c r="N350" s="7">
        <f>IF(ISNUMBER(SEARCH("World",'RawData'!C386)),"",IF(ISNUMBER(SEARCH("Other",C350)),COUNTIFS('RawData'!B:B,B350,'RawData'!C:C,"&lt;&gt;*World*"),IF(OR(K350="",K350=0),"-",SUMPRODUCT(('RawData'!B$2:B$822=B350)*('RawData'!H$2:H$822&gt;K350)*(ISERROR(SEARCH("World",'RawData'!C$2:C$822)))*(ISERROR(SEARCH("Other",'RawData'!C$2:C$822))))+1)))</f>
        <v>3</v>
      </c>
    </row>
    <row r="351" spans="1:14" x14ac:dyDescent="0.3">
      <c r="A351" s="4" t="str">
        <f>IF(ISNUMBER(SEARCH("World",'RawData'!C387)),"",'RawData'!A387)</f>
        <v>MCS2026</v>
      </c>
      <c r="B351" s="4" t="str">
        <f>IF(ISNUMBER(SEARCH("World",'RawData'!C387)),"",'RawData'!B387)</f>
        <v>Magnesium</v>
      </c>
      <c r="C351" s="4" t="str">
        <f>IF(ISNUMBER(SEARCH("World",'RawData'!C387)),"",'RawData'!C387)</f>
        <v>Greece</v>
      </c>
      <c r="D351" s="4" t="str">
        <f>IF(ISNUMBER(SEARCH("World",'RawData'!C387)),"",'RawData'!D387)</f>
        <v>Mine production, magnesite - gross weight</v>
      </c>
      <c r="E351" s="4" t="str">
        <f>IF(ISNUMBER(SEARCH("World",'RawData'!C387)),"",IF('RawData'!E387="WT001","kg",IF('RawData'!E387="WT002","ton",IF('RawData'!E387="WT003","k ton",""))))</f>
        <v>k ton</v>
      </c>
      <c r="F351" s="14">
        <f>IF(ISNUMBER(SEARCH("World",'RawData'!C387)),"",'RawData'!F387)</f>
        <v>134</v>
      </c>
      <c r="G351" s="14">
        <f>IF(ISNUMBER(SEARCH("World",'RawData'!C387)),"",'RawData'!G387)</f>
        <v>130</v>
      </c>
      <c r="H351" s="14">
        <f>IF(ISNUMBER(SEARCH("World",'RawData'!C387)),"",SUMIFS('RawData'!G:G,'RawData'!B:B,'RawData'!B387,'RawData'!C:C,"*World*"))</f>
        <v>21000</v>
      </c>
      <c r="I351" s="15">
        <f>IF(ISNUMBER(SEARCH("World",'RawData'!C387)),"",IFERROR(G351/H351,"-"))</f>
        <v>6.1904761904761907E-3</v>
      </c>
      <c r="J351" s="7">
        <f>IF(ISNUMBER(SEARCH("World",'RawData'!C387)),"",IF(ISNUMBER(SEARCH("Other",C351)),COUNTIFS('RawData'!B:B,B351,'RawData'!C:C,"&lt;&gt;*World*"),IF(OR(G351="",G351=0),"-",SUMPRODUCT(('RawData'!B$2:B$822=B351)*('RawData'!G$2:G$822&gt;G351)*(ISERROR(SEARCH("World",'RawData'!C$2:C$822)))*(ISERROR(SEARCH("Other",'RawData'!C$2:C$822))))+1)))</f>
        <v>11</v>
      </c>
      <c r="K351" s="14">
        <f>IF(ISNUMBER(SEARCH("World",'RawData'!C387)),"",'RawData'!H387)</f>
        <v>280000</v>
      </c>
      <c r="L351" s="14">
        <f>IF(ISNUMBER(SEARCH("World",'RawData'!C387)),"",SUMIFS('RawData'!H:H,'RawData'!B:B,'RawData'!B387,'RawData'!C:C,"*World*"))</f>
        <v>7800000</v>
      </c>
      <c r="M351" s="15">
        <f>IF(ISNUMBER(SEARCH("World",'RawData'!C387)),"",IFERROR(K351/L351,"-"))</f>
        <v>3.5897435897435895E-2</v>
      </c>
      <c r="N351" s="7">
        <f>IF(ISNUMBER(SEARCH("World",'RawData'!C387)),"",IF(ISNUMBER(SEARCH("Other",C351)),COUNTIFS('RawData'!B:B,B351,'RawData'!C:C,"&lt;&gt;*World*"),IF(OR(K351="",K351=0),"-",SUMPRODUCT(('RawData'!B$2:B$822=B351)*('RawData'!H$2:H$822&gt;K351)*(ISERROR(SEARCH("World",'RawData'!C$2:C$822)))*(ISERROR(SEARCH("Other",'RawData'!C$2:C$822))))+1)))</f>
        <v>4</v>
      </c>
    </row>
    <row r="352" spans="1:14" x14ac:dyDescent="0.3">
      <c r="A352" s="4" t="str">
        <f>IF(ISNUMBER(SEARCH("World",'RawData'!C388)),"",'RawData'!A388)</f>
        <v>MCS2026</v>
      </c>
      <c r="B352" s="4" t="str">
        <f>IF(ISNUMBER(SEARCH("World",'RawData'!C388)),"",'RawData'!B388)</f>
        <v>Magnesium</v>
      </c>
      <c r="C352" s="4" t="str">
        <f>IF(ISNUMBER(SEARCH("World",'RawData'!C388)),"",'RawData'!C388)</f>
        <v>India</v>
      </c>
      <c r="D352" s="4" t="str">
        <f>IF(ISNUMBER(SEARCH("World",'RawData'!C388)),"",'RawData'!D388)</f>
        <v>Mine production, magnesite - gross weight</v>
      </c>
      <c r="E352" s="4" t="str">
        <f>IF(ISNUMBER(SEARCH("World",'RawData'!C388)),"",IF('RawData'!E388="WT001","kg",IF('RawData'!E388="WT002","ton",IF('RawData'!E388="WT003","k ton",""))))</f>
        <v>k ton</v>
      </c>
      <c r="F352" s="14">
        <f>IF(ISNUMBER(SEARCH("World",'RawData'!C388)),"",'RawData'!F388)</f>
        <v>117</v>
      </c>
      <c r="G352" s="14">
        <f>IF(ISNUMBER(SEARCH("World",'RawData'!C388)),"",'RawData'!G388)</f>
        <v>85</v>
      </c>
      <c r="H352" s="14">
        <f>IF(ISNUMBER(SEARCH("World",'RawData'!C388)),"",SUMIFS('RawData'!G:G,'RawData'!B:B,'RawData'!B388,'RawData'!C:C,"*World*"))</f>
        <v>21000</v>
      </c>
      <c r="I352" s="15">
        <f>IF(ISNUMBER(SEARCH("World",'RawData'!C388)),"",IFERROR(G352/H352,"-"))</f>
        <v>4.0476190476190473E-3</v>
      </c>
      <c r="J352" s="7">
        <f>IF(ISNUMBER(SEARCH("World",'RawData'!C388)),"",IF(ISNUMBER(SEARCH("Other",C352)),COUNTIFS('RawData'!B:B,B352,'RawData'!C:C,"&lt;&gt;*World*"),IF(OR(G352="",G352=0),"-",SUMPRODUCT(('RawData'!B$2:B$822=B352)*('RawData'!G$2:G$822&gt;G352)*(ISERROR(SEARCH("World",'RawData'!C$2:C$822)))*(ISERROR(SEARCH("Other",'RawData'!C$2:C$822))))+1)))</f>
        <v>12</v>
      </c>
      <c r="K352" s="14">
        <f>IF(ISNUMBER(SEARCH("World",'RawData'!C388)),"",'RawData'!H388)</f>
        <v>66000</v>
      </c>
      <c r="L352" s="14">
        <f>IF(ISNUMBER(SEARCH("World",'RawData'!C388)),"",SUMIFS('RawData'!H:H,'RawData'!B:B,'RawData'!B388,'RawData'!C:C,"*World*"))</f>
        <v>7800000</v>
      </c>
      <c r="M352" s="15">
        <f>IF(ISNUMBER(SEARCH("World",'RawData'!C388)),"",IFERROR(K352/L352,"-"))</f>
        <v>8.4615384615384613E-3</v>
      </c>
      <c r="N352" s="7">
        <f>IF(ISNUMBER(SEARCH("World",'RawData'!C388)),"",IF(ISNUMBER(SEARCH("Other",C352)),COUNTIFS('RawData'!B:B,B352,'RawData'!C:C,"&lt;&gt;*World*"),IF(OR(K352="",K352=0),"-",SUMPRODUCT(('RawData'!B$2:B$822=B352)*('RawData'!H$2:H$822&gt;K352)*(ISERROR(SEARCH("World",'RawData'!C$2:C$822)))*(ISERROR(SEARCH("Other",'RawData'!C$2:C$822))))+1)))</f>
        <v>8</v>
      </c>
    </row>
    <row r="353" spans="1:14" x14ac:dyDescent="0.3">
      <c r="A353" s="4" t="str">
        <f>IF(ISNUMBER(SEARCH("World",'RawData'!C389)),"",'RawData'!A389)</f>
        <v>MCS2026</v>
      </c>
      <c r="B353" s="4" t="str">
        <f>IF(ISNUMBER(SEARCH("World",'RawData'!C389)),"",'RawData'!B389)</f>
        <v>Magnesium</v>
      </c>
      <c r="C353" s="4" t="str">
        <f>IF(ISNUMBER(SEARCH("World",'RawData'!C389)),"",'RawData'!C389)</f>
        <v>Iran</v>
      </c>
      <c r="D353" s="4" t="str">
        <f>IF(ISNUMBER(SEARCH("World",'RawData'!C389)),"",'RawData'!D389)</f>
        <v>Mine production, magnesite - gross weight</v>
      </c>
      <c r="E353" s="4" t="str">
        <f>IF(ISNUMBER(SEARCH("World",'RawData'!C389)),"",IF('RawData'!E389="WT001","kg",IF('RawData'!E389="WT002","ton",IF('RawData'!E389="WT003","k ton",""))))</f>
        <v>k ton</v>
      </c>
      <c r="F353" s="14">
        <f>IF(ISNUMBER(SEARCH("World",'RawData'!C389)),"",'RawData'!F389)</f>
        <v>200</v>
      </c>
      <c r="G353" s="14">
        <f>IF(ISNUMBER(SEARCH("World",'RawData'!C389)),"",'RawData'!G389)</f>
        <v>200</v>
      </c>
      <c r="H353" s="14">
        <f>IF(ISNUMBER(SEARCH("World",'RawData'!C389)),"",SUMIFS('RawData'!G:G,'RawData'!B:B,'RawData'!B389,'RawData'!C:C,"*World*"))</f>
        <v>21000</v>
      </c>
      <c r="I353" s="15">
        <f>IF(ISNUMBER(SEARCH("World",'RawData'!C389)),"",IFERROR(G353/H353,"-"))</f>
        <v>9.5238095238095247E-3</v>
      </c>
      <c r="J353" s="7">
        <f>IF(ISNUMBER(SEARCH("World",'RawData'!C389)),"",IF(ISNUMBER(SEARCH("Other",C353)),COUNTIFS('RawData'!B:B,B353,'RawData'!C:C,"&lt;&gt;*World*"),IF(OR(G353="",G353=0),"-",SUMPRODUCT(('RawData'!B$2:B$822=B353)*('RawData'!G$2:G$822&gt;G353)*(ISERROR(SEARCH("World",'RawData'!C$2:C$822)))*(ISERROR(SEARCH("Other",'RawData'!C$2:C$822))))+1)))</f>
        <v>10</v>
      </c>
      <c r="K353" s="14">
        <f>IF(ISNUMBER(SEARCH("World",'RawData'!C389)),"",'RawData'!H389)</f>
        <v>10000</v>
      </c>
      <c r="L353" s="14">
        <f>IF(ISNUMBER(SEARCH("World",'RawData'!C389)),"",SUMIFS('RawData'!H:H,'RawData'!B:B,'RawData'!B389,'RawData'!C:C,"*World*"))</f>
        <v>7800000</v>
      </c>
      <c r="M353" s="15">
        <f>IF(ISNUMBER(SEARCH("World",'RawData'!C389)),"",IFERROR(K353/L353,"-"))</f>
        <v>1.2820512820512821E-3</v>
      </c>
      <c r="N353" s="7">
        <f>IF(ISNUMBER(SEARCH("World",'RawData'!C389)),"",IF(ISNUMBER(SEARCH("Other",C353)),COUNTIFS('RawData'!B:B,B353,'RawData'!C:C,"&lt;&gt;*World*"),IF(OR(K353="",K353=0),"-",SUMPRODUCT(('RawData'!B$2:B$822=B353)*('RawData'!H$2:H$822&gt;K353)*(ISERROR(SEARCH("World",'RawData'!C$2:C$822)))*(ISERROR(SEARCH("Other",'RawData'!C$2:C$822))))+1)))</f>
        <v>12</v>
      </c>
    </row>
    <row r="354" spans="1:14" x14ac:dyDescent="0.3">
      <c r="A354" s="4" t="str">
        <f>IF(ISNUMBER(SEARCH("World",'RawData'!C390)),"",'RawData'!A390)</f>
        <v>MCS2026</v>
      </c>
      <c r="B354" s="4" t="str">
        <f>IF(ISNUMBER(SEARCH("World",'RawData'!C390)),"",'RawData'!B390)</f>
        <v>Magnesium</v>
      </c>
      <c r="C354" s="4" t="str">
        <f>IF(ISNUMBER(SEARCH("World",'RawData'!C390)),"",'RawData'!C390)</f>
        <v>Other Countries</v>
      </c>
      <c r="D354" s="4" t="str">
        <f>IF(ISNUMBER(SEARCH("World",'RawData'!C390)),"",'RawData'!D390)</f>
        <v>Mine production, magnesite - gross weight</v>
      </c>
      <c r="E354" s="4" t="str">
        <f>IF(ISNUMBER(SEARCH("World",'RawData'!C390)),"",IF('RawData'!E390="WT001","kg",IF('RawData'!E390="WT002","ton",IF('RawData'!E390="WT003","k ton",""))))</f>
        <v>k ton</v>
      </c>
      <c r="F354" s="14">
        <f>IF(ISNUMBER(SEARCH("World",'RawData'!C390)),"",'RawData'!F390)</f>
        <v>341</v>
      </c>
      <c r="G354" s="14">
        <f>IF(ISNUMBER(SEARCH("World",'RawData'!C390)),"",'RawData'!G390)</f>
        <v>340</v>
      </c>
      <c r="H354" s="14">
        <f>IF(ISNUMBER(SEARCH("World",'RawData'!C390)),"",SUMIFS('RawData'!G:G,'RawData'!B:B,'RawData'!B390,'RawData'!C:C,"*World*"))</f>
        <v>21000</v>
      </c>
      <c r="I354" s="15">
        <f>IF(ISNUMBER(SEARCH("World",'RawData'!C390)),"",IFERROR(G354/H354,"-"))</f>
        <v>1.6190476190476189E-2</v>
      </c>
      <c r="J354" s="7">
        <f>IF(ISNUMBER(SEARCH("World",'RawData'!C390)),"",IF(ISNUMBER(SEARCH("Other",C354)),COUNTIFS('RawData'!B:B,B354,'RawData'!C:C,"&lt;&gt;*World*"),IF(OR(G354="",G354=0),"-",SUMPRODUCT(('RawData'!B$2:B$822=B354)*('RawData'!G$2:G$822&gt;G354)*(ISERROR(SEARCH("World",'RawData'!C$2:C$822)))*(ISERROR(SEARCH("Other",'RawData'!C$2:C$822))))+1)))</f>
        <v>14</v>
      </c>
      <c r="K354" s="14">
        <f>IF(ISNUMBER(SEARCH("World",'RawData'!C390)),"",'RawData'!H390)</f>
        <v>2500000</v>
      </c>
      <c r="L354" s="14">
        <f>IF(ISNUMBER(SEARCH("World",'RawData'!C390)),"",SUMIFS('RawData'!H:H,'RawData'!B:B,'RawData'!B390,'RawData'!C:C,"*World*"))</f>
        <v>7800000</v>
      </c>
      <c r="M354" s="15">
        <f>IF(ISNUMBER(SEARCH("World",'RawData'!C390)),"",IFERROR(K354/L354,"-"))</f>
        <v>0.32051282051282054</v>
      </c>
      <c r="N354" s="7">
        <f>IF(ISNUMBER(SEARCH("World",'RawData'!C390)),"",IF(ISNUMBER(SEARCH("Other",C354)),COUNTIFS('RawData'!B:B,B354,'RawData'!C:C,"&lt;&gt;*World*"),IF(OR(K354="",K354=0),"-",SUMPRODUCT(('RawData'!B$2:B$822=B354)*('RawData'!H$2:H$822&gt;K354)*(ISERROR(SEARCH("World",'RawData'!C$2:C$822)))*(ISERROR(SEARCH("Other",'RawData'!C$2:C$822))))+1)))</f>
        <v>14</v>
      </c>
    </row>
    <row r="355" spans="1:14" x14ac:dyDescent="0.3">
      <c r="A355" s="4" t="str">
        <f>IF(ISNUMBER(SEARCH("World",'RawData'!C391)),"",'RawData'!A391)</f>
        <v>MCS2026</v>
      </c>
      <c r="B355" s="4" t="str">
        <f>IF(ISNUMBER(SEARCH("World",'RawData'!C391)),"",'RawData'!B391)</f>
        <v>Magnesium</v>
      </c>
      <c r="C355" s="4" t="str">
        <f>IF(ISNUMBER(SEARCH("World",'RawData'!C391)),"",'RawData'!C391)</f>
        <v>Turkiye</v>
      </c>
      <c r="D355" s="4" t="str">
        <f>IF(ISNUMBER(SEARCH("World",'RawData'!C391)),"",'RawData'!D391)</f>
        <v>Mine production, magnesite - gross weight</v>
      </c>
      <c r="E355" s="4" t="str">
        <f>IF(ISNUMBER(SEARCH("World",'RawData'!C391)),"",IF('RawData'!E391="WT001","kg",IF('RawData'!E391="WT002","ton",IF('RawData'!E391="WT003","k ton",""))))</f>
        <v>k ton</v>
      </c>
      <c r="F355" s="14">
        <f>IF(ISNUMBER(SEARCH("World",'RawData'!C391)),"",'RawData'!F391)</f>
        <v>1600</v>
      </c>
      <c r="G355" s="14">
        <f>IF(ISNUMBER(SEARCH("World",'RawData'!C391)),"",'RawData'!G391)</f>
        <v>1600</v>
      </c>
      <c r="H355" s="14">
        <f>IF(ISNUMBER(SEARCH("World",'RawData'!C391)),"",SUMIFS('RawData'!G:G,'RawData'!B:B,'RawData'!B391,'RawData'!C:C,"*World*"))</f>
        <v>21000</v>
      </c>
      <c r="I355" s="15">
        <f>IF(ISNUMBER(SEARCH("World",'RawData'!C391)),"",IFERROR(G355/H355,"-"))</f>
        <v>7.6190476190476197E-2</v>
      </c>
      <c r="J355" s="7">
        <f>IF(ISNUMBER(SEARCH("World",'RawData'!C391)),"",IF(ISNUMBER(SEARCH("Other",C355)),COUNTIFS('RawData'!B:B,B355,'RawData'!C:C,"&lt;&gt;*World*"),IF(OR(G355="",G355=0),"-",SUMPRODUCT(('RawData'!B$2:B$822=B355)*('RawData'!G$2:G$822&gt;G355)*(ISERROR(SEARCH("World",'RawData'!C$2:C$822)))*(ISERROR(SEARCH("Other",'RawData'!C$2:C$822))))+1)))</f>
        <v>4</v>
      </c>
      <c r="K355" s="14">
        <f>IF(ISNUMBER(SEARCH("World",'RawData'!C391)),"",'RawData'!H391)</f>
        <v>110000</v>
      </c>
      <c r="L355" s="14">
        <f>IF(ISNUMBER(SEARCH("World",'RawData'!C391)),"",SUMIFS('RawData'!H:H,'RawData'!B:B,'RawData'!B391,'RawData'!C:C,"*World*"))</f>
        <v>7800000</v>
      </c>
      <c r="M355" s="15">
        <f>IF(ISNUMBER(SEARCH("World",'RawData'!C391)),"",IFERROR(K355/L355,"-"))</f>
        <v>1.4102564102564103E-2</v>
      </c>
      <c r="N355" s="7">
        <f>IF(ISNUMBER(SEARCH("World",'RawData'!C391)),"",IF(ISNUMBER(SEARCH("Other",C355)),COUNTIFS('RawData'!B:B,B355,'RawData'!C:C,"&lt;&gt;*World*"),IF(OR(K355="",K355=0),"-",SUMPRODUCT(('RawData'!B$2:B$822=B355)*('RawData'!H$2:H$822&gt;K355)*(ISERROR(SEARCH("World",'RawData'!C$2:C$822)))*(ISERROR(SEARCH("Other",'RawData'!C$2:C$822))))+1)))</f>
        <v>7</v>
      </c>
    </row>
    <row r="356" spans="1:14" x14ac:dyDescent="0.3">
      <c r="A356" s="4" t="str">
        <f>IF(ISNUMBER(SEARCH("World",'RawData'!C392)),"",'RawData'!A392)</f>
        <v>MCS2026</v>
      </c>
      <c r="B356" s="4" t="str">
        <f>IF(ISNUMBER(SEARCH("World",'RawData'!C392)),"",'RawData'!B392)</f>
        <v>Magnesium</v>
      </c>
      <c r="C356" s="4" t="str">
        <f>IF(ISNUMBER(SEARCH("World",'RawData'!C392)),"",'RawData'!C392)</f>
        <v xml:space="preserve">Russia </v>
      </c>
      <c r="D356" s="4" t="str">
        <f>IF(ISNUMBER(SEARCH("World",'RawData'!C392)),"",'RawData'!D392)</f>
        <v>Mine production, magnesite - gross weight</v>
      </c>
      <c r="E356" s="4" t="str">
        <f>IF(ISNUMBER(SEARCH("World",'RawData'!C392)),"",IF('RawData'!E392="WT001","kg",IF('RawData'!E392="WT002","ton",IF('RawData'!E392="WT003","k ton",""))))</f>
        <v>k ton</v>
      </c>
      <c r="F356" s="14">
        <f>IF(ISNUMBER(SEARCH("World",'RawData'!C392)),"",'RawData'!F392)</f>
        <v>1690</v>
      </c>
      <c r="G356" s="14">
        <f>IF(ISNUMBER(SEARCH("World",'RawData'!C392)),"",'RawData'!G392)</f>
        <v>1700</v>
      </c>
      <c r="H356" s="14">
        <f>IF(ISNUMBER(SEARCH("World",'RawData'!C392)),"",SUMIFS('RawData'!G:G,'RawData'!B:B,'RawData'!B392,'RawData'!C:C,"*World*"))</f>
        <v>21000</v>
      </c>
      <c r="I356" s="15">
        <f>IF(ISNUMBER(SEARCH("World",'RawData'!C392)),"",IFERROR(G356/H356,"-"))</f>
        <v>8.0952380952380956E-2</v>
      </c>
      <c r="J356" s="7">
        <f>IF(ISNUMBER(SEARCH("World",'RawData'!C392)),"",IF(ISNUMBER(SEARCH("Other",C356)),COUNTIFS('RawData'!B:B,B356,'RawData'!C:C,"&lt;&gt;*World*"),IF(OR(G356="",G356=0),"-",SUMPRODUCT(('RawData'!B$2:B$822=B356)*('RawData'!G$2:G$822&gt;G356)*(ISERROR(SEARCH("World",'RawData'!C$2:C$822)))*(ISERROR(SEARCH("Other",'RawData'!C$2:C$822))))+1)))</f>
        <v>3</v>
      </c>
      <c r="K356" s="14">
        <f>IF(ISNUMBER(SEARCH("World",'RawData'!C392)),"",'RawData'!H392)</f>
        <v>2300000</v>
      </c>
      <c r="L356" s="14">
        <f>IF(ISNUMBER(SEARCH("World",'RawData'!C392)),"",SUMIFS('RawData'!H:H,'RawData'!B:B,'RawData'!B392,'RawData'!C:C,"*World*"))</f>
        <v>7800000</v>
      </c>
      <c r="M356" s="15">
        <f>IF(ISNUMBER(SEARCH("World",'RawData'!C392)),"",IFERROR(K356/L356,"-"))</f>
        <v>0.29487179487179488</v>
      </c>
      <c r="N356" s="7">
        <f>IF(ISNUMBER(SEARCH("World",'RawData'!C392)),"",IF(ISNUMBER(SEARCH("Other",C356)),COUNTIFS('RawData'!B:B,B356,'RawData'!C:C,"&lt;&gt;*World*"),IF(OR(K356="",K356=0),"-",SUMPRODUCT(('RawData'!B$2:B$822=B356)*('RawData'!H$2:H$822&gt;K356)*(ISERROR(SEARCH("World",'RawData'!C$2:C$822)))*(ISERROR(SEARCH("Other",'RawData'!C$2:C$822))))+1)))</f>
        <v>1</v>
      </c>
    </row>
    <row r="357" spans="1:14" x14ac:dyDescent="0.3">
      <c r="A357" s="4" t="str">
        <f>IF(ISNUMBER(SEARCH("World",'RawData'!C393)),"",'RawData'!A393)</f>
        <v>MCS2026</v>
      </c>
      <c r="B357" s="4" t="str">
        <f>IF(ISNUMBER(SEARCH("World",'RawData'!C393)),"",'RawData'!B393)</f>
        <v>Magnesium</v>
      </c>
      <c r="C357" s="4" t="str">
        <f>IF(ISNUMBER(SEARCH("World",'RawData'!C393)),"",'RawData'!C393)</f>
        <v>Slovakia</v>
      </c>
      <c r="D357" s="4" t="str">
        <f>IF(ISNUMBER(SEARCH("World",'RawData'!C393)),"",'RawData'!D393)</f>
        <v>Mine production, magnesite - gross weight</v>
      </c>
      <c r="E357" s="4" t="str">
        <f>IF(ISNUMBER(SEARCH("World",'RawData'!C393)),"",IF('RawData'!E393="WT001","kg",IF('RawData'!E393="WT002","ton",IF('RawData'!E393="WT003","k ton",""))))</f>
        <v>k ton</v>
      </c>
      <c r="F357" s="14">
        <f>IF(ISNUMBER(SEARCH("World",'RawData'!C393)),"",'RawData'!F393)</f>
        <v>334</v>
      </c>
      <c r="G357" s="14">
        <f>IF(ISNUMBER(SEARCH("World",'RawData'!C393)),"",'RawData'!G393)</f>
        <v>330</v>
      </c>
      <c r="H357" s="14">
        <f>IF(ISNUMBER(SEARCH("World",'RawData'!C393)),"",SUMIFS('RawData'!G:G,'RawData'!B:B,'RawData'!B393,'RawData'!C:C,"*World*"))</f>
        <v>21000</v>
      </c>
      <c r="I357" s="15">
        <f>IF(ISNUMBER(SEARCH("World",'RawData'!C393)),"",IFERROR(G357/H357,"-"))</f>
        <v>1.5714285714285715E-2</v>
      </c>
      <c r="J357" s="7">
        <f>IF(ISNUMBER(SEARCH("World",'RawData'!C393)),"",IF(ISNUMBER(SEARCH("Other",C357)),COUNTIFS('RawData'!B:B,B357,'RawData'!C:C,"&lt;&gt;*World*"),IF(OR(G357="",G357=0),"-",SUMPRODUCT(('RawData'!B$2:B$822=B357)*('RawData'!G$2:G$822&gt;G357)*(ISERROR(SEARCH("World",'RawData'!C$2:C$822)))*(ISERROR(SEARCH("Other",'RawData'!C$2:C$822))))+1)))</f>
        <v>8</v>
      </c>
      <c r="K357" s="14">
        <f>IF(ISNUMBER(SEARCH("World",'RawData'!C393)),"",'RawData'!H393)</f>
        <v>1200000</v>
      </c>
      <c r="L357" s="14">
        <f>IF(ISNUMBER(SEARCH("World",'RawData'!C393)),"",SUMIFS('RawData'!H:H,'RawData'!B:B,'RawData'!B393,'RawData'!C:C,"*World*"))</f>
        <v>7800000</v>
      </c>
      <c r="M357" s="15">
        <f>IF(ISNUMBER(SEARCH("World",'RawData'!C393)),"",IFERROR(K357/L357,"-"))</f>
        <v>0.15384615384615385</v>
      </c>
      <c r="N357" s="7">
        <f>IF(ISNUMBER(SEARCH("World",'RawData'!C393)),"",IF(ISNUMBER(SEARCH("Other",C357)),COUNTIFS('RawData'!B:B,B357,'RawData'!C:C,"&lt;&gt;*World*"),IF(OR(K357="",K357=0),"-",SUMPRODUCT(('RawData'!B$2:B$822=B357)*('RawData'!H$2:H$822&gt;K357)*(ISERROR(SEARCH("World",'RawData'!C$2:C$822)))*(ISERROR(SEARCH("Other",'RawData'!C$2:C$822))))+1)))</f>
        <v>2</v>
      </c>
    </row>
    <row r="358" spans="1:14" x14ac:dyDescent="0.3">
      <c r="A358" s="4" t="str">
        <f>IF(ISNUMBER(SEARCH("World",'RawData'!C394)),"",'RawData'!A394)</f>
        <v>MCS2026</v>
      </c>
      <c r="B358" s="4" t="str">
        <f>IF(ISNUMBER(SEARCH("World",'RawData'!C394)),"",'RawData'!B394)</f>
        <v>Magnesium</v>
      </c>
      <c r="C358" s="4" t="str">
        <f>IF(ISNUMBER(SEARCH("World",'RawData'!C394)),"",'RawData'!C394)</f>
        <v>Spain</v>
      </c>
      <c r="D358" s="4" t="str">
        <f>IF(ISNUMBER(SEARCH("World",'RawData'!C394)),"",'RawData'!D394)</f>
        <v>Mine production, magnesite - gross weight</v>
      </c>
      <c r="E358" s="4" t="str">
        <f>IF(ISNUMBER(SEARCH("World",'RawData'!C394)),"",IF('RawData'!E394="WT001","kg",IF('RawData'!E394="WT002","ton",IF('RawData'!E394="WT003","k ton",""))))</f>
        <v>k ton</v>
      </c>
      <c r="F358" s="14">
        <f>IF(ISNUMBER(SEARCH("World",'RawData'!C394)),"",'RawData'!F394)</f>
        <v>655</v>
      </c>
      <c r="G358" s="14">
        <f>IF(ISNUMBER(SEARCH("World",'RawData'!C394)),"",'RawData'!G394)</f>
        <v>640</v>
      </c>
      <c r="H358" s="14">
        <f>IF(ISNUMBER(SEARCH("World",'RawData'!C394)),"",SUMIFS('RawData'!G:G,'RawData'!B:B,'RawData'!B394,'RawData'!C:C,"*World*"))</f>
        <v>21000</v>
      </c>
      <c r="I358" s="15">
        <f>IF(ISNUMBER(SEARCH("World",'RawData'!C394)),"",IFERROR(G358/H358,"-"))</f>
        <v>3.0476190476190476E-2</v>
      </c>
      <c r="J358" s="7">
        <f>IF(ISNUMBER(SEARCH("World",'RawData'!C394)),"",IF(ISNUMBER(SEARCH("Other",C358)),COUNTIFS('RawData'!B:B,B358,'RawData'!C:C,"&lt;&gt;*World*"),IF(OR(G358="",G358=0),"-",SUMPRODUCT(('RawData'!B$2:B$822=B358)*('RawData'!G$2:G$822&gt;G358)*(ISERROR(SEARCH("World",'RawData'!C$2:C$822)))*(ISERROR(SEARCH("Other",'RawData'!C$2:C$822))))+1)))</f>
        <v>6</v>
      </c>
      <c r="K358" s="14">
        <f>IF(ISNUMBER(SEARCH("World",'RawData'!C394)),"",'RawData'!H394)</f>
        <v>35000</v>
      </c>
      <c r="L358" s="14">
        <f>IF(ISNUMBER(SEARCH("World",'RawData'!C394)),"",SUMIFS('RawData'!H:H,'RawData'!B:B,'RawData'!B394,'RawData'!C:C,"*World*"))</f>
        <v>7800000</v>
      </c>
      <c r="M358" s="15">
        <f>IF(ISNUMBER(SEARCH("World",'RawData'!C394)),"",IFERROR(K358/L358,"-"))</f>
        <v>4.4871794871794869E-3</v>
      </c>
      <c r="N358" s="7">
        <f>IF(ISNUMBER(SEARCH("World",'RawData'!C394)),"",IF(ISNUMBER(SEARCH("Other",C358)),COUNTIFS('RawData'!B:B,B358,'RawData'!C:C,"&lt;&gt;*World*"),IF(OR(K358="",K358=0),"-",SUMPRODUCT(('RawData'!B$2:B$822=B358)*('RawData'!H$2:H$822&gt;K358)*(ISERROR(SEARCH("World",'RawData'!C$2:C$822)))*(ISERROR(SEARCH("Other",'RawData'!C$2:C$822))))+1)))</f>
        <v>10</v>
      </c>
    </row>
    <row r="359" spans="1:14" x14ac:dyDescent="0.3">
      <c r="A359" s="4" t="str">
        <f>IF(ISNUMBER(SEARCH("World",'RawData'!C395)),"",'RawData'!A395)</f>
        <v>MCS2026</v>
      </c>
      <c r="B359" s="4" t="str">
        <f>IF(ISNUMBER(SEARCH("World",'RawData'!C395)),"",'RawData'!B395)</f>
        <v>Magnesium</v>
      </c>
      <c r="C359" s="4" t="str">
        <f>IF(ISNUMBER(SEARCH("World",'RawData'!C395)),"",'RawData'!C395)</f>
        <v>United States</v>
      </c>
      <c r="D359" s="4" t="str">
        <f>IF(ISNUMBER(SEARCH("World",'RawData'!C395)),"",'RawData'!D395)</f>
        <v>Mine production, magnesite - gross weight</v>
      </c>
      <c r="E359" s="4" t="str">
        <f>IF(ISNUMBER(SEARCH("World",'RawData'!C395)),"",IF('RawData'!E395="WT001","kg",IF('RawData'!E395="WT002","ton",IF('RawData'!E395="WT003","k ton",""))))</f>
        <v>k ton</v>
      </c>
      <c r="F359" s="14">
        <f>IF(ISNUMBER(SEARCH("World",'RawData'!C395)),"",'RawData'!F395)</f>
        <v>0</v>
      </c>
      <c r="G359" s="14">
        <f>IF(ISNUMBER(SEARCH("World",'RawData'!C395)),"",'RawData'!G395)</f>
        <v>0</v>
      </c>
      <c r="H359" s="14">
        <f>IF(ISNUMBER(SEARCH("World",'RawData'!C395)),"",SUMIFS('RawData'!G:G,'RawData'!B:B,'RawData'!B395,'RawData'!C:C,"*World*"))</f>
        <v>21000</v>
      </c>
      <c r="I359" s="15">
        <f>IF(ISNUMBER(SEARCH("World",'RawData'!C395)),"",IFERROR(G359/H359,"-"))</f>
        <v>0</v>
      </c>
      <c r="J359" s="7" t="str">
        <f>IF(ISNUMBER(SEARCH("World",'RawData'!C395)),"",IF(ISNUMBER(SEARCH("Other",C359)),COUNTIFS('RawData'!B:B,B359,'RawData'!C:C,"&lt;&gt;*World*"),IF(OR(G359="",G359=0),"-",SUMPRODUCT(('RawData'!B$2:B$822=B359)*('RawData'!G$2:G$822&gt;G359)*(ISERROR(SEARCH("World",'RawData'!C$2:C$822)))*(ISERROR(SEARCH("Other",'RawData'!C$2:C$822))))+1)))</f>
        <v>-</v>
      </c>
      <c r="K359" s="14">
        <f>IF(ISNUMBER(SEARCH("World",'RawData'!C395)),"",'RawData'!H395)</f>
        <v>35000</v>
      </c>
      <c r="L359" s="14">
        <f>IF(ISNUMBER(SEARCH("World",'RawData'!C395)),"",SUMIFS('RawData'!H:H,'RawData'!B:B,'RawData'!B395,'RawData'!C:C,"*World*"))</f>
        <v>7800000</v>
      </c>
      <c r="M359" s="15">
        <f>IF(ISNUMBER(SEARCH("World",'RawData'!C395)),"",IFERROR(K359/L359,"-"))</f>
        <v>4.4871794871794869E-3</v>
      </c>
      <c r="N359" s="7">
        <f>IF(ISNUMBER(SEARCH("World",'RawData'!C395)),"",IF(ISNUMBER(SEARCH("Other",C359)),COUNTIFS('RawData'!B:B,B359,'RawData'!C:C,"&lt;&gt;*World*"),IF(OR(K359="",K359=0),"-",SUMPRODUCT(('RawData'!B$2:B$822=B359)*('RawData'!H$2:H$822&gt;K359)*(ISERROR(SEARCH("World",'RawData'!C$2:C$822)))*(ISERROR(SEARCH("Other",'RawData'!C$2:C$822))))+1)))</f>
        <v>10</v>
      </c>
    </row>
    <row r="360" spans="1:14" x14ac:dyDescent="0.3">
      <c r="A360" s="4" t="str">
        <f>IF(ISNUMBER(SEARCH("World",'RawData'!C397)),"",'RawData'!A397)</f>
        <v>MCS2026</v>
      </c>
      <c r="B360" s="4" t="str">
        <f>IF(ISNUMBER(SEARCH("World",'RawData'!C397)),"",'RawData'!B397)</f>
        <v>Manganese</v>
      </c>
      <c r="C360" s="4" t="str">
        <f>IF(ISNUMBER(SEARCH("World",'RawData'!C397)),"",'RawData'!C397)</f>
        <v>Australia</v>
      </c>
      <c r="D360" s="4" t="str">
        <f>IF(ISNUMBER(SEARCH("World",'RawData'!C397)),"",'RawData'!D397)</f>
        <v>Mine production, manganese content</v>
      </c>
      <c r="E360" s="4" t="str">
        <f>IF(ISNUMBER(SEARCH("World",'RawData'!C397)),"",IF('RawData'!E397="WT001","kg",IF('RawData'!E397="WT002","ton",IF('RawData'!E397="WT003","k ton",""))))</f>
        <v>k ton</v>
      </c>
      <c r="F360" s="14">
        <f>IF(ISNUMBER(SEARCH("World",'RawData'!C397)),"",'RawData'!F397)</f>
        <v>1600</v>
      </c>
      <c r="G360" s="14">
        <f>IF(ISNUMBER(SEARCH("World",'RawData'!C397)),"",'RawData'!G397)</f>
        <v>1600</v>
      </c>
      <c r="H360" s="14">
        <f>IF(ISNUMBER(SEARCH("World",'RawData'!C397)),"",SUMIFS('RawData'!G:G,'RawData'!B:B,'RawData'!B397,'RawData'!C:C,"*World*"))</f>
        <v>20000</v>
      </c>
      <c r="I360" s="15">
        <f>IF(ISNUMBER(SEARCH("World",'RawData'!C397)),"",IFERROR(G360/H360,"-"))</f>
        <v>0.08</v>
      </c>
      <c r="J360" s="7">
        <f>IF(ISNUMBER(SEARCH("World",'RawData'!C397)),"",IF(ISNUMBER(SEARCH("Other",C360)),COUNTIFS('RawData'!B:B,B360,'RawData'!C:C,"&lt;&gt;*World*"),IF(OR(G360="",G360=0),"-",SUMPRODUCT(('RawData'!B$2:B$822=B360)*('RawData'!G$2:G$822&gt;G360)*(ISERROR(SEARCH("World",'RawData'!C$2:C$822)))*(ISERROR(SEARCH("Other",'RawData'!C$2:C$822))))+1)))</f>
        <v>4</v>
      </c>
      <c r="K360" s="14">
        <f>IF(ISNUMBER(SEARCH("World",'RawData'!C397)),"",'RawData'!H397)</f>
        <v>580000</v>
      </c>
      <c r="L360" s="14">
        <f>IF(ISNUMBER(SEARCH("World",'RawData'!C397)),"",SUMIFS('RawData'!H:H,'RawData'!B:B,'RawData'!B397,'RawData'!C:C,"*World*"))</f>
        <v>1800000</v>
      </c>
      <c r="M360" s="15">
        <f>IF(ISNUMBER(SEARCH("World",'RawData'!C397)),"",IFERROR(K360/L360,"-"))</f>
        <v>0.32222222222222224</v>
      </c>
      <c r="N360" s="7">
        <f>IF(ISNUMBER(SEARCH("World",'RawData'!C397)),"",IF(ISNUMBER(SEARCH("Other",C360)),COUNTIFS('RawData'!B:B,B360,'RawData'!C:C,"&lt;&gt;*World*"),IF(OR(K360="",K360=0),"-",SUMPRODUCT(('RawData'!B$2:B$822=B360)*('RawData'!H$2:H$822&gt;K360)*(ISERROR(SEARCH("World",'RawData'!C$2:C$822)))*(ISERROR(SEARCH("Other",'RawData'!C$2:C$822))))+1)))</f>
        <v>1</v>
      </c>
    </row>
    <row r="361" spans="1:14" x14ac:dyDescent="0.3">
      <c r="A361" s="4" t="str">
        <f>IF(ISNUMBER(SEARCH("World",'RawData'!C398)),"",'RawData'!A398)</f>
        <v>MCS2026</v>
      </c>
      <c r="B361" s="4" t="str">
        <f>IF(ISNUMBER(SEARCH("World",'RawData'!C398)),"",'RawData'!B398)</f>
        <v>Manganese</v>
      </c>
      <c r="C361" s="4" t="str">
        <f>IF(ISNUMBER(SEARCH("World",'RawData'!C398)),"",'RawData'!C398)</f>
        <v>Brazil</v>
      </c>
      <c r="D361" s="4" t="str">
        <f>IF(ISNUMBER(SEARCH("World",'RawData'!C398)),"",'RawData'!D398)</f>
        <v>Mine production, manganese content</v>
      </c>
      <c r="E361" s="4" t="str">
        <f>IF(ISNUMBER(SEARCH("World",'RawData'!C398)),"",IF('RawData'!E398="WT001","kg",IF('RawData'!E398="WT002","ton",IF('RawData'!E398="WT003","k ton",""))))</f>
        <v>k ton</v>
      </c>
      <c r="F361" s="14">
        <f>IF(ISNUMBER(SEARCH("World",'RawData'!C398)),"",'RawData'!F398)</f>
        <v>705</v>
      </c>
      <c r="G361" s="14">
        <f>IF(ISNUMBER(SEARCH("World",'RawData'!C398)),"",'RawData'!G398)</f>
        <v>800</v>
      </c>
      <c r="H361" s="14">
        <f>IF(ISNUMBER(SEARCH("World",'RawData'!C398)),"",SUMIFS('RawData'!G:G,'RawData'!B:B,'RawData'!B398,'RawData'!C:C,"*World*"))</f>
        <v>20000</v>
      </c>
      <c r="I361" s="15">
        <f>IF(ISNUMBER(SEARCH("World",'RawData'!C398)),"",IFERROR(G361/H361,"-"))</f>
        <v>0.04</v>
      </c>
      <c r="J361" s="7">
        <f>IF(ISNUMBER(SEARCH("World",'RawData'!C398)),"",IF(ISNUMBER(SEARCH("Other",C361)),COUNTIFS('RawData'!B:B,B361,'RawData'!C:C,"&lt;&gt;*World*"),IF(OR(G361="",G361=0),"-",SUMPRODUCT(('RawData'!B$2:B$822=B361)*('RawData'!G$2:G$822&gt;G361)*(ISERROR(SEARCH("World",'RawData'!C$2:C$822)))*(ISERROR(SEARCH("Other",'RawData'!C$2:C$822))))+1)))</f>
        <v>5</v>
      </c>
      <c r="K361" s="14">
        <f>IF(ISNUMBER(SEARCH("World",'RawData'!C398)),"",'RawData'!H398)</f>
        <v>300000</v>
      </c>
      <c r="L361" s="14">
        <f>IF(ISNUMBER(SEARCH("World",'RawData'!C398)),"",SUMIFS('RawData'!H:H,'RawData'!B:B,'RawData'!B398,'RawData'!C:C,"*World*"))</f>
        <v>1800000</v>
      </c>
      <c r="M361" s="15">
        <f>IF(ISNUMBER(SEARCH("World",'RawData'!C398)),"",IFERROR(K361/L361,"-"))</f>
        <v>0.16666666666666666</v>
      </c>
      <c r="N361" s="7">
        <f>IF(ISNUMBER(SEARCH("World",'RawData'!C398)),"",IF(ISNUMBER(SEARCH("Other",C361)),COUNTIFS('RawData'!B:B,B361,'RawData'!C:C,"&lt;&gt;*World*"),IF(OR(K361="",K361=0),"-",SUMPRODUCT(('RawData'!B$2:B$822=B361)*('RawData'!H$2:H$822&gt;K361)*(ISERROR(SEARCH("World",'RawData'!C$2:C$822)))*(ISERROR(SEARCH("Other",'RawData'!C$2:C$822))))+1)))</f>
        <v>3</v>
      </c>
    </row>
    <row r="362" spans="1:14" x14ac:dyDescent="0.3">
      <c r="A362" s="4" t="str">
        <f>IF(ISNUMBER(SEARCH("World",'RawData'!C399)),"",'RawData'!A399)</f>
        <v>MCS2026</v>
      </c>
      <c r="B362" s="4" t="str">
        <f>IF(ISNUMBER(SEARCH("World",'RawData'!C399)),"",'RawData'!B399)</f>
        <v>Manganese</v>
      </c>
      <c r="C362" s="4" t="str">
        <f>IF(ISNUMBER(SEARCH("World",'RawData'!C399)),"",'RawData'!C399)</f>
        <v>Cote D'Ivoire</v>
      </c>
      <c r="D362" s="4" t="str">
        <f>IF(ISNUMBER(SEARCH("World",'RawData'!C399)),"",'RawData'!D399)</f>
        <v>Mine production, manganese content</v>
      </c>
      <c r="E362" s="4" t="str">
        <f>IF(ISNUMBER(SEARCH("World",'RawData'!C399)),"",IF('RawData'!E399="WT001","kg",IF('RawData'!E399="WT002","ton",IF('RawData'!E399="WT003","k ton",""))))</f>
        <v>k ton</v>
      </c>
      <c r="F362" s="14">
        <f>IF(ISNUMBER(SEARCH("World",'RawData'!C399)),"",'RawData'!F399)</f>
        <v>340</v>
      </c>
      <c r="G362" s="14">
        <f>IF(ISNUMBER(SEARCH("World",'RawData'!C399)),"",'RawData'!G399)</f>
        <v>350</v>
      </c>
      <c r="H362" s="14">
        <f>IF(ISNUMBER(SEARCH("World",'RawData'!C399)),"",SUMIFS('RawData'!G:G,'RawData'!B:B,'RawData'!B399,'RawData'!C:C,"*World*"))</f>
        <v>20000</v>
      </c>
      <c r="I362" s="15">
        <f>IF(ISNUMBER(SEARCH("World",'RawData'!C399)),"",IFERROR(G362/H362,"-"))</f>
        <v>1.7500000000000002E-2</v>
      </c>
      <c r="J362" s="7">
        <f>IF(ISNUMBER(SEARCH("World",'RawData'!C399)),"",IF(ISNUMBER(SEARCH("Other",C362)),COUNTIFS('RawData'!B:B,B362,'RawData'!C:C,"&lt;&gt;*World*"),IF(OR(G362="",G362=0),"-",SUMPRODUCT(('RawData'!B$2:B$822=B362)*('RawData'!G$2:G$822&gt;G362)*(ISERROR(SEARCH("World",'RawData'!C$2:C$822)))*(ISERROR(SEARCH("Other",'RawData'!C$2:C$822))))+1)))</f>
        <v>8</v>
      </c>
      <c r="K362" s="14">
        <f>IF(ISNUMBER(SEARCH("World",'RawData'!C399)),"",'RawData'!H399)</f>
        <v>0</v>
      </c>
      <c r="L362" s="14">
        <f>IF(ISNUMBER(SEARCH("World",'RawData'!C399)),"",SUMIFS('RawData'!H:H,'RawData'!B:B,'RawData'!B399,'RawData'!C:C,"*World*"))</f>
        <v>1800000</v>
      </c>
      <c r="M362" s="15">
        <f>IF(ISNUMBER(SEARCH("World",'RawData'!C399)),"",IFERROR(K362/L362,"-"))</f>
        <v>0</v>
      </c>
      <c r="N362" s="7" t="str">
        <f>IF(ISNUMBER(SEARCH("World",'RawData'!C399)),"",IF(ISNUMBER(SEARCH("Other",C362)),COUNTIFS('RawData'!B:B,B362,'RawData'!C:C,"&lt;&gt;*World*"),IF(OR(K362="",K362=0),"-",SUMPRODUCT(('RawData'!B$2:B$822=B362)*('RawData'!H$2:H$822&gt;K362)*(ISERROR(SEARCH("World",'RawData'!C$2:C$822)))*(ISERROR(SEARCH("Other",'RawData'!C$2:C$822))))+1)))</f>
        <v>-</v>
      </c>
    </row>
    <row r="363" spans="1:14" x14ac:dyDescent="0.3">
      <c r="A363" s="4" t="str">
        <f>IF(ISNUMBER(SEARCH("World",'RawData'!C400)),"",'RawData'!A400)</f>
        <v>MCS2026</v>
      </c>
      <c r="B363" s="4" t="str">
        <f>IF(ISNUMBER(SEARCH("World",'RawData'!C400)),"",'RawData'!B400)</f>
        <v>Manganese</v>
      </c>
      <c r="C363" s="4" t="str">
        <f>IF(ISNUMBER(SEARCH("World",'RawData'!C400)),"",'RawData'!C400)</f>
        <v>China</v>
      </c>
      <c r="D363" s="4" t="str">
        <f>IF(ISNUMBER(SEARCH("World",'RawData'!C400)),"",'RawData'!D400)</f>
        <v>Mine production, manganese content</v>
      </c>
      <c r="E363" s="4" t="str">
        <f>IF(ISNUMBER(SEARCH("World",'RawData'!C400)),"",IF('RawData'!E400="WT001","kg",IF('RawData'!E400="WT002","ton",IF('RawData'!E400="WT003","k ton",""))))</f>
        <v>k ton</v>
      </c>
      <c r="F363" s="14">
        <f>IF(ISNUMBER(SEARCH("World",'RawData'!C400)),"",'RawData'!F400)</f>
        <v>690</v>
      </c>
      <c r="G363" s="14">
        <f>IF(ISNUMBER(SEARCH("World",'RawData'!C400)),"",'RawData'!G400)</f>
        <v>700</v>
      </c>
      <c r="H363" s="14">
        <f>IF(ISNUMBER(SEARCH("World",'RawData'!C400)),"",SUMIFS('RawData'!G:G,'RawData'!B:B,'RawData'!B400,'RawData'!C:C,"*World*"))</f>
        <v>20000</v>
      </c>
      <c r="I363" s="15">
        <f>IF(ISNUMBER(SEARCH("World",'RawData'!C400)),"",IFERROR(G363/H363,"-"))</f>
        <v>3.5000000000000003E-2</v>
      </c>
      <c r="J363" s="7">
        <f>IF(ISNUMBER(SEARCH("World",'RawData'!C400)),"",IF(ISNUMBER(SEARCH("Other",C363)),COUNTIFS('RawData'!B:B,B363,'RawData'!C:C,"&lt;&gt;*World*"),IF(OR(G363="",G363=0),"-",SUMPRODUCT(('RawData'!B$2:B$822=B363)*('RawData'!G$2:G$822&gt;G363)*(ISERROR(SEARCH("World",'RawData'!C$2:C$822)))*(ISERROR(SEARCH("Other",'RawData'!C$2:C$822))))+1)))</f>
        <v>7</v>
      </c>
      <c r="K363" s="14">
        <f>IF(ISNUMBER(SEARCH("World",'RawData'!C400)),"",'RawData'!H400)</f>
        <v>260000</v>
      </c>
      <c r="L363" s="14">
        <f>IF(ISNUMBER(SEARCH("World",'RawData'!C400)),"",SUMIFS('RawData'!H:H,'RawData'!B:B,'RawData'!B400,'RawData'!C:C,"*World*"))</f>
        <v>1800000</v>
      </c>
      <c r="M363" s="15">
        <f>IF(ISNUMBER(SEARCH("World",'RawData'!C400)),"",IFERROR(K363/L363,"-"))</f>
        <v>0.14444444444444443</v>
      </c>
      <c r="N363" s="7">
        <f>IF(ISNUMBER(SEARCH("World",'RawData'!C400)),"",IF(ISNUMBER(SEARCH("Other",C363)),COUNTIFS('RawData'!B:B,B363,'RawData'!C:C,"&lt;&gt;*World*"),IF(OR(K363="",K363=0),"-",SUMPRODUCT(('RawData'!B$2:B$822=B363)*('RawData'!H$2:H$822&gt;K363)*(ISERROR(SEARCH("World",'RawData'!C$2:C$822)))*(ISERROR(SEARCH("Other",'RawData'!C$2:C$822))))+1)))</f>
        <v>4</v>
      </c>
    </row>
    <row r="364" spans="1:14" x14ac:dyDescent="0.3">
      <c r="A364" s="4" t="str">
        <f>IF(ISNUMBER(SEARCH("World",'RawData'!C401)),"",'RawData'!A401)</f>
        <v>MCS2026</v>
      </c>
      <c r="B364" s="4" t="str">
        <f>IF(ISNUMBER(SEARCH("World",'RawData'!C401)),"",'RawData'!B401)</f>
        <v>Manganese</v>
      </c>
      <c r="C364" s="4" t="str">
        <f>IF(ISNUMBER(SEARCH("World",'RawData'!C401)),"",'RawData'!C401)</f>
        <v>Gabon</v>
      </c>
      <c r="D364" s="4" t="str">
        <f>IF(ISNUMBER(SEARCH("World",'RawData'!C401)),"",'RawData'!D401)</f>
        <v>Mine production, manganese content</v>
      </c>
      <c r="E364" s="4" t="str">
        <f>IF(ISNUMBER(SEARCH("World",'RawData'!C401)),"",IF('RawData'!E401="WT001","kg",IF('RawData'!E401="WT002","ton",IF('RawData'!E401="WT003","k ton",""))))</f>
        <v>k ton</v>
      </c>
      <c r="F364" s="14">
        <f>IF(ISNUMBER(SEARCH("World",'RawData'!C401)),"",'RawData'!F401)</f>
        <v>4640</v>
      </c>
      <c r="G364" s="14">
        <f>IF(ISNUMBER(SEARCH("World",'RawData'!C401)),"",'RawData'!G401)</f>
        <v>5000</v>
      </c>
      <c r="H364" s="14">
        <f>IF(ISNUMBER(SEARCH("World",'RawData'!C401)),"",SUMIFS('RawData'!G:G,'RawData'!B:B,'RawData'!B401,'RawData'!C:C,"*World*"))</f>
        <v>20000</v>
      </c>
      <c r="I364" s="15">
        <f>IF(ISNUMBER(SEARCH("World",'RawData'!C401)),"",IFERROR(G364/H364,"-"))</f>
        <v>0.25</v>
      </c>
      <c r="J364" s="7">
        <f>IF(ISNUMBER(SEARCH("World",'RawData'!C401)),"",IF(ISNUMBER(SEARCH("Other",C364)),COUNTIFS('RawData'!B:B,B364,'RawData'!C:C,"&lt;&gt;*World*"),IF(OR(G364="",G364=0),"-",SUMPRODUCT(('RawData'!B$2:B$822=B364)*('RawData'!G$2:G$822&gt;G364)*(ISERROR(SEARCH("World",'RawData'!C$2:C$822)))*(ISERROR(SEARCH("Other",'RawData'!C$2:C$822))))+1)))</f>
        <v>2</v>
      </c>
      <c r="K364" s="14">
        <f>IF(ISNUMBER(SEARCH("World",'RawData'!C401)),"",'RawData'!H401)</f>
        <v>61000</v>
      </c>
      <c r="L364" s="14">
        <f>IF(ISNUMBER(SEARCH("World",'RawData'!C401)),"",SUMIFS('RawData'!H:H,'RawData'!B:B,'RawData'!B401,'RawData'!C:C,"*World*"))</f>
        <v>1800000</v>
      </c>
      <c r="M364" s="15">
        <f>IF(ISNUMBER(SEARCH("World",'RawData'!C401)),"",IFERROR(K364/L364,"-"))</f>
        <v>3.3888888888888892E-2</v>
      </c>
      <c r="N364" s="7">
        <f>IF(ISNUMBER(SEARCH("World",'RawData'!C401)),"",IF(ISNUMBER(SEARCH("Other",C364)),COUNTIFS('RawData'!B:B,B364,'RawData'!C:C,"&lt;&gt;*World*"),IF(OR(K364="",K364=0),"-",SUMPRODUCT(('RawData'!B$2:B$822=B364)*('RawData'!H$2:H$822&gt;K364)*(ISERROR(SEARCH("World",'RawData'!C$2:C$822)))*(ISERROR(SEARCH("Other",'RawData'!C$2:C$822))))+1)))</f>
        <v>5</v>
      </c>
    </row>
    <row r="365" spans="1:14" x14ac:dyDescent="0.3">
      <c r="A365" s="4" t="str">
        <f>IF(ISNUMBER(SEARCH("World",'RawData'!C402)),"",'RawData'!A402)</f>
        <v>MCS2026</v>
      </c>
      <c r="B365" s="4" t="str">
        <f>IF(ISNUMBER(SEARCH("World",'RawData'!C402)),"",'RawData'!B402)</f>
        <v>Manganese</v>
      </c>
      <c r="C365" s="4" t="str">
        <f>IF(ISNUMBER(SEARCH("World",'RawData'!C402)),"",'RawData'!C402)</f>
        <v>Ghana</v>
      </c>
      <c r="D365" s="4" t="str">
        <f>IF(ISNUMBER(SEARCH("World",'RawData'!C402)),"",'RawData'!D402)</f>
        <v>Mine production, manganese content</v>
      </c>
      <c r="E365" s="4" t="str">
        <f>IF(ISNUMBER(SEARCH("World",'RawData'!C402)),"",IF('RawData'!E402="WT001","kg",IF('RawData'!E402="WT002","ton",IF('RawData'!E402="WT003","k ton",""))))</f>
        <v>k ton</v>
      </c>
      <c r="F365" s="14">
        <f>IF(ISNUMBER(SEARCH("World",'RawData'!C402)),"",'RawData'!F402)</f>
        <v>1280</v>
      </c>
      <c r="G365" s="14">
        <f>IF(ISNUMBER(SEARCH("World",'RawData'!C402)),"",'RawData'!G402)</f>
        <v>2000</v>
      </c>
      <c r="H365" s="14">
        <f>IF(ISNUMBER(SEARCH("World",'RawData'!C402)),"",SUMIFS('RawData'!G:G,'RawData'!B:B,'RawData'!B402,'RawData'!C:C,"*World*"))</f>
        <v>20000</v>
      </c>
      <c r="I365" s="15">
        <f>IF(ISNUMBER(SEARCH("World",'RawData'!C402)),"",IFERROR(G365/H365,"-"))</f>
        <v>0.1</v>
      </c>
      <c r="J365" s="7">
        <f>IF(ISNUMBER(SEARCH("World",'RawData'!C402)),"",IF(ISNUMBER(SEARCH("Other",C365)),COUNTIFS('RawData'!B:B,B365,'RawData'!C:C,"&lt;&gt;*World*"),IF(OR(G365="",G365=0),"-",SUMPRODUCT(('RawData'!B$2:B$822=B365)*('RawData'!G$2:G$822&gt;G365)*(ISERROR(SEARCH("World",'RawData'!C$2:C$822)))*(ISERROR(SEARCH("Other",'RawData'!C$2:C$822))))+1)))</f>
        <v>3</v>
      </c>
      <c r="K365" s="14">
        <f>IF(ISNUMBER(SEARCH("World",'RawData'!C402)),"",'RawData'!H402)</f>
        <v>13000</v>
      </c>
      <c r="L365" s="14">
        <f>IF(ISNUMBER(SEARCH("World",'RawData'!C402)),"",SUMIFS('RawData'!H:H,'RawData'!B:B,'RawData'!B402,'RawData'!C:C,"*World*"))</f>
        <v>1800000</v>
      </c>
      <c r="M365" s="15">
        <f>IF(ISNUMBER(SEARCH("World",'RawData'!C402)),"",IFERROR(K365/L365,"-"))</f>
        <v>7.2222222222222219E-3</v>
      </c>
      <c r="N365" s="7">
        <f>IF(ISNUMBER(SEARCH("World",'RawData'!C402)),"",IF(ISNUMBER(SEARCH("Other",C365)),COUNTIFS('RawData'!B:B,B365,'RawData'!C:C,"&lt;&gt;*World*"),IF(OR(K365="",K365=0),"-",SUMPRODUCT(('RawData'!B$2:B$822=B365)*('RawData'!H$2:H$822&gt;K365)*(ISERROR(SEARCH("World",'RawData'!C$2:C$822)))*(ISERROR(SEARCH("Other",'RawData'!C$2:C$822))))+1)))</f>
        <v>7</v>
      </c>
    </row>
    <row r="366" spans="1:14" x14ac:dyDescent="0.3">
      <c r="A366" s="4" t="str">
        <f>IF(ISNUMBER(SEARCH("World",'RawData'!C403)),"",'RawData'!A403)</f>
        <v>MCS2026</v>
      </c>
      <c r="B366" s="4" t="str">
        <f>IF(ISNUMBER(SEARCH("World",'RawData'!C403)),"",'RawData'!B403)</f>
        <v>Manganese</v>
      </c>
      <c r="C366" s="4" t="str">
        <f>IF(ISNUMBER(SEARCH("World",'RawData'!C403)),"",'RawData'!C403)</f>
        <v>India</v>
      </c>
      <c r="D366" s="4" t="str">
        <f>IF(ISNUMBER(SEARCH("World",'RawData'!C403)),"",'RawData'!D403)</f>
        <v>Mine production, manganese content</v>
      </c>
      <c r="E366" s="4" t="str">
        <f>IF(ISNUMBER(SEARCH("World",'RawData'!C403)),"",IF('RawData'!E403="WT001","kg",IF('RawData'!E403="WT002","ton",IF('RawData'!E403="WT003","k ton",""))))</f>
        <v>k ton</v>
      </c>
      <c r="F366" s="14">
        <f>IF(ISNUMBER(SEARCH("World",'RawData'!C403)),"",'RawData'!F403)</f>
        <v>731</v>
      </c>
      <c r="G366" s="14">
        <f>IF(ISNUMBER(SEARCH("World",'RawData'!C403)),"",'RawData'!G403)</f>
        <v>790</v>
      </c>
      <c r="H366" s="14">
        <f>IF(ISNUMBER(SEARCH("World",'RawData'!C403)),"",SUMIFS('RawData'!G:G,'RawData'!B:B,'RawData'!B403,'RawData'!C:C,"*World*"))</f>
        <v>20000</v>
      </c>
      <c r="I366" s="15">
        <f>IF(ISNUMBER(SEARCH("World",'RawData'!C403)),"",IFERROR(G366/H366,"-"))</f>
        <v>3.95E-2</v>
      </c>
      <c r="J366" s="7">
        <f>IF(ISNUMBER(SEARCH("World",'RawData'!C403)),"",IF(ISNUMBER(SEARCH("Other",C366)),COUNTIFS('RawData'!B:B,B366,'RawData'!C:C,"&lt;&gt;*World*"),IF(OR(G366="",G366=0),"-",SUMPRODUCT(('RawData'!B$2:B$822=B366)*('RawData'!G$2:G$822&gt;G366)*(ISERROR(SEARCH("World",'RawData'!C$2:C$822)))*(ISERROR(SEARCH("Other",'RawData'!C$2:C$822))))+1)))</f>
        <v>6</v>
      </c>
      <c r="K366" s="14">
        <f>IF(ISNUMBER(SEARCH("World",'RawData'!C403)),"",'RawData'!H403)</f>
        <v>34000</v>
      </c>
      <c r="L366" s="14">
        <f>IF(ISNUMBER(SEARCH("World",'RawData'!C403)),"",SUMIFS('RawData'!H:H,'RawData'!B:B,'RawData'!B403,'RawData'!C:C,"*World*"))</f>
        <v>1800000</v>
      </c>
      <c r="M366" s="15">
        <f>IF(ISNUMBER(SEARCH("World",'RawData'!C403)),"",IFERROR(K366/L366,"-"))</f>
        <v>1.8888888888888889E-2</v>
      </c>
      <c r="N366" s="7">
        <f>IF(ISNUMBER(SEARCH("World",'RawData'!C403)),"",IF(ISNUMBER(SEARCH("Other",C366)),COUNTIFS('RawData'!B:B,B366,'RawData'!C:C,"&lt;&gt;*World*"),IF(OR(K366="",K366=0),"-",SUMPRODUCT(('RawData'!B$2:B$822=B366)*('RawData'!H$2:H$822&gt;K366)*(ISERROR(SEARCH("World",'RawData'!C$2:C$822)))*(ISERROR(SEARCH("Other",'RawData'!C$2:C$822))))+1)))</f>
        <v>6</v>
      </c>
    </row>
    <row r="367" spans="1:14" x14ac:dyDescent="0.3">
      <c r="A367" s="4" t="str">
        <f>IF(ISNUMBER(SEARCH("World",'RawData'!C404)),"",'RawData'!A404)</f>
        <v>MCS2026</v>
      </c>
      <c r="B367" s="4" t="str">
        <f>IF(ISNUMBER(SEARCH("World",'RawData'!C404)),"",'RawData'!B404)</f>
        <v>Manganese</v>
      </c>
      <c r="C367" s="4" t="str">
        <f>IF(ISNUMBER(SEARCH("World",'RawData'!C404)),"",'RawData'!C404)</f>
        <v>Other Countries</v>
      </c>
      <c r="D367" s="4" t="str">
        <f>IF(ISNUMBER(SEARCH("World",'RawData'!C404)),"",'RawData'!D404)</f>
        <v>Mine production, manganese content</v>
      </c>
      <c r="E367" s="4" t="str">
        <f>IF(ISNUMBER(SEARCH("World",'RawData'!C404)),"",IF('RawData'!E404="WT001","kg",IF('RawData'!E404="WT002","ton",IF('RawData'!E404="WT003","k ton",""))))</f>
        <v>k ton</v>
      </c>
      <c r="F367" s="14">
        <f>IF(ISNUMBER(SEARCH("World",'RawData'!C404)),"",'RawData'!F404)</f>
        <v>1240</v>
      </c>
      <c r="G367" s="14">
        <f>IF(ISNUMBER(SEARCH("World",'RawData'!C404)),"",'RawData'!G404)</f>
        <v>1300</v>
      </c>
      <c r="H367" s="14">
        <f>IF(ISNUMBER(SEARCH("World",'RawData'!C404)),"",SUMIFS('RawData'!G:G,'RawData'!B:B,'RawData'!B404,'RawData'!C:C,"*World*"))</f>
        <v>20000</v>
      </c>
      <c r="I367" s="15">
        <f>IF(ISNUMBER(SEARCH("World",'RawData'!C404)),"",IFERROR(G367/H367,"-"))</f>
        <v>6.5000000000000002E-2</v>
      </c>
      <c r="J367" s="7">
        <f>IF(ISNUMBER(SEARCH("World",'RawData'!C404)),"",IF(ISNUMBER(SEARCH("Other",C367)),COUNTIFS('RawData'!B:B,B367,'RawData'!C:C,"&lt;&gt;*World*"),IF(OR(G367="",G367=0),"-",SUMPRODUCT(('RawData'!B$2:B$822=B367)*('RawData'!G$2:G$822&gt;G367)*(ISERROR(SEARCH("World",'RawData'!C$2:C$822)))*(ISERROR(SEARCH("Other",'RawData'!C$2:C$822))))+1)))</f>
        <v>10</v>
      </c>
      <c r="K367" s="14">
        <f>IF(ISNUMBER(SEARCH("World",'RawData'!C404)),"",'RawData'!H404)</f>
        <v>0</v>
      </c>
      <c r="L367" s="14">
        <f>IF(ISNUMBER(SEARCH("World",'RawData'!C404)),"",SUMIFS('RawData'!H:H,'RawData'!B:B,'RawData'!B404,'RawData'!C:C,"*World*"))</f>
        <v>1800000</v>
      </c>
      <c r="M367" s="15">
        <f>IF(ISNUMBER(SEARCH("World",'RawData'!C404)),"",IFERROR(K367/L367,"-"))</f>
        <v>0</v>
      </c>
      <c r="N367" s="7">
        <f>IF(ISNUMBER(SEARCH("World",'RawData'!C404)),"",IF(ISNUMBER(SEARCH("Other",C367)),COUNTIFS('RawData'!B:B,B367,'RawData'!C:C,"&lt;&gt;*World*"),IF(OR(K367="",K367=0),"-",SUMPRODUCT(('RawData'!B$2:B$822=B367)*('RawData'!H$2:H$822&gt;K367)*(ISERROR(SEARCH("World",'RawData'!C$2:C$822)))*(ISERROR(SEARCH("Other",'RawData'!C$2:C$822))))+1)))</f>
        <v>10</v>
      </c>
    </row>
    <row r="368" spans="1:14" x14ac:dyDescent="0.3">
      <c r="A368" s="4" t="str">
        <f>IF(ISNUMBER(SEARCH("World",'RawData'!C405)),"",'RawData'!A405)</f>
        <v>MCS2026</v>
      </c>
      <c r="B368" s="4" t="str">
        <f>IF(ISNUMBER(SEARCH("World",'RawData'!C405)),"",'RawData'!B405)</f>
        <v>Manganese</v>
      </c>
      <c r="C368" s="4" t="str">
        <f>IF(ISNUMBER(SEARCH("World",'RawData'!C405)),"",'RawData'!C405)</f>
        <v xml:space="preserve">South Africa </v>
      </c>
      <c r="D368" s="4" t="str">
        <f>IF(ISNUMBER(SEARCH("World",'RawData'!C405)),"",'RawData'!D405)</f>
        <v>Mine production, manganese content</v>
      </c>
      <c r="E368" s="4" t="str">
        <f>IF(ISNUMBER(SEARCH("World",'RawData'!C405)),"",IF('RawData'!E405="WT001","kg",IF('RawData'!E405="WT002","ton",IF('RawData'!E405="WT003","k ton",""))))</f>
        <v>k ton</v>
      </c>
      <c r="F368" s="14">
        <f>IF(ISNUMBER(SEARCH("World",'RawData'!C405)),"",'RawData'!F405)</f>
        <v>7490</v>
      </c>
      <c r="G368" s="14">
        <f>IF(ISNUMBER(SEARCH("World",'RawData'!C405)),"",'RawData'!G405)</f>
        <v>7600</v>
      </c>
      <c r="H368" s="14">
        <f>IF(ISNUMBER(SEARCH("World",'RawData'!C405)),"",SUMIFS('RawData'!G:G,'RawData'!B:B,'RawData'!B405,'RawData'!C:C,"*World*"))</f>
        <v>20000</v>
      </c>
      <c r="I368" s="15">
        <f>IF(ISNUMBER(SEARCH("World",'RawData'!C405)),"",IFERROR(G368/H368,"-"))</f>
        <v>0.38</v>
      </c>
      <c r="J368" s="7">
        <f>IF(ISNUMBER(SEARCH("World",'RawData'!C405)),"",IF(ISNUMBER(SEARCH("Other",C368)),COUNTIFS('RawData'!B:B,B368,'RawData'!C:C,"&lt;&gt;*World*"),IF(OR(G368="",G368=0),"-",SUMPRODUCT(('RawData'!B$2:B$822=B368)*('RawData'!G$2:G$822&gt;G368)*(ISERROR(SEARCH("World",'RawData'!C$2:C$822)))*(ISERROR(SEARCH("Other",'RawData'!C$2:C$822))))+1)))</f>
        <v>1</v>
      </c>
      <c r="K368" s="14">
        <f>IF(ISNUMBER(SEARCH("World",'RawData'!C405)),"",'RawData'!H405)</f>
        <v>550000</v>
      </c>
      <c r="L368" s="14">
        <f>IF(ISNUMBER(SEARCH("World",'RawData'!C405)),"",SUMIFS('RawData'!H:H,'RawData'!B:B,'RawData'!B405,'RawData'!C:C,"*World*"))</f>
        <v>1800000</v>
      </c>
      <c r="M368" s="15">
        <f>IF(ISNUMBER(SEARCH("World",'RawData'!C405)),"",IFERROR(K368/L368,"-"))</f>
        <v>0.30555555555555558</v>
      </c>
      <c r="N368" s="7">
        <f>IF(ISNUMBER(SEARCH("World",'RawData'!C405)),"",IF(ISNUMBER(SEARCH("Other",C368)),COUNTIFS('RawData'!B:B,B368,'RawData'!C:C,"&lt;&gt;*World*"),IF(OR(K368="",K368=0),"-",SUMPRODUCT(('RawData'!B$2:B$822=B368)*('RawData'!H$2:H$822&gt;K368)*(ISERROR(SEARCH("World",'RawData'!C$2:C$822)))*(ISERROR(SEARCH("Other",'RawData'!C$2:C$822))))+1)))</f>
        <v>2</v>
      </c>
    </row>
    <row r="369" spans="1:14" x14ac:dyDescent="0.3">
      <c r="A369" s="4" t="str">
        <f>IF(ISNUMBER(SEARCH("World",'RawData'!C406)),"",'RawData'!A406)</f>
        <v>MCS2026</v>
      </c>
      <c r="B369" s="4" t="str">
        <f>IF(ISNUMBER(SEARCH("World",'RawData'!C406)),"",'RawData'!B406)</f>
        <v>Manganese</v>
      </c>
      <c r="C369" s="4" t="str">
        <f>IF(ISNUMBER(SEARCH("World",'RawData'!C406)),"",'RawData'!C406)</f>
        <v>United States</v>
      </c>
      <c r="D369" s="4" t="str">
        <f>IF(ISNUMBER(SEARCH("World",'RawData'!C406)),"",'RawData'!D406)</f>
        <v>Mine production, manganese content</v>
      </c>
      <c r="E369" s="4" t="str">
        <f>IF(ISNUMBER(SEARCH("World",'RawData'!C406)),"",IF('RawData'!E406="WT001","kg",IF('RawData'!E406="WT002","ton",IF('RawData'!E406="WT003","k ton",""))))</f>
        <v>k ton</v>
      </c>
      <c r="F369" s="14">
        <f>IF(ISNUMBER(SEARCH("World",'RawData'!C406)),"",'RawData'!F406)</f>
        <v>0</v>
      </c>
      <c r="G369" s="14">
        <f>IF(ISNUMBER(SEARCH("World",'RawData'!C406)),"",'RawData'!G406)</f>
        <v>0</v>
      </c>
      <c r="H369" s="14">
        <f>IF(ISNUMBER(SEARCH("World",'RawData'!C406)),"",SUMIFS('RawData'!G:G,'RawData'!B:B,'RawData'!B406,'RawData'!C:C,"*World*"))</f>
        <v>20000</v>
      </c>
      <c r="I369" s="15">
        <f>IF(ISNUMBER(SEARCH("World",'RawData'!C406)),"",IFERROR(G369/H369,"-"))</f>
        <v>0</v>
      </c>
      <c r="J369" s="7" t="str">
        <f>IF(ISNUMBER(SEARCH("World",'RawData'!C406)),"",IF(ISNUMBER(SEARCH("Other",C369)),COUNTIFS('RawData'!B:B,B369,'RawData'!C:C,"&lt;&gt;*World*"),IF(OR(G369="",G369=0),"-",SUMPRODUCT(('RawData'!B$2:B$822=B369)*('RawData'!G$2:G$822&gt;G369)*(ISERROR(SEARCH("World",'RawData'!C$2:C$822)))*(ISERROR(SEARCH("Other",'RawData'!C$2:C$822))))+1)))</f>
        <v>-</v>
      </c>
      <c r="K369" s="14">
        <f>IF(ISNUMBER(SEARCH("World",'RawData'!C406)),"",'RawData'!H406)</f>
        <v>0</v>
      </c>
      <c r="L369" s="14">
        <f>IF(ISNUMBER(SEARCH("World",'RawData'!C406)),"",SUMIFS('RawData'!H:H,'RawData'!B:B,'RawData'!B406,'RawData'!C:C,"*World*"))</f>
        <v>1800000</v>
      </c>
      <c r="M369" s="15">
        <f>IF(ISNUMBER(SEARCH("World",'RawData'!C406)),"",IFERROR(K369/L369,"-"))</f>
        <v>0</v>
      </c>
      <c r="N369" s="7" t="str">
        <f>IF(ISNUMBER(SEARCH("World",'RawData'!C406)),"",IF(ISNUMBER(SEARCH("Other",C369)),COUNTIFS('RawData'!B:B,B369,'RawData'!C:C,"&lt;&gt;*World*"),IF(OR(K369="",K369=0),"-",SUMPRODUCT(('RawData'!B$2:B$822=B369)*('RawData'!H$2:H$822&gt;K369)*(ISERROR(SEARCH("World",'RawData'!C$2:C$822)))*(ISERROR(SEARCH("Other",'RawData'!C$2:C$822))))+1)))</f>
        <v>-</v>
      </c>
    </row>
    <row r="370" spans="1:14" x14ac:dyDescent="0.3">
      <c r="A370" s="4" t="str">
        <f>IF(ISNUMBER(SEARCH("World",'RawData'!C408)),"",'RawData'!A408)</f>
        <v>MCS2026</v>
      </c>
      <c r="B370" s="4" t="str">
        <f>IF(ISNUMBER(SEARCH("World",'RawData'!C408)),"",'RawData'!B408)</f>
        <v>Mica</v>
      </c>
      <c r="C370" s="4" t="str">
        <f>IF(ISNUMBER(SEARCH("World",'RawData'!C408)),"",'RawData'!C408)</f>
        <v xml:space="preserve">Canada </v>
      </c>
      <c r="D370" s="4" t="str">
        <f>IF(ISNUMBER(SEARCH("World",'RawData'!C408)),"",'RawData'!D408)</f>
        <v>Mine production, mica scrap and flake</v>
      </c>
      <c r="E370" s="4" t="str">
        <f>IF(ISNUMBER(SEARCH("World",'RawData'!C408)),"",IF('RawData'!E408="WT001","kg",IF('RawData'!E408="WT002","ton",IF('RawData'!E408="WT003","k ton",""))))</f>
        <v>ton</v>
      </c>
      <c r="F370" s="14">
        <f>IF(ISNUMBER(SEARCH("World",'RawData'!C408)),"",'RawData'!F408)</f>
        <v>14000</v>
      </c>
      <c r="G370" s="14">
        <f>IF(ISNUMBER(SEARCH("World",'RawData'!C408)),"",'RawData'!G408)</f>
        <v>14000</v>
      </c>
      <c r="H370" s="14">
        <f>IF(ISNUMBER(SEARCH("World",'RawData'!C408)),"",SUMIFS('RawData'!G:G,'RawData'!B:B,'RawData'!B408,'RawData'!C:C,"*World*"))</f>
        <v>350000</v>
      </c>
      <c r="I370" s="15">
        <f>IF(ISNUMBER(SEARCH("World",'RawData'!C408)),"",IFERROR(G370/H370,"-"))</f>
        <v>0.04</v>
      </c>
      <c r="J370" s="7">
        <f>IF(ISNUMBER(SEARCH("World",'RawData'!C408)),"",IF(ISNUMBER(SEARCH("Other",C370)),COUNTIFS('RawData'!B:B,B370,'RawData'!C:C,"&lt;&gt;*World*"),IF(OR(G370="",G370=0),"-",SUMPRODUCT(('RawData'!B$2:B$822=B370)*('RawData'!G$2:G$822&gt;G370)*(ISERROR(SEARCH("World",'RawData'!C$2:C$822)))*(ISERROR(SEARCH("Other",'RawData'!C$2:C$822))))+1)))</f>
        <v>6</v>
      </c>
      <c r="K370" s="14">
        <f>IF(ISNUMBER(SEARCH("World",'RawData'!C408)),"",'RawData'!H408)</f>
        <v>0</v>
      </c>
      <c r="L370" s="14">
        <f>IF(ISNUMBER(SEARCH("World",'RawData'!C408)),"",SUMIFS('RawData'!H:H,'RawData'!B:B,'RawData'!B408,'RawData'!C:C,"*World*"))</f>
        <v>0</v>
      </c>
      <c r="M370" s="15" t="str">
        <f>IF(ISNUMBER(SEARCH("World",'RawData'!C408)),"",IFERROR(K370/L370,"-"))</f>
        <v>-</v>
      </c>
      <c r="N370" s="7" t="str">
        <f>IF(ISNUMBER(SEARCH("World",'RawData'!C408)),"",IF(ISNUMBER(SEARCH("Other",C370)),COUNTIFS('RawData'!B:B,B370,'RawData'!C:C,"&lt;&gt;*World*"),IF(OR(K370="",K370=0),"-",SUMPRODUCT(('RawData'!B$2:B$822=B370)*('RawData'!H$2:H$822&gt;K370)*(ISERROR(SEARCH("World",'RawData'!C$2:C$822)))*(ISERROR(SEARCH("Other",'RawData'!C$2:C$822))))+1)))</f>
        <v>-</v>
      </c>
    </row>
    <row r="371" spans="1:14" x14ac:dyDescent="0.3">
      <c r="A371" s="4" t="str">
        <f>IF(ISNUMBER(SEARCH("World",'RawData'!C409)),"",'RawData'!A409)</f>
        <v>MCS2026</v>
      </c>
      <c r="B371" s="4" t="str">
        <f>IF(ISNUMBER(SEARCH("World",'RawData'!C409)),"",'RawData'!B409)</f>
        <v>Mica</v>
      </c>
      <c r="C371" s="4" t="str">
        <f>IF(ISNUMBER(SEARCH("World",'RawData'!C409)),"",'RawData'!C409)</f>
        <v>China</v>
      </c>
      <c r="D371" s="4" t="str">
        <f>IF(ISNUMBER(SEARCH("World",'RawData'!C409)),"",'RawData'!D409)</f>
        <v>Mine production, mica scrap and flake</v>
      </c>
      <c r="E371" s="4" t="str">
        <f>IF(ISNUMBER(SEARCH("World",'RawData'!C409)),"",IF('RawData'!E409="WT001","kg",IF('RawData'!E409="WT002","ton",IF('RawData'!E409="WT003","k ton",""))))</f>
        <v>ton</v>
      </c>
      <c r="F371" s="14">
        <f>IF(ISNUMBER(SEARCH("World",'RawData'!C409)),"",'RawData'!F409)</f>
        <v>85000</v>
      </c>
      <c r="G371" s="14">
        <f>IF(ISNUMBER(SEARCH("World",'RawData'!C409)),"",'RawData'!G409)</f>
        <v>85000</v>
      </c>
      <c r="H371" s="14">
        <f>IF(ISNUMBER(SEARCH("World",'RawData'!C409)),"",SUMIFS('RawData'!G:G,'RawData'!B:B,'RawData'!B409,'RawData'!C:C,"*World*"))</f>
        <v>350000</v>
      </c>
      <c r="I371" s="15">
        <f>IF(ISNUMBER(SEARCH("World",'RawData'!C409)),"",IFERROR(G371/H371,"-"))</f>
        <v>0.24285714285714285</v>
      </c>
      <c r="J371" s="7">
        <f>IF(ISNUMBER(SEARCH("World",'RawData'!C409)),"",IF(ISNUMBER(SEARCH("Other",C371)),COUNTIFS('RawData'!B:B,B371,'RawData'!C:C,"&lt;&gt;*World*"),IF(OR(G371="",G371=0),"-",SUMPRODUCT(('RawData'!B$2:B$822=B371)*('RawData'!G$2:G$822&gt;G371)*(ISERROR(SEARCH("World",'RawData'!C$2:C$822)))*(ISERROR(SEARCH("Other",'RawData'!C$2:C$822))))+1)))</f>
        <v>1</v>
      </c>
      <c r="K371" s="14">
        <f>IF(ISNUMBER(SEARCH("World",'RawData'!C409)),"",'RawData'!H409)</f>
        <v>1100000</v>
      </c>
      <c r="L371" s="14">
        <f>IF(ISNUMBER(SEARCH("World",'RawData'!C409)),"",SUMIFS('RawData'!H:H,'RawData'!B:B,'RawData'!B409,'RawData'!C:C,"*World*"))</f>
        <v>0</v>
      </c>
      <c r="M371" s="15" t="str">
        <f>IF(ISNUMBER(SEARCH("World",'RawData'!C409)),"",IFERROR(K371/L371,"-"))</f>
        <v>-</v>
      </c>
      <c r="N371" s="7">
        <f>IF(ISNUMBER(SEARCH("World",'RawData'!C409)),"",IF(ISNUMBER(SEARCH("Other",C371)),COUNTIFS('RawData'!B:B,B371,'RawData'!C:C,"&lt;&gt;*World*"),IF(OR(K371="",K371=0),"-",SUMPRODUCT(('RawData'!B$2:B$822=B371)*('RawData'!H$2:H$822&gt;K371)*(ISERROR(SEARCH("World",'RawData'!C$2:C$822)))*(ISERROR(SEARCH("Other",'RawData'!C$2:C$822))))+1)))</f>
        <v>2</v>
      </c>
    </row>
    <row r="372" spans="1:14" x14ac:dyDescent="0.3">
      <c r="A372" s="4" t="str">
        <f>IF(ISNUMBER(SEARCH("World",'RawData'!C410)),"",'RawData'!A410)</f>
        <v>MCS2026</v>
      </c>
      <c r="B372" s="4" t="str">
        <f>IF(ISNUMBER(SEARCH("World",'RawData'!C410)),"",'RawData'!B410)</f>
        <v>Mica</v>
      </c>
      <c r="C372" s="4" t="str">
        <f>IF(ISNUMBER(SEARCH("World",'RawData'!C410)),"",'RawData'!C410)</f>
        <v>Finland</v>
      </c>
      <c r="D372" s="4" t="str">
        <f>IF(ISNUMBER(SEARCH("World",'RawData'!C410)),"",'RawData'!D410)</f>
        <v>Mine production, mica scrap and flake</v>
      </c>
      <c r="E372" s="4" t="str">
        <f>IF(ISNUMBER(SEARCH("World",'RawData'!C410)),"",IF('RawData'!E410="WT001","kg",IF('RawData'!E410="WT002","ton",IF('RawData'!E410="WT003","k ton",""))))</f>
        <v>ton</v>
      </c>
      <c r="F372" s="14">
        <f>IF(ISNUMBER(SEARCH("World",'RawData'!C410)),"",'RawData'!F410)</f>
        <v>56900</v>
      </c>
      <c r="G372" s="14">
        <f>IF(ISNUMBER(SEARCH("World",'RawData'!C410)),"",'RawData'!G410)</f>
        <v>57000</v>
      </c>
      <c r="H372" s="14">
        <f>IF(ISNUMBER(SEARCH("World",'RawData'!C410)),"",SUMIFS('RawData'!G:G,'RawData'!B:B,'RawData'!B410,'RawData'!C:C,"*World*"))</f>
        <v>350000</v>
      </c>
      <c r="I372" s="15">
        <f>IF(ISNUMBER(SEARCH("World",'RawData'!C410)),"",IFERROR(G372/H372,"-"))</f>
        <v>0.16285714285714287</v>
      </c>
      <c r="J372" s="7">
        <f>IF(ISNUMBER(SEARCH("World",'RawData'!C410)),"",IF(ISNUMBER(SEARCH("Other",C372)),COUNTIFS('RawData'!B:B,B372,'RawData'!C:C,"&lt;&gt;*World*"),IF(OR(G372="",G372=0),"-",SUMPRODUCT(('RawData'!B$2:B$822=B372)*('RawData'!G$2:G$822&gt;G372)*(ISERROR(SEARCH("World",'RawData'!C$2:C$822)))*(ISERROR(SEARCH("Other",'RawData'!C$2:C$822))))+1)))</f>
        <v>3</v>
      </c>
      <c r="K372" s="14">
        <f>IF(ISNUMBER(SEARCH("World",'RawData'!C410)),"",'RawData'!H410)</f>
        <v>0</v>
      </c>
      <c r="L372" s="14">
        <f>IF(ISNUMBER(SEARCH("World",'RawData'!C410)),"",SUMIFS('RawData'!H:H,'RawData'!B:B,'RawData'!B410,'RawData'!C:C,"*World*"))</f>
        <v>0</v>
      </c>
      <c r="M372" s="15" t="str">
        <f>IF(ISNUMBER(SEARCH("World",'RawData'!C410)),"",IFERROR(K372/L372,"-"))</f>
        <v>-</v>
      </c>
      <c r="N372" s="7" t="str">
        <f>IF(ISNUMBER(SEARCH("World",'RawData'!C410)),"",IF(ISNUMBER(SEARCH("Other",C372)),COUNTIFS('RawData'!B:B,B372,'RawData'!C:C,"&lt;&gt;*World*"),IF(OR(K372="",K372=0),"-",SUMPRODUCT(('RawData'!B$2:B$822=B372)*('RawData'!H$2:H$822&gt;K372)*(ISERROR(SEARCH("World",'RawData'!C$2:C$822)))*(ISERROR(SEARCH("Other",'RawData'!C$2:C$822))))+1)))</f>
        <v>-</v>
      </c>
    </row>
    <row r="373" spans="1:14" x14ac:dyDescent="0.3">
      <c r="A373" s="4" t="str">
        <f>IF(ISNUMBER(SEARCH("World",'RawData'!C411)),"",'RawData'!A411)</f>
        <v>MCS2026</v>
      </c>
      <c r="B373" s="4" t="str">
        <f>IF(ISNUMBER(SEARCH("World",'RawData'!C411)),"",'RawData'!B411)</f>
        <v>Mica</v>
      </c>
      <c r="C373" s="4" t="str">
        <f>IF(ISNUMBER(SEARCH("World",'RawData'!C411)),"",'RawData'!C411)</f>
        <v>France</v>
      </c>
      <c r="D373" s="4" t="str">
        <f>IF(ISNUMBER(SEARCH("World",'RawData'!C411)),"",'RawData'!D411)</f>
        <v>Mine production, mica scrap and flake</v>
      </c>
      <c r="E373" s="4" t="str">
        <f>IF(ISNUMBER(SEARCH("World",'RawData'!C411)),"",IF('RawData'!E411="WT001","kg",IF('RawData'!E411="WT002","ton",IF('RawData'!E411="WT003","k ton",""))))</f>
        <v>ton</v>
      </c>
      <c r="F373" s="14">
        <f>IF(ISNUMBER(SEARCH("World",'RawData'!C411)),"",'RawData'!F411)</f>
        <v>14000</v>
      </c>
      <c r="G373" s="14">
        <f>IF(ISNUMBER(SEARCH("World",'RawData'!C411)),"",'RawData'!G411)</f>
        <v>14000</v>
      </c>
      <c r="H373" s="14">
        <f>IF(ISNUMBER(SEARCH("World",'RawData'!C411)),"",SUMIFS('RawData'!G:G,'RawData'!B:B,'RawData'!B411,'RawData'!C:C,"*World*"))</f>
        <v>350000</v>
      </c>
      <c r="I373" s="15">
        <f>IF(ISNUMBER(SEARCH("World",'RawData'!C411)),"",IFERROR(G373/H373,"-"))</f>
        <v>0.04</v>
      </c>
      <c r="J373" s="7">
        <f>IF(ISNUMBER(SEARCH("World",'RawData'!C411)),"",IF(ISNUMBER(SEARCH("Other",C373)),COUNTIFS('RawData'!B:B,B373,'RawData'!C:C,"&lt;&gt;*World*"),IF(OR(G373="",G373=0),"-",SUMPRODUCT(('RawData'!B$2:B$822=B373)*('RawData'!G$2:G$822&gt;G373)*(ISERROR(SEARCH("World",'RawData'!C$2:C$822)))*(ISERROR(SEARCH("Other",'RawData'!C$2:C$822))))+1)))</f>
        <v>6</v>
      </c>
      <c r="K373" s="14">
        <f>IF(ISNUMBER(SEARCH("World",'RawData'!C411)),"",'RawData'!H411)</f>
        <v>0</v>
      </c>
      <c r="L373" s="14">
        <f>IF(ISNUMBER(SEARCH("World",'RawData'!C411)),"",SUMIFS('RawData'!H:H,'RawData'!B:B,'RawData'!B411,'RawData'!C:C,"*World*"))</f>
        <v>0</v>
      </c>
      <c r="M373" s="15" t="str">
        <f>IF(ISNUMBER(SEARCH("World",'RawData'!C411)),"",IFERROR(K373/L373,"-"))</f>
        <v>-</v>
      </c>
      <c r="N373" s="7" t="str">
        <f>IF(ISNUMBER(SEARCH("World",'RawData'!C411)),"",IF(ISNUMBER(SEARCH("Other",C373)),COUNTIFS('RawData'!B:B,B373,'RawData'!C:C,"&lt;&gt;*World*"),IF(OR(K373="",K373=0),"-",SUMPRODUCT(('RawData'!B$2:B$822=B373)*('RawData'!H$2:H$822&gt;K373)*(ISERROR(SEARCH("World",'RawData'!C$2:C$822)))*(ISERROR(SEARCH("Other",'RawData'!C$2:C$822))))+1)))</f>
        <v>-</v>
      </c>
    </row>
    <row r="374" spans="1:14" x14ac:dyDescent="0.3">
      <c r="A374" s="4" t="str">
        <f>IF(ISNUMBER(SEARCH("World",'RawData'!C412)),"",'RawData'!A412)</f>
        <v>MCS2026</v>
      </c>
      <c r="B374" s="4" t="str">
        <f>IF(ISNUMBER(SEARCH("World",'RawData'!C412)),"",'RawData'!B412)</f>
        <v>Mica</v>
      </c>
      <c r="C374" s="4" t="str">
        <f>IF(ISNUMBER(SEARCH("World",'RawData'!C412)),"",'RawData'!C412)</f>
        <v>India</v>
      </c>
      <c r="D374" s="4" t="str">
        <f>IF(ISNUMBER(SEARCH("World",'RawData'!C412)),"",'RawData'!D412)</f>
        <v>Mine production, mica scrap and flake</v>
      </c>
      <c r="E374" s="4" t="str">
        <f>IF(ISNUMBER(SEARCH("World",'RawData'!C412)),"",IF('RawData'!E412="WT001","kg",IF('RawData'!E412="WT002","ton",IF('RawData'!E412="WT003","k ton",""))))</f>
        <v>ton</v>
      </c>
      <c r="F374" s="14">
        <f>IF(ISNUMBER(SEARCH("World",'RawData'!C412)),"",'RawData'!F412)</f>
        <v>14000</v>
      </c>
      <c r="G374" s="14">
        <f>IF(ISNUMBER(SEARCH("World",'RawData'!C412)),"",'RawData'!G412)</f>
        <v>13000</v>
      </c>
      <c r="H374" s="14">
        <f>IF(ISNUMBER(SEARCH("World",'RawData'!C412)),"",SUMIFS('RawData'!G:G,'RawData'!B:B,'RawData'!B412,'RawData'!C:C,"*World*"))</f>
        <v>350000</v>
      </c>
      <c r="I374" s="15">
        <f>IF(ISNUMBER(SEARCH("World",'RawData'!C412)),"",IFERROR(G374/H374,"-"))</f>
        <v>3.7142857142857144E-2</v>
      </c>
      <c r="J374" s="7">
        <f>IF(ISNUMBER(SEARCH("World",'RawData'!C412)),"",IF(ISNUMBER(SEARCH("Other",C374)),COUNTIFS('RawData'!B:B,B374,'RawData'!C:C,"&lt;&gt;*World*"),IF(OR(G374="",G374=0),"-",SUMPRODUCT(('RawData'!B$2:B$822=B374)*('RawData'!G$2:G$822&gt;G374)*(ISERROR(SEARCH("World",'RawData'!C$2:C$822)))*(ISERROR(SEARCH("Other",'RawData'!C$2:C$822))))+1)))</f>
        <v>8</v>
      </c>
      <c r="K374" s="14">
        <f>IF(ISNUMBER(SEARCH("World",'RawData'!C412)),"",'RawData'!H412)</f>
        <v>0</v>
      </c>
      <c r="L374" s="14">
        <f>IF(ISNUMBER(SEARCH("World",'RawData'!C412)),"",SUMIFS('RawData'!H:H,'RawData'!B:B,'RawData'!B412,'RawData'!C:C,"*World*"))</f>
        <v>0</v>
      </c>
      <c r="M374" s="15" t="str">
        <f>IF(ISNUMBER(SEARCH("World",'RawData'!C412)),"",IFERROR(K374/L374,"-"))</f>
        <v>-</v>
      </c>
      <c r="N374" s="7" t="str">
        <f>IF(ISNUMBER(SEARCH("World",'RawData'!C412)),"",IF(ISNUMBER(SEARCH("Other",C374)),COUNTIFS('RawData'!B:B,B374,'RawData'!C:C,"&lt;&gt;*World*"),IF(OR(K374="",K374=0),"-",SUMPRODUCT(('RawData'!B$2:B$822=B374)*('RawData'!H$2:H$822&gt;K374)*(ISERROR(SEARCH("World",'RawData'!C$2:C$822)))*(ISERROR(SEARCH("Other",'RawData'!C$2:C$822))))+1)))</f>
        <v>-</v>
      </c>
    </row>
    <row r="375" spans="1:14" x14ac:dyDescent="0.3">
      <c r="A375" s="4" t="str">
        <f>IF(ISNUMBER(SEARCH("World",'RawData'!C413)),"",'RawData'!A413)</f>
        <v>MCS2026</v>
      </c>
      <c r="B375" s="4" t="str">
        <f>IF(ISNUMBER(SEARCH("World",'RawData'!C413)),"",'RawData'!B413)</f>
        <v>Mica</v>
      </c>
      <c r="C375" s="4" t="str">
        <f>IF(ISNUMBER(SEARCH("World",'RawData'!C413)),"",'RawData'!C413)</f>
        <v>Madagascar</v>
      </c>
      <c r="D375" s="4" t="str">
        <f>IF(ISNUMBER(SEARCH("World",'RawData'!C413)),"",'RawData'!D413)</f>
        <v>Mine production, mica scrap and flake</v>
      </c>
      <c r="E375" s="4" t="str">
        <f>IF(ISNUMBER(SEARCH("World",'RawData'!C413)),"",IF('RawData'!E413="WT001","kg",IF('RawData'!E413="WT002","ton",IF('RawData'!E413="WT003","k ton",""))))</f>
        <v>ton</v>
      </c>
      <c r="F375" s="14">
        <f>IF(ISNUMBER(SEARCH("World",'RawData'!C413)),"",'RawData'!F413)</f>
        <v>90000</v>
      </c>
      <c r="G375" s="14">
        <f>IF(ISNUMBER(SEARCH("World",'RawData'!C413)),"",'RawData'!G413)</f>
        <v>70000</v>
      </c>
      <c r="H375" s="14">
        <f>IF(ISNUMBER(SEARCH("World",'RawData'!C413)),"",SUMIFS('RawData'!G:G,'RawData'!B:B,'RawData'!B413,'RawData'!C:C,"*World*"))</f>
        <v>350000</v>
      </c>
      <c r="I375" s="15">
        <f>IF(ISNUMBER(SEARCH("World",'RawData'!C413)),"",IFERROR(G375/H375,"-"))</f>
        <v>0.2</v>
      </c>
      <c r="J375" s="7">
        <f>IF(ISNUMBER(SEARCH("World",'RawData'!C413)),"",IF(ISNUMBER(SEARCH("Other",C375)),COUNTIFS('RawData'!B:B,B375,'RawData'!C:C,"&lt;&gt;*World*"),IF(OR(G375="",G375=0),"-",SUMPRODUCT(('RawData'!B$2:B$822=B375)*('RawData'!G$2:G$822&gt;G375)*(ISERROR(SEARCH("World",'RawData'!C$2:C$822)))*(ISERROR(SEARCH("Other",'RawData'!C$2:C$822))))+1)))</f>
        <v>2</v>
      </c>
      <c r="K375" s="14">
        <f>IF(ISNUMBER(SEARCH("World",'RawData'!C413)),"",'RawData'!H413)</f>
        <v>0</v>
      </c>
      <c r="L375" s="14">
        <f>IF(ISNUMBER(SEARCH("World",'RawData'!C413)),"",SUMIFS('RawData'!H:H,'RawData'!B:B,'RawData'!B413,'RawData'!C:C,"*World*"))</f>
        <v>0</v>
      </c>
      <c r="M375" s="15" t="str">
        <f>IF(ISNUMBER(SEARCH("World",'RawData'!C413)),"",IFERROR(K375/L375,"-"))</f>
        <v>-</v>
      </c>
      <c r="N375" s="7" t="str">
        <f>IF(ISNUMBER(SEARCH("World",'RawData'!C413)),"",IF(ISNUMBER(SEARCH("Other",C375)),COUNTIFS('RawData'!B:B,B375,'RawData'!C:C,"&lt;&gt;*World*"),IF(OR(K375="",K375=0),"-",SUMPRODUCT(('RawData'!B$2:B$822=B375)*('RawData'!H$2:H$822&gt;K375)*(ISERROR(SEARCH("World",'RawData'!C$2:C$822)))*(ISERROR(SEARCH("Other",'RawData'!C$2:C$822))))+1)))</f>
        <v>-</v>
      </c>
    </row>
    <row r="376" spans="1:14" x14ac:dyDescent="0.3">
      <c r="A376" s="4" t="str">
        <f>IF(ISNUMBER(SEARCH("World",'RawData'!C414)),"",'RawData'!A414)</f>
        <v>MCS2026</v>
      </c>
      <c r="B376" s="4" t="str">
        <f>IF(ISNUMBER(SEARCH("World",'RawData'!C414)),"",'RawData'!B414)</f>
        <v>Mica</v>
      </c>
      <c r="C376" s="4" t="str">
        <f>IF(ISNUMBER(SEARCH("World",'RawData'!C414)),"",'RawData'!C414)</f>
        <v>Other Countries</v>
      </c>
      <c r="D376" s="4" t="str">
        <f>IF(ISNUMBER(SEARCH("World",'RawData'!C414)),"",'RawData'!D414)</f>
        <v>Mine production, mica scrap and flake</v>
      </c>
      <c r="E376" s="4" t="str">
        <f>IF(ISNUMBER(SEARCH("World",'RawData'!C414)),"",IF('RawData'!E414="WT001","kg",IF('RawData'!E414="WT002","ton",IF('RawData'!E414="WT003","k ton",""))))</f>
        <v>ton</v>
      </c>
      <c r="F376" s="14">
        <f>IF(ISNUMBER(SEARCH("World",'RawData'!C414)),"",'RawData'!F414)</f>
        <v>44000</v>
      </c>
      <c r="G376" s="14">
        <f>IF(ISNUMBER(SEARCH("World",'RawData'!C414)),"",'RawData'!G414)</f>
        <v>39000</v>
      </c>
      <c r="H376" s="14">
        <f>IF(ISNUMBER(SEARCH("World",'RawData'!C414)),"",SUMIFS('RawData'!G:G,'RawData'!B:B,'RawData'!B414,'RawData'!C:C,"*World*"))</f>
        <v>350000</v>
      </c>
      <c r="I376" s="15">
        <f>IF(ISNUMBER(SEARCH("World",'RawData'!C414)),"",IFERROR(G376/H376,"-"))</f>
        <v>0.11142857142857143</v>
      </c>
      <c r="J376" s="7">
        <f>IF(ISNUMBER(SEARCH("World",'RawData'!C414)),"",IF(ISNUMBER(SEARCH("Other",C376)),COUNTIFS('RawData'!B:B,B376,'RawData'!C:C,"&lt;&gt;*World*"),IF(OR(G376="",G376=0),"-",SUMPRODUCT(('RawData'!B$2:B$822=B376)*('RawData'!G$2:G$822&gt;G376)*(ISERROR(SEARCH("World",'RawData'!C$2:C$822)))*(ISERROR(SEARCH("Other",'RawData'!C$2:C$822))))+1)))</f>
        <v>11</v>
      </c>
      <c r="K376" s="14">
        <f>IF(ISNUMBER(SEARCH("World",'RawData'!C414)),"",'RawData'!H414)</f>
        <v>0</v>
      </c>
      <c r="L376" s="14">
        <f>IF(ISNUMBER(SEARCH("World",'RawData'!C414)),"",SUMIFS('RawData'!H:H,'RawData'!B:B,'RawData'!B414,'RawData'!C:C,"*World*"))</f>
        <v>0</v>
      </c>
      <c r="M376" s="15" t="str">
        <f>IF(ISNUMBER(SEARCH("World",'RawData'!C414)),"",IFERROR(K376/L376,"-"))</f>
        <v>-</v>
      </c>
      <c r="N376" s="7">
        <f>IF(ISNUMBER(SEARCH("World",'RawData'!C414)),"",IF(ISNUMBER(SEARCH("Other",C376)),COUNTIFS('RawData'!B:B,B376,'RawData'!C:C,"&lt;&gt;*World*"),IF(OR(K376="",K376=0),"-",SUMPRODUCT(('RawData'!B$2:B$822=B376)*('RawData'!H$2:H$822&gt;K376)*(ISERROR(SEARCH("World",'RawData'!C$2:C$822)))*(ISERROR(SEARCH("Other",'RawData'!C$2:C$822))))+1)))</f>
        <v>11</v>
      </c>
    </row>
    <row r="377" spans="1:14" x14ac:dyDescent="0.3">
      <c r="A377" s="4" t="str">
        <f>IF(ISNUMBER(SEARCH("World",'RawData'!C415)),"",'RawData'!A415)</f>
        <v>MCS2026</v>
      </c>
      <c r="B377" s="4" t="str">
        <f>IF(ISNUMBER(SEARCH("World",'RawData'!C415)),"",'RawData'!B415)</f>
        <v>Mica</v>
      </c>
      <c r="C377" s="4" t="str">
        <f>IF(ISNUMBER(SEARCH("World",'RawData'!C415)),"",'RawData'!C415)</f>
        <v>Turkiye</v>
      </c>
      <c r="D377" s="4" t="str">
        <f>IF(ISNUMBER(SEARCH("World",'RawData'!C415)),"",'RawData'!D415)</f>
        <v>Mine production, mica scrap and flake</v>
      </c>
      <c r="E377" s="4" t="str">
        <f>IF(ISNUMBER(SEARCH("World",'RawData'!C415)),"",IF('RawData'!E415="WT001","kg",IF('RawData'!E415="WT002","ton",IF('RawData'!E415="WT003","k ton",""))))</f>
        <v>ton</v>
      </c>
      <c r="F377" s="14">
        <f>IF(ISNUMBER(SEARCH("World",'RawData'!C415)),"",'RawData'!F415)</f>
        <v>9640</v>
      </c>
      <c r="G377" s="14">
        <f>IF(ISNUMBER(SEARCH("World",'RawData'!C415)),"",'RawData'!G415)</f>
        <v>9500</v>
      </c>
      <c r="H377" s="14">
        <f>IF(ISNUMBER(SEARCH("World",'RawData'!C415)),"",SUMIFS('RawData'!G:G,'RawData'!B:B,'RawData'!B415,'RawData'!C:C,"*World*"))</f>
        <v>350000</v>
      </c>
      <c r="I377" s="15">
        <f>IF(ISNUMBER(SEARCH("World",'RawData'!C415)),"",IFERROR(G377/H377,"-"))</f>
        <v>2.7142857142857142E-2</v>
      </c>
      <c r="J377" s="7">
        <f>IF(ISNUMBER(SEARCH("World",'RawData'!C415)),"",IF(ISNUMBER(SEARCH("Other",C377)),COUNTIFS('RawData'!B:B,B377,'RawData'!C:C,"&lt;&gt;*World*"),IF(OR(G377="",G377=0),"-",SUMPRODUCT(('RawData'!B$2:B$822=B377)*('RawData'!G$2:G$822&gt;G377)*(ISERROR(SEARCH("World",'RawData'!C$2:C$822)))*(ISERROR(SEARCH("Other",'RawData'!C$2:C$822))))+1)))</f>
        <v>9</v>
      </c>
      <c r="K377" s="14">
        <f>IF(ISNUMBER(SEARCH("World",'RawData'!C415)),"",'RawData'!H415)</f>
        <v>620000</v>
      </c>
      <c r="L377" s="14">
        <f>IF(ISNUMBER(SEARCH("World",'RawData'!C415)),"",SUMIFS('RawData'!H:H,'RawData'!B:B,'RawData'!B415,'RawData'!C:C,"*World*"))</f>
        <v>0</v>
      </c>
      <c r="M377" s="15" t="str">
        <f>IF(ISNUMBER(SEARCH("World",'RawData'!C415)),"",IFERROR(K377/L377,"-"))</f>
        <v>-</v>
      </c>
      <c r="N377" s="7">
        <f>IF(ISNUMBER(SEARCH("World",'RawData'!C415)),"",IF(ISNUMBER(SEARCH("Other",C377)),COUNTIFS('RawData'!B:B,B377,'RawData'!C:C,"&lt;&gt;*World*"),IF(OR(K377="",K377=0),"-",SUMPRODUCT(('RawData'!B$2:B$822=B377)*('RawData'!H$2:H$822&gt;K377)*(ISERROR(SEARCH("World",'RawData'!C$2:C$822)))*(ISERROR(SEARCH("Other",'RawData'!C$2:C$822))))+1)))</f>
        <v>3</v>
      </c>
    </row>
    <row r="378" spans="1:14" x14ac:dyDescent="0.3">
      <c r="A378" s="4" t="str">
        <f>IF(ISNUMBER(SEARCH("World",'RawData'!C416)),"",'RawData'!A416)</f>
        <v>MCS2026</v>
      </c>
      <c r="B378" s="4" t="str">
        <f>IF(ISNUMBER(SEARCH("World",'RawData'!C416)),"",'RawData'!B416)</f>
        <v>Mica</v>
      </c>
      <c r="C378" s="4" t="str">
        <f>IF(ISNUMBER(SEARCH("World",'RawData'!C416)),"",'RawData'!C416)</f>
        <v>South Korea</v>
      </c>
      <c r="D378" s="4" t="str">
        <f>IF(ISNUMBER(SEARCH("World",'RawData'!C416)),"",'RawData'!D416)</f>
        <v>Mine production, mica scrap and flake</v>
      </c>
      <c r="E378" s="4" t="str">
        <f>IF(ISNUMBER(SEARCH("World",'RawData'!C416)),"",IF('RawData'!E416="WT001","kg",IF('RawData'!E416="WT002","ton",IF('RawData'!E416="WT003","k ton",""))))</f>
        <v>ton</v>
      </c>
      <c r="F378" s="14">
        <f>IF(ISNUMBER(SEARCH("World",'RawData'!C416)),"",'RawData'!F416)</f>
        <v>21000</v>
      </c>
      <c r="G378" s="14">
        <f>IF(ISNUMBER(SEARCH("World",'RawData'!C416)),"",'RawData'!G416)</f>
        <v>15000</v>
      </c>
      <c r="H378" s="14">
        <f>IF(ISNUMBER(SEARCH("World",'RawData'!C416)),"",SUMIFS('RawData'!G:G,'RawData'!B:B,'RawData'!B416,'RawData'!C:C,"*World*"))</f>
        <v>350000</v>
      </c>
      <c r="I378" s="15">
        <f>IF(ISNUMBER(SEARCH("World",'RawData'!C416)),"",IFERROR(G378/H378,"-"))</f>
        <v>4.2857142857142858E-2</v>
      </c>
      <c r="J378" s="7">
        <f>IF(ISNUMBER(SEARCH("World",'RawData'!C416)),"",IF(ISNUMBER(SEARCH("Other",C378)),COUNTIFS('RawData'!B:B,B378,'RawData'!C:C,"&lt;&gt;*World*"),IF(OR(G378="",G378=0),"-",SUMPRODUCT(('RawData'!B$2:B$822=B378)*('RawData'!G$2:G$822&gt;G378)*(ISERROR(SEARCH("World",'RawData'!C$2:C$822)))*(ISERROR(SEARCH("Other",'RawData'!C$2:C$822))))+1)))</f>
        <v>5</v>
      </c>
      <c r="K378" s="14">
        <f>IF(ISNUMBER(SEARCH("World",'RawData'!C416)),"",'RawData'!H416)</f>
        <v>12000000</v>
      </c>
      <c r="L378" s="14">
        <f>IF(ISNUMBER(SEARCH("World",'RawData'!C416)),"",SUMIFS('RawData'!H:H,'RawData'!B:B,'RawData'!B416,'RawData'!C:C,"*World*"))</f>
        <v>0</v>
      </c>
      <c r="M378" s="15" t="str">
        <f>IF(ISNUMBER(SEARCH("World",'RawData'!C416)),"",IFERROR(K378/L378,"-"))</f>
        <v>-</v>
      </c>
      <c r="N378" s="7">
        <f>IF(ISNUMBER(SEARCH("World",'RawData'!C416)),"",IF(ISNUMBER(SEARCH("Other",C378)),COUNTIFS('RawData'!B:B,B378,'RawData'!C:C,"&lt;&gt;*World*"),IF(OR(K378="",K378=0),"-",SUMPRODUCT(('RawData'!B$2:B$822=B378)*('RawData'!H$2:H$822&gt;K378)*(ISERROR(SEARCH("World",'RawData'!C$2:C$822)))*(ISERROR(SEARCH("Other",'RawData'!C$2:C$822))))+1)))</f>
        <v>1</v>
      </c>
    </row>
    <row r="379" spans="1:14" x14ac:dyDescent="0.3">
      <c r="A379" s="4" t="str">
        <f>IF(ISNUMBER(SEARCH("World",'RawData'!C417)),"",'RawData'!A417)</f>
        <v>MCS2026</v>
      </c>
      <c r="B379" s="4" t="str">
        <f>IF(ISNUMBER(SEARCH("World",'RawData'!C417)),"",'RawData'!B417)</f>
        <v>Mica</v>
      </c>
      <c r="C379" s="4" t="str">
        <f>IF(ISNUMBER(SEARCH("World",'RawData'!C417)),"",'RawData'!C417)</f>
        <v>Spain</v>
      </c>
      <c r="D379" s="4" t="str">
        <f>IF(ISNUMBER(SEARCH("World",'RawData'!C417)),"",'RawData'!D417)</f>
        <v>Mine production, mica scrap and flake</v>
      </c>
      <c r="E379" s="4" t="str">
        <f>IF(ISNUMBER(SEARCH("World",'RawData'!C417)),"",IF('RawData'!E417="WT001","kg",IF('RawData'!E417="WT002","ton",IF('RawData'!E417="WT003","k ton",""))))</f>
        <v>ton</v>
      </c>
      <c r="F379" s="14">
        <f>IF(ISNUMBER(SEARCH("World",'RawData'!C417)),"",'RawData'!F417)</f>
        <v>8000</v>
      </c>
      <c r="G379" s="14">
        <f>IF(ISNUMBER(SEARCH("World",'RawData'!C417)),"",'RawData'!G417)</f>
        <v>8000</v>
      </c>
      <c r="H379" s="14">
        <f>IF(ISNUMBER(SEARCH("World",'RawData'!C417)),"",SUMIFS('RawData'!G:G,'RawData'!B:B,'RawData'!B417,'RawData'!C:C,"*World*"))</f>
        <v>350000</v>
      </c>
      <c r="I379" s="15">
        <f>IF(ISNUMBER(SEARCH("World",'RawData'!C417)),"",IFERROR(G379/H379,"-"))</f>
        <v>2.2857142857142857E-2</v>
      </c>
      <c r="J379" s="7">
        <f>IF(ISNUMBER(SEARCH("World",'RawData'!C417)),"",IF(ISNUMBER(SEARCH("Other",C379)),COUNTIFS('RawData'!B:B,B379,'RawData'!C:C,"&lt;&gt;*World*"),IF(OR(G379="",G379=0),"-",SUMPRODUCT(('RawData'!B$2:B$822=B379)*('RawData'!G$2:G$822&gt;G379)*(ISERROR(SEARCH("World",'RawData'!C$2:C$822)))*(ISERROR(SEARCH("Other",'RawData'!C$2:C$822))))+1)))</f>
        <v>10</v>
      </c>
      <c r="K379" s="14">
        <f>IF(ISNUMBER(SEARCH("World",'RawData'!C417)),"",'RawData'!H417)</f>
        <v>0</v>
      </c>
      <c r="L379" s="14">
        <f>IF(ISNUMBER(SEARCH("World",'RawData'!C417)),"",SUMIFS('RawData'!H:H,'RawData'!B:B,'RawData'!B417,'RawData'!C:C,"*World*"))</f>
        <v>0</v>
      </c>
      <c r="M379" s="15" t="str">
        <f>IF(ISNUMBER(SEARCH("World",'RawData'!C417)),"",IFERROR(K379/L379,"-"))</f>
        <v>-</v>
      </c>
      <c r="N379" s="7" t="str">
        <f>IF(ISNUMBER(SEARCH("World",'RawData'!C417)),"",IF(ISNUMBER(SEARCH("Other",C379)),COUNTIFS('RawData'!B:B,B379,'RawData'!C:C,"&lt;&gt;*World*"),IF(OR(K379="",K379=0),"-",SUMPRODUCT(('RawData'!B$2:B$822=B379)*('RawData'!H$2:H$822&gt;K379)*(ISERROR(SEARCH("World",'RawData'!C$2:C$822)))*(ISERROR(SEARCH("Other",'RawData'!C$2:C$822))))+1)))</f>
        <v>-</v>
      </c>
    </row>
    <row r="380" spans="1:14" x14ac:dyDescent="0.3">
      <c r="A380" s="4" t="str">
        <f>IF(ISNUMBER(SEARCH("World",'RawData'!C418)),"",'RawData'!A418)</f>
        <v>MCS2026</v>
      </c>
      <c r="B380" s="4" t="str">
        <f>IF(ISNUMBER(SEARCH("World",'RawData'!C418)),"",'RawData'!B418)</f>
        <v>Mica</v>
      </c>
      <c r="C380" s="4" t="str">
        <f>IF(ISNUMBER(SEARCH("World",'RawData'!C418)),"",'RawData'!C418)</f>
        <v>United States</v>
      </c>
      <c r="D380" s="4" t="str">
        <f>IF(ISNUMBER(SEARCH("World",'RawData'!C418)),"",'RawData'!D418)</f>
        <v>Mine production, mica scrap and flake</v>
      </c>
      <c r="E380" s="4" t="str">
        <f>IF(ISNUMBER(SEARCH("World",'RawData'!C418)),"",IF('RawData'!E418="WT001","kg",IF('RawData'!E418="WT002","ton",IF('RawData'!E418="WT003","k ton",""))))</f>
        <v>ton</v>
      </c>
      <c r="F380" s="14">
        <f>IF(ISNUMBER(SEARCH("World",'RawData'!C418)),"",'RawData'!F418)</f>
        <v>24000</v>
      </c>
      <c r="G380" s="14">
        <f>IF(ISNUMBER(SEARCH("World",'RawData'!C418)),"",'RawData'!G418)</f>
        <v>26000</v>
      </c>
      <c r="H380" s="14">
        <f>IF(ISNUMBER(SEARCH("World",'RawData'!C418)),"",SUMIFS('RawData'!G:G,'RawData'!B:B,'RawData'!B418,'RawData'!C:C,"*World*"))</f>
        <v>350000</v>
      </c>
      <c r="I380" s="15">
        <f>IF(ISNUMBER(SEARCH("World",'RawData'!C418)),"",IFERROR(G380/H380,"-"))</f>
        <v>7.4285714285714288E-2</v>
      </c>
      <c r="J380" s="7">
        <f>IF(ISNUMBER(SEARCH("World",'RawData'!C418)),"",IF(ISNUMBER(SEARCH("Other",C380)),COUNTIFS('RawData'!B:B,B380,'RawData'!C:C,"&lt;&gt;*World*"),IF(OR(G380="",G380=0),"-",SUMPRODUCT(('RawData'!B$2:B$822=B380)*('RawData'!G$2:G$822&gt;G380)*(ISERROR(SEARCH("World",'RawData'!C$2:C$822)))*(ISERROR(SEARCH("Other",'RawData'!C$2:C$822))))+1)))</f>
        <v>4</v>
      </c>
      <c r="K380" s="14">
        <f>IF(ISNUMBER(SEARCH("World",'RawData'!C418)),"",'RawData'!H418)</f>
        <v>0</v>
      </c>
      <c r="L380" s="14">
        <f>IF(ISNUMBER(SEARCH("World",'RawData'!C418)),"",SUMIFS('RawData'!H:H,'RawData'!B:B,'RawData'!B418,'RawData'!C:C,"*World*"))</f>
        <v>0</v>
      </c>
      <c r="M380" s="15" t="str">
        <f>IF(ISNUMBER(SEARCH("World",'RawData'!C418)),"",IFERROR(K380/L380,"-"))</f>
        <v>-</v>
      </c>
      <c r="N380" s="7" t="str">
        <f>IF(ISNUMBER(SEARCH("World",'RawData'!C418)),"",IF(ISNUMBER(SEARCH("Other",C380)),COUNTIFS('RawData'!B:B,B380,'RawData'!C:C,"&lt;&gt;*World*"),IF(OR(K380="",K380=0),"-",SUMPRODUCT(('RawData'!B$2:B$822=B380)*('RawData'!H$2:H$822&gt;K380)*(ISERROR(SEARCH("World",'RawData'!C$2:C$822)))*(ISERROR(SEARCH("Other",'RawData'!C$2:C$822))))+1)))</f>
        <v>-</v>
      </c>
    </row>
    <row r="381" spans="1:14" x14ac:dyDescent="0.3">
      <c r="A381" s="4" t="str">
        <f>IF(ISNUMBER(SEARCH("World",'RawData'!C420)),"",'RawData'!A420)</f>
        <v>MCS2026</v>
      </c>
      <c r="B381" s="4" t="str">
        <f>IF(ISNUMBER(SEARCH("World",'RawData'!C420)),"",'RawData'!B420)</f>
        <v xml:space="preserve">Molybdenum </v>
      </c>
      <c r="C381" s="4" t="str">
        <f>IF(ISNUMBER(SEARCH("World",'RawData'!C420)),"",'RawData'!C420)</f>
        <v>Armenia</v>
      </c>
      <c r="D381" s="4" t="str">
        <f>IF(ISNUMBER(SEARCH("World",'RawData'!C420)),"",'RawData'!D420)</f>
        <v>Mine production, molybdenum content</v>
      </c>
      <c r="E381" s="4" t="str">
        <f>IF(ISNUMBER(SEARCH("World",'RawData'!C420)),"",IF('RawData'!E420="WT001","kg",IF('RawData'!E420="WT002","ton",IF('RawData'!E420="WT003","k ton",""))))</f>
        <v>ton</v>
      </c>
      <c r="F381" s="14">
        <f>IF(ISNUMBER(SEARCH("World",'RawData'!C420)),"",'RawData'!F420)</f>
        <v>8200</v>
      </c>
      <c r="G381" s="14">
        <f>IF(ISNUMBER(SEARCH("World",'RawData'!C420)),"",'RawData'!G420)</f>
        <v>5300</v>
      </c>
      <c r="H381" s="14">
        <f>IF(ISNUMBER(SEARCH("World",'RawData'!C420)),"",SUMIFS('RawData'!G:G,'RawData'!B:B,'RawData'!B420,'RawData'!C:C,"*World*"))</f>
        <v>260000</v>
      </c>
      <c r="I381" s="15">
        <f>IF(ISNUMBER(SEARCH("World",'RawData'!C420)),"",IFERROR(G381/H381,"-"))</f>
        <v>2.0384615384615383E-2</v>
      </c>
      <c r="J381" s="7">
        <f>IF(ISNUMBER(SEARCH("World",'RawData'!C420)),"",IF(ISNUMBER(SEARCH("Other",C381)),COUNTIFS('RawData'!B:B,B381,'RawData'!C:C,"&lt;&gt;*World*"),IF(OR(G381="",G381=0),"-",SUMPRODUCT(('RawData'!B$2:B$822=B381)*('RawData'!G$2:G$822&gt;G381)*(ISERROR(SEARCH("World",'RawData'!C$2:C$822)))*(ISERROR(SEARCH("Other",'RawData'!C$2:C$822))))+1)))</f>
        <v>6</v>
      </c>
      <c r="K381" s="14">
        <f>IF(ISNUMBER(SEARCH("World",'RawData'!C420)),"",'RawData'!H420)</f>
        <v>150000</v>
      </c>
      <c r="L381" s="14">
        <f>IF(ISNUMBER(SEARCH("World",'RawData'!C420)),"",SUMIFS('RawData'!H:H,'RawData'!B:B,'RawData'!B420,'RawData'!C:C,"*World*"))</f>
        <v>17000000</v>
      </c>
      <c r="M381" s="15">
        <f>IF(ISNUMBER(SEARCH("World",'RawData'!C420)),"",IFERROR(K381/L381,"-"))</f>
        <v>8.8235294117647058E-3</v>
      </c>
      <c r="N381" s="7">
        <f>IF(ISNUMBER(SEARCH("World",'RawData'!C420)),"",IF(ISNUMBER(SEARCH("Other",C381)),COUNTIFS('RawData'!B:B,B381,'RawData'!C:C,"&lt;&gt;*World*"),IF(OR(K381="",K381=0),"-",SUMPRODUCT(('RawData'!B$2:B$822=B381)*('RawData'!H$2:H$822&gt;K381)*(ISERROR(SEARCH("World",'RawData'!C$2:C$822)))*(ISERROR(SEARCH("Other",'RawData'!C$2:C$822))))+1)))</f>
        <v>7</v>
      </c>
    </row>
    <row r="382" spans="1:14" x14ac:dyDescent="0.3">
      <c r="A382" s="4" t="str">
        <f>IF(ISNUMBER(SEARCH("World",'RawData'!C421)),"",'RawData'!A421)</f>
        <v>MCS2026</v>
      </c>
      <c r="B382" s="4" t="str">
        <f>IF(ISNUMBER(SEARCH("World",'RawData'!C421)),"",'RawData'!B421)</f>
        <v xml:space="preserve">Molybdenum </v>
      </c>
      <c r="C382" s="4" t="str">
        <f>IF(ISNUMBER(SEARCH("World",'RawData'!C421)),"",'RawData'!C421)</f>
        <v>Australia</v>
      </c>
      <c r="D382" s="4" t="str">
        <f>IF(ISNUMBER(SEARCH("World",'RawData'!C421)),"",'RawData'!D421)</f>
        <v>Mine production, molybdenum content</v>
      </c>
      <c r="E382" s="4" t="str">
        <f>IF(ISNUMBER(SEARCH("World",'RawData'!C421)),"",IF('RawData'!E421="WT001","kg",IF('RawData'!E421="WT002","ton",IF('RawData'!E421="WT003","k ton",""))))</f>
        <v>ton</v>
      </c>
      <c r="F382" s="14">
        <f>IF(ISNUMBER(SEARCH("World",'RawData'!C421)),"",'RawData'!F421)</f>
        <v>600</v>
      </c>
      <c r="G382" s="14">
        <f>IF(ISNUMBER(SEARCH("World",'RawData'!C421)),"",'RawData'!G421)</f>
        <v>1000</v>
      </c>
      <c r="H382" s="14">
        <f>IF(ISNUMBER(SEARCH("World",'RawData'!C421)),"",SUMIFS('RawData'!G:G,'RawData'!B:B,'RawData'!B421,'RawData'!C:C,"*World*"))</f>
        <v>260000</v>
      </c>
      <c r="I382" s="15">
        <f>IF(ISNUMBER(SEARCH("World",'RawData'!C421)),"",IFERROR(G382/H382,"-"))</f>
        <v>3.8461538461538464E-3</v>
      </c>
      <c r="J382" s="7">
        <f>IF(ISNUMBER(SEARCH("World",'RawData'!C421)),"",IF(ISNUMBER(SEARCH("Other",C382)),COUNTIFS('RawData'!B:B,B382,'RawData'!C:C,"&lt;&gt;*World*"),IF(OR(G382="",G382=0),"-",SUMPRODUCT(('RawData'!B$2:B$822=B382)*('RawData'!G$2:G$822&gt;G382)*(ISERROR(SEARCH("World",'RawData'!C$2:C$822)))*(ISERROR(SEARCH("Other",'RawData'!C$2:C$822))))+1)))</f>
        <v>13</v>
      </c>
      <c r="K382" s="14">
        <f>IF(ISNUMBER(SEARCH("World",'RawData'!C421)),"",'RawData'!H421)</f>
        <v>760000</v>
      </c>
      <c r="L382" s="14">
        <f>IF(ISNUMBER(SEARCH("World",'RawData'!C421)),"",SUMIFS('RawData'!H:H,'RawData'!B:B,'RawData'!B421,'RawData'!C:C,"*World*"))</f>
        <v>17000000</v>
      </c>
      <c r="M382" s="15">
        <f>IF(ISNUMBER(SEARCH("World",'RawData'!C421)),"",IFERROR(K382/L382,"-"))</f>
        <v>4.4705882352941179E-2</v>
      </c>
      <c r="N382" s="7">
        <f>IF(ISNUMBER(SEARCH("World",'RawData'!C421)),"",IF(ISNUMBER(SEARCH("Other",C382)),COUNTIFS('RawData'!B:B,B382,'RawData'!C:C,"&lt;&gt;*World*"),IF(OR(K382="",K382=0),"-",SUMPRODUCT(('RawData'!B$2:B$822=B382)*('RawData'!H$2:H$822&gt;K382)*(ISERROR(SEARCH("World",'RawData'!C$2:C$822)))*(ISERROR(SEARCH("Other",'RawData'!C$2:C$822))))+1)))</f>
        <v>6</v>
      </c>
    </row>
    <row r="383" spans="1:14" x14ac:dyDescent="0.3">
      <c r="A383" s="4" t="str">
        <f>IF(ISNUMBER(SEARCH("World",'RawData'!C422)),"",'RawData'!A422)</f>
        <v>MCS2026</v>
      </c>
      <c r="B383" s="4" t="str">
        <f>IF(ISNUMBER(SEARCH("World",'RawData'!C422)),"",'RawData'!B422)</f>
        <v xml:space="preserve">Molybdenum </v>
      </c>
      <c r="C383" s="4" t="str">
        <f>IF(ISNUMBER(SEARCH("World",'RawData'!C422)),"",'RawData'!C422)</f>
        <v xml:space="preserve">Canada </v>
      </c>
      <c r="D383" s="4" t="str">
        <f>IF(ISNUMBER(SEARCH("World",'RawData'!C422)),"",'RawData'!D422)</f>
        <v>Mine production, molybdenum content</v>
      </c>
      <c r="E383" s="4" t="str">
        <f>IF(ISNUMBER(SEARCH("World",'RawData'!C422)),"",IF('RawData'!E422="WT001","kg",IF('RawData'!E422="WT002","ton",IF('RawData'!E422="WT003","k ton",""))))</f>
        <v>ton</v>
      </c>
      <c r="F383" s="14">
        <f>IF(ISNUMBER(SEARCH("World",'RawData'!C422)),"",'RawData'!F422)</f>
        <v>1540</v>
      </c>
      <c r="G383" s="14">
        <f>IF(ISNUMBER(SEARCH("World",'RawData'!C422)),"",'RawData'!G422)</f>
        <v>2200</v>
      </c>
      <c r="H383" s="14">
        <f>IF(ISNUMBER(SEARCH("World",'RawData'!C422)),"",SUMIFS('RawData'!G:G,'RawData'!B:B,'RawData'!B422,'RawData'!C:C,"*World*"))</f>
        <v>260000</v>
      </c>
      <c r="I383" s="15">
        <f>IF(ISNUMBER(SEARCH("World",'RawData'!C422)),"",IFERROR(G383/H383,"-"))</f>
        <v>8.4615384615384613E-3</v>
      </c>
      <c r="J383" s="7">
        <f>IF(ISNUMBER(SEARCH("World",'RawData'!C422)),"",IF(ISNUMBER(SEARCH("Other",C383)),COUNTIFS('RawData'!B:B,B383,'RawData'!C:C,"&lt;&gt;*World*"),IF(OR(G383="",G383=0),"-",SUMPRODUCT(('RawData'!B$2:B$822=B383)*('RawData'!G$2:G$822&gt;G383)*(ISERROR(SEARCH("World",'RawData'!C$2:C$822)))*(ISERROR(SEARCH("Other",'RawData'!C$2:C$822))))+1)))</f>
        <v>10</v>
      </c>
      <c r="K383" s="14">
        <f>IF(ISNUMBER(SEARCH("World",'RawData'!C422)),"",'RawData'!H422)</f>
        <v>64000</v>
      </c>
      <c r="L383" s="14">
        <f>IF(ISNUMBER(SEARCH("World",'RawData'!C422)),"",SUMIFS('RawData'!H:H,'RawData'!B:B,'RawData'!B422,'RawData'!C:C,"*World*"))</f>
        <v>17000000</v>
      </c>
      <c r="M383" s="15">
        <f>IF(ISNUMBER(SEARCH("World",'RawData'!C422)),"",IFERROR(K383/L383,"-"))</f>
        <v>3.7647058823529413E-3</v>
      </c>
      <c r="N383" s="7">
        <f>IF(ISNUMBER(SEARCH("World",'RawData'!C422)),"",IF(ISNUMBER(SEARCH("Other",C383)),COUNTIFS('RawData'!B:B,B383,'RawData'!C:C,"&lt;&gt;*World*"),IF(OR(K383="",K383=0),"-",SUMPRODUCT(('RawData'!B$2:B$822=B383)*('RawData'!H$2:H$822&gt;K383)*(ISERROR(SEARCH("World",'RawData'!C$2:C$822)))*(ISERROR(SEARCH("Other",'RawData'!C$2:C$822))))+1)))</f>
        <v>10</v>
      </c>
    </row>
    <row r="384" spans="1:14" x14ac:dyDescent="0.3">
      <c r="A384" s="4" t="str">
        <f>IF(ISNUMBER(SEARCH("World",'RawData'!C423)),"",'RawData'!A423)</f>
        <v>MCS2026</v>
      </c>
      <c r="B384" s="4" t="str">
        <f>IF(ISNUMBER(SEARCH("World",'RawData'!C423)),"",'RawData'!B423)</f>
        <v xml:space="preserve">Molybdenum </v>
      </c>
      <c r="C384" s="4" t="str">
        <f>IF(ISNUMBER(SEARCH("World",'RawData'!C423)),"",'RawData'!C423)</f>
        <v>Chile</v>
      </c>
      <c r="D384" s="4" t="str">
        <f>IF(ISNUMBER(SEARCH("World",'RawData'!C423)),"",'RawData'!D423)</f>
        <v>Mine production, molybdenum content</v>
      </c>
      <c r="E384" s="4" t="str">
        <f>IF(ISNUMBER(SEARCH("World",'RawData'!C423)),"",IF('RawData'!E423="WT001","kg",IF('RawData'!E423="WT002","ton",IF('RawData'!E423="WT003","k ton",""))))</f>
        <v>ton</v>
      </c>
      <c r="F384" s="14">
        <f>IF(ISNUMBER(SEARCH("World",'RawData'!C423)),"",'RawData'!F423)</f>
        <v>38500</v>
      </c>
      <c r="G384" s="14">
        <f>IF(ISNUMBER(SEARCH("World",'RawData'!C423)),"",'RawData'!G423)</f>
        <v>42000</v>
      </c>
      <c r="H384" s="14">
        <f>IF(ISNUMBER(SEARCH("World",'RawData'!C423)),"",SUMIFS('RawData'!G:G,'RawData'!B:B,'RawData'!B423,'RawData'!C:C,"*World*"))</f>
        <v>260000</v>
      </c>
      <c r="I384" s="15">
        <f>IF(ISNUMBER(SEARCH("World",'RawData'!C423)),"",IFERROR(G384/H384,"-"))</f>
        <v>0.16153846153846155</v>
      </c>
      <c r="J384" s="7">
        <f>IF(ISNUMBER(SEARCH("World",'RawData'!C423)),"",IF(ISNUMBER(SEARCH("Other",C384)),COUNTIFS('RawData'!B:B,B384,'RawData'!C:C,"&lt;&gt;*World*"),IF(OR(G384="",G384=0),"-",SUMPRODUCT(('RawData'!B$2:B$822=B384)*('RawData'!G$2:G$822&gt;G384)*(ISERROR(SEARCH("World",'RawData'!C$2:C$822)))*(ISERROR(SEARCH("Other",'RawData'!C$2:C$822))))+1)))</f>
        <v>2</v>
      </c>
      <c r="K384" s="14">
        <f>IF(ISNUMBER(SEARCH("World",'RawData'!C423)),"",'RawData'!H423)</f>
        <v>2600000</v>
      </c>
      <c r="L384" s="14">
        <f>IF(ISNUMBER(SEARCH("World",'RawData'!C423)),"",SUMIFS('RawData'!H:H,'RawData'!B:B,'RawData'!B423,'RawData'!C:C,"*World*"))</f>
        <v>17000000</v>
      </c>
      <c r="M384" s="15">
        <f>IF(ISNUMBER(SEARCH("World",'RawData'!C423)),"",IFERROR(K384/L384,"-"))</f>
        <v>0.15294117647058825</v>
      </c>
      <c r="N384" s="7">
        <f>IF(ISNUMBER(SEARCH("World",'RawData'!C423)),"",IF(ISNUMBER(SEARCH("Other",C384)),COUNTIFS('RawData'!B:B,B384,'RawData'!C:C,"&lt;&gt;*World*"),IF(OR(K384="",K384=0),"-",SUMPRODUCT(('RawData'!B$2:B$822=B384)*('RawData'!H$2:H$822&gt;K384)*(ISERROR(SEARCH("World",'RawData'!C$2:C$822)))*(ISERROR(SEARCH("Other",'RawData'!C$2:C$822))))+1)))</f>
        <v>3</v>
      </c>
    </row>
    <row r="385" spans="1:14" x14ac:dyDescent="0.3">
      <c r="A385" s="4" t="str">
        <f>IF(ISNUMBER(SEARCH("World",'RawData'!C424)),"",'RawData'!A424)</f>
        <v>MCS2026</v>
      </c>
      <c r="B385" s="4" t="str">
        <f>IF(ISNUMBER(SEARCH("World",'RawData'!C424)),"",'RawData'!B424)</f>
        <v xml:space="preserve">Molybdenum </v>
      </c>
      <c r="C385" s="4" t="str">
        <f>IF(ISNUMBER(SEARCH("World",'RawData'!C424)),"",'RawData'!C424)</f>
        <v>China</v>
      </c>
      <c r="D385" s="4" t="str">
        <f>IF(ISNUMBER(SEARCH("World",'RawData'!C424)),"",'RawData'!D424)</f>
        <v>Mine production, molybdenum content</v>
      </c>
      <c r="E385" s="4" t="str">
        <f>IF(ISNUMBER(SEARCH("World",'RawData'!C424)),"",IF('RawData'!E424="WT001","kg",IF('RawData'!E424="WT002","ton",IF('RawData'!E424="WT003","k ton",""))))</f>
        <v>ton</v>
      </c>
      <c r="F385" s="14">
        <f>IF(ISNUMBER(SEARCH("World",'RawData'!C424)),"",'RawData'!F424)</f>
        <v>100000</v>
      </c>
      <c r="G385" s="14">
        <f>IF(ISNUMBER(SEARCH("World",'RawData'!C424)),"",'RawData'!G424)</f>
        <v>97000</v>
      </c>
      <c r="H385" s="14">
        <f>IF(ISNUMBER(SEARCH("World",'RawData'!C424)),"",SUMIFS('RawData'!G:G,'RawData'!B:B,'RawData'!B424,'RawData'!C:C,"*World*"))</f>
        <v>260000</v>
      </c>
      <c r="I385" s="15">
        <f>IF(ISNUMBER(SEARCH("World",'RawData'!C424)),"",IFERROR(G385/H385,"-"))</f>
        <v>0.37307692307692308</v>
      </c>
      <c r="J385" s="7">
        <f>IF(ISNUMBER(SEARCH("World",'RawData'!C424)),"",IF(ISNUMBER(SEARCH("Other",C385)),COUNTIFS('RawData'!B:B,B385,'RawData'!C:C,"&lt;&gt;*World*"),IF(OR(G385="",G385=0),"-",SUMPRODUCT(('RawData'!B$2:B$822=B385)*('RawData'!G$2:G$822&gt;G385)*(ISERROR(SEARCH("World",'RawData'!C$2:C$822)))*(ISERROR(SEARCH("Other",'RawData'!C$2:C$822))))+1)))</f>
        <v>1</v>
      </c>
      <c r="K385" s="14">
        <f>IF(ISNUMBER(SEARCH("World",'RawData'!C424)),"",'RawData'!H424)</f>
        <v>7800000</v>
      </c>
      <c r="L385" s="14">
        <f>IF(ISNUMBER(SEARCH("World",'RawData'!C424)),"",SUMIFS('RawData'!H:H,'RawData'!B:B,'RawData'!B424,'RawData'!C:C,"*World*"))</f>
        <v>17000000</v>
      </c>
      <c r="M385" s="15">
        <f>IF(ISNUMBER(SEARCH("World",'RawData'!C424)),"",IFERROR(K385/L385,"-"))</f>
        <v>0.45882352941176469</v>
      </c>
      <c r="N385" s="7">
        <f>IF(ISNUMBER(SEARCH("World",'RawData'!C424)),"",IF(ISNUMBER(SEARCH("Other",C385)),COUNTIFS('RawData'!B:B,B385,'RawData'!C:C,"&lt;&gt;*World*"),IF(OR(K385="",K385=0),"-",SUMPRODUCT(('RawData'!B$2:B$822=B385)*('RawData'!H$2:H$822&gt;K385)*(ISERROR(SEARCH("World",'RawData'!C$2:C$822)))*(ISERROR(SEARCH("Other",'RawData'!C$2:C$822))))+1)))</f>
        <v>1</v>
      </c>
    </row>
    <row r="386" spans="1:14" x14ac:dyDescent="0.3">
      <c r="A386" s="4" t="str">
        <f>IF(ISNUMBER(SEARCH("World",'RawData'!C425)),"",'RawData'!A425)</f>
        <v>MCS2026</v>
      </c>
      <c r="B386" s="4" t="str">
        <f>IF(ISNUMBER(SEARCH("World",'RawData'!C425)),"",'RawData'!B425)</f>
        <v xml:space="preserve">Molybdenum </v>
      </c>
      <c r="C386" s="4" t="str">
        <f>IF(ISNUMBER(SEARCH("World",'RawData'!C425)),"",'RawData'!C425)</f>
        <v>Iran</v>
      </c>
      <c r="D386" s="4" t="str">
        <f>IF(ISNUMBER(SEARCH("World",'RawData'!C425)),"",'RawData'!D425)</f>
        <v>Mine production, molybdenum content</v>
      </c>
      <c r="E386" s="4" t="str">
        <f>IF(ISNUMBER(SEARCH("World",'RawData'!C425)),"",IF('RawData'!E425="WT001","kg",IF('RawData'!E425="WT002","ton",IF('RawData'!E425="WT003","k ton",""))))</f>
        <v>ton</v>
      </c>
      <c r="F386" s="14">
        <f>IF(ISNUMBER(SEARCH("World",'RawData'!C425)),"",'RawData'!F425)</f>
        <v>2900</v>
      </c>
      <c r="G386" s="14">
        <f>IF(ISNUMBER(SEARCH("World",'RawData'!C425)),"",'RawData'!G425)</f>
        <v>3300</v>
      </c>
      <c r="H386" s="14">
        <f>IF(ISNUMBER(SEARCH("World",'RawData'!C425)),"",SUMIFS('RawData'!G:G,'RawData'!B:B,'RawData'!B425,'RawData'!C:C,"*World*"))</f>
        <v>260000</v>
      </c>
      <c r="I386" s="15">
        <f>IF(ISNUMBER(SEARCH("World",'RawData'!C425)),"",IFERROR(G386/H386,"-"))</f>
        <v>1.2692307692307692E-2</v>
      </c>
      <c r="J386" s="7">
        <f>IF(ISNUMBER(SEARCH("World",'RawData'!C425)),"",IF(ISNUMBER(SEARCH("Other",C386)),COUNTIFS('RawData'!B:B,B386,'RawData'!C:C,"&lt;&gt;*World*"),IF(OR(G386="",G386=0),"-",SUMPRODUCT(('RawData'!B$2:B$822=B386)*('RawData'!G$2:G$822&gt;G386)*(ISERROR(SEARCH("World",'RawData'!C$2:C$822)))*(ISERROR(SEARCH("Other",'RawData'!C$2:C$822))))+1)))</f>
        <v>9</v>
      </c>
      <c r="K386" s="14">
        <f>IF(ISNUMBER(SEARCH("World",'RawData'!C425)),"",'RawData'!H425)</f>
        <v>43000</v>
      </c>
      <c r="L386" s="14">
        <f>IF(ISNUMBER(SEARCH("World",'RawData'!C425)),"",SUMIFS('RawData'!H:H,'RawData'!B:B,'RawData'!B425,'RawData'!C:C,"*World*"))</f>
        <v>17000000</v>
      </c>
      <c r="M386" s="15">
        <f>IF(ISNUMBER(SEARCH("World",'RawData'!C425)),"",IFERROR(K386/L386,"-"))</f>
        <v>2.5294117647058825E-3</v>
      </c>
      <c r="N386" s="7">
        <f>IF(ISNUMBER(SEARCH("World",'RawData'!C425)),"",IF(ISNUMBER(SEARCH("Other",C386)),COUNTIFS('RawData'!B:B,B386,'RawData'!C:C,"&lt;&gt;*World*"),IF(OR(K386="",K386=0),"-",SUMPRODUCT(('RawData'!B$2:B$822=B386)*('RawData'!H$2:H$822&gt;K386)*(ISERROR(SEARCH("World",'RawData'!C$2:C$822)))*(ISERROR(SEARCH("Other",'RawData'!C$2:C$822))))+1)))</f>
        <v>11</v>
      </c>
    </row>
    <row r="387" spans="1:14" x14ac:dyDescent="0.3">
      <c r="A387" s="4" t="str">
        <f>IF(ISNUMBER(SEARCH("World",'RawData'!C426)),"",'RawData'!A426)</f>
        <v>MCS2026</v>
      </c>
      <c r="B387" s="4" t="str">
        <f>IF(ISNUMBER(SEARCH("World",'RawData'!C426)),"",'RawData'!B426)</f>
        <v xml:space="preserve">Molybdenum </v>
      </c>
      <c r="C387" s="4" t="str">
        <f>IF(ISNUMBER(SEARCH("World",'RawData'!C426)),"",'RawData'!C426)</f>
        <v>Kazakhstan</v>
      </c>
      <c r="D387" s="4" t="str">
        <f>IF(ISNUMBER(SEARCH("World",'RawData'!C426)),"",'RawData'!D426)</f>
        <v>Mine production, molybdenum content</v>
      </c>
      <c r="E387" s="4" t="str">
        <f>IF(ISNUMBER(SEARCH("World",'RawData'!C426)),"",IF('RawData'!E426="WT001","kg",IF('RawData'!E426="WT002","ton",IF('RawData'!E426="WT003","k ton",""))))</f>
        <v>ton</v>
      </c>
      <c r="F387" s="14">
        <f>IF(ISNUMBER(SEARCH("World",'RawData'!C426)),"",'RawData'!F426)</f>
        <v>4080</v>
      </c>
      <c r="G387" s="14">
        <f>IF(ISNUMBER(SEARCH("World",'RawData'!C426)),"",'RawData'!G426)</f>
        <v>4300</v>
      </c>
      <c r="H387" s="14">
        <f>IF(ISNUMBER(SEARCH("World",'RawData'!C426)),"",SUMIFS('RawData'!G:G,'RawData'!B:B,'RawData'!B426,'RawData'!C:C,"*World*"))</f>
        <v>260000</v>
      </c>
      <c r="I387" s="15">
        <f>IF(ISNUMBER(SEARCH("World",'RawData'!C426)),"",IFERROR(G387/H387,"-"))</f>
        <v>1.653846153846154E-2</v>
      </c>
      <c r="J387" s="7">
        <f>IF(ISNUMBER(SEARCH("World",'RawData'!C426)),"",IF(ISNUMBER(SEARCH("Other",C387)),COUNTIFS('RawData'!B:B,B387,'RawData'!C:C,"&lt;&gt;*World*"),IF(OR(G387="",G387=0),"-",SUMPRODUCT(('RawData'!B$2:B$822=B387)*('RawData'!G$2:G$822&gt;G387)*(ISERROR(SEARCH("World",'RawData'!C$2:C$822)))*(ISERROR(SEARCH("Other",'RawData'!C$2:C$822))))+1)))</f>
        <v>7</v>
      </c>
      <c r="K387" s="14">
        <f>IF(ISNUMBER(SEARCH("World",'RawData'!C426)),"",'RawData'!H426)</f>
        <v>7000</v>
      </c>
      <c r="L387" s="14">
        <f>IF(ISNUMBER(SEARCH("World",'RawData'!C426)),"",SUMIFS('RawData'!H:H,'RawData'!B:B,'RawData'!B426,'RawData'!C:C,"*World*"))</f>
        <v>17000000</v>
      </c>
      <c r="M387" s="15">
        <f>IF(ISNUMBER(SEARCH("World",'RawData'!C426)),"",IFERROR(K387/L387,"-"))</f>
        <v>4.1176470588235296E-4</v>
      </c>
      <c r="N387" s="7">
        <f>IF(ISNUMBER(SEARCH("World",'RawData'!C426)),"",IF(ISNUMBER(SEARCH("Other",C387)),COUNTIFS('RawData'!B:B,B387,'RawData'!C:C,"&lt;&gt;*World*"),IF(OR(K387="",K387=0),"-",SUMPRODUCT(('RawData'!B$2:B$822=B387)*('RawData'!H$2:H$822&gt;K387)*(ISERROR(SEARCH("World",'RawData'!C$2:C$822)))*(ISERROR(SEARCH("Other",'RawData'!C$2:C$822))))+1)))</f>
        <v>15</v>
      </c>
    </row>
    <row r="388" spans="1:14" x14ac:dyDescent="0.3">
      <c r="A388" s="4" t="str">
        <f>IF(ISNUMBER(SEARCH("World",'RawData'!C427)),"",'RawData'!A427)</f>
        <v>MCS2026</v>
      </c>
      <c r="B388" s="4" t="str">
        <f>IF(ISNUMBER(SEARCH("World",'RawData'!C427)),"",'RawData'!B427)</f>
        <v xml:space="preserve">Molybdenum </v>
      </c>
      <c r="C388" s="4" t="str">
        <f>IF(ISNUMBER(SEARCH("World",'RawData'!C427)),"",'RawData'!C427)</f>
        <v>Mexico</v>
      </c>
      <c r="D388" s="4" t="str">
        <f>IF(ISNUMBER(SEARCH("World",'RawData'!C427)),"",'RawData'!D427)</f>
        <v>Mine production, molybdenum content</v>
      </c>
      <c r="E388" s="4" t="str">
        <f>IF(ISNUMBER(SEARCH("World",'RawData'!C427)),"",IF('RawData'!E427="WT001","kg",IF('RawData'!E427="WT002","ton",IF('RawData'!E427="WT003","k ton",""))))</f>
        <v>ton</v>
      </c>
      <c r="F388" s="14">
        <f>IF(ISNUMBER(SEARCH("World",'RawData'!C427)),"",'RawData'!F427)</f>
        <v>16200</v>
      </c>
      <c r="G388" s="14">
        <f>IF(ISNUMBER(SEARCH("World",'RawData'!C427)),"",'RawData'!G427)</f>
        <v>17000</v>
      </c>
      <c r="H388" s="14">
        <f>IF(ISNUMBER(SEARCH("World",'RawData'!C427)),"",SUMIFS('RawData'!G:G,'RawData'!B:B,'RawData'!B427,'RawData'!C:C,"*World*"))</f>
        <v>260000</v>
      </c>
      <c r="I388" s="15">
        <f>IF(ISNUMBER(SEARCH("World",'RawData'!C427)),"",IFERROR(G388/H388,"-"))</f>
        <v>6.5384615384615388E-2</v>
      </c>
      <c r="J388" s="7">
        <f>IF(ISNUMBER(SEARCH("World",'RawData'!C427)),"",IF(ISNUMBER(SEARCH("Other",C388)),COUNTIFS('RawData'!B:B,B388,'RawData'!C:C,"&lt;&gt;*World*"),IF(OR(G388="",G388=0),"-",SUMPRODUCT(('RawData'!B$2:B$822=B388)*('RawData'!G$2:G$822&gt;G388)*(ISERROR(SEARCH("World",'RawData'!C$2:C$822)))*(ISERROR(SEARCH("Other",'RawData'!C$2:C$822))))+1)))</f>
        <v>5</v>
      </c>
      <c r="K388" s="14">
        <f>IF(ISNUMBER(SEARCH("World",'RawData'!C427)),"",'RawData'!H427)</f>
        <v>130000</v>
      </c>
      <c r="L388" s="14">
        <f>IF(ISNUMBER(SEARCH("World",'RawData'!C427)),"",SUMIFS('RawData'!H:H,'RawData'!B:B,'RawData'!B427,'RawData'!C:C,"*World*"))</f>
        <v>17000000</v>
      </c>
      <c r="M388" s="15">
        <f>IF(ISNUMBER(SEARCH("World",'RawData'!C427)),"",IFERROR(K388/L388,"-"))</f>
        <v>7.6470588235294122E-3</v>
      </c>
      <c r="N388" s="7">
        <f>IF(ISNUMBER(SEARCH("World",'RawData'!C427)),"",IF(ISNUMBER(SEARCH("Other",C388)),COUNTIFS('RawData'!B:B,B388,'RawData'!C:C,"&lt;&gt;*World*"),IF(OR(K388="",K388=0),"-",SUMPRODUCT(('RawData'!B$2:B$822=B388)*('RawData'!H$2:H$822&gt;K388)*(ISERROR(SEARCH("World",'RawData'!C$2:C$822)))*(ISERROR(SEARCH("Other",'RawData'!C$2:C$822))))+1)))</f>
        <v>8</v>
      </c>
    </row>
    <row r="389" spans="1:14" x14ac:dyDescent="0.3">
      <c r="A389" s="4" t="str">
        <f>IF(ISNUMBER(SEARCH("World",'RawData'!C428)),"",'RawData'!A428)</f>
        <v>MCS2026</v>
      </c>
      <c r="B389" s="4" t="str">
        <f>IF(ISNUMBER(SEARCH("World",'RawData'!C428)),"",'RawData'!B428)</f>
        <v xml:space="preserve">Molybdenum </v>
      </c>
      <c r="C389" s="4" t="str">
        <f>IF(ISNUMBER(SEARCH("World",'RawData'!C428)),"",'RawData'!C428)</f>
        <v>Mongolia</v>
      </c>
      <c r="D389" s="4" t="str">
        <f>IF(ISNUMBER(SEARCH("World",'RawData'!C428)),"",'RawData'!D428)</f>
        <v>Mine production, molybdenum content</v>
      </c>
      <c r="E389" s="4" t="str">
        <f>IF(ISNUMBER(SEARCH("World",'RawData'!C428)),"",IF('RawData'!E428="WT001","kg",IF('RawData'!E428="WT002","ton",IF('RawData'!E428="WT003","k ton",""))))</f>
        <v>ton</v>
      </c>
      <c r="F389" s="14">
        <f>IF(ISNUMBER(SEARCH("World",'RawData'!C428)),"",'RawData'!F428)</f>
        <v>3110</v>
      </c>
      <c r="G389" s="14">
        <f>IF(ISNUMBER(SEARCH("World",'RawData'!C428)),"",'RawData'!G428)</f>
        <v>4200</v>
      </c>
      <c r="H389" s="14">
        <f>IF(ISNUMBER(SEARCH("World",'RawData'!C428)),"",SUMIFS('RawData'!G:G,'RawData'!B:B,'RawData'!B428,'RawData'!C:C,"*World*"))</f>
        <v>260000</v>
      </c>
      <c r="I389" s="15">
        <f>IF(ISNUMBER(SEARCH("World",'RawData'!C428)),"",IFERROR(G389/H389,"-"))</f>
        <v>1.6153846153846154E-2</v>
      </c>
      <c r="J389" s="7">
        <f>IF(ISNUMBER(SEARCH("World",'RawData'!C428)),"",IF(ISNUMBER(SEARCH("Other",C389)),COUNTIFS('RawData'!B:B,B389,'RawData'!C:C,"&lt;&gt;*World*"),IF(OR(G389="",G389=0),"-",SUMPRODUCT(('RawData'!B$2:B$822=B389)*('RawData'!G$2:G$822&gt;G389)*(ISERROR(SEARCH("World",'RawData'!C$2:C$822)))*(ISERROR(SEARCH("Other",'RawData'!C$2:C$822))))+1)))</f>
        <v>8</v>
      </c>
      <c r="K389" s="14">
        <f>IF(ISNUMBER(SEARCH("World",'RawData'!C428)),"",'RawData'!H428)</f>
        <v>10000</v>
      </c>
      <c r="L389" s="14">
        <f>IF(ISNUMBER(SEARCH("World",'RawData'!C428)),"",SUMIFS('RawData'!H:H,'RawData'!B:B,'RawData'!B428,'RawData'!C:C,"*World*"))</f>
        <v>17000000</v>
      </c>
      <c r="M389" s="15">
        <f>IF(ISNUMBER(SEARCH("World",'RawData'!C428)),"",IFERROR(K389/L389,"-"))</f>
        <v>5.8823529411764701E-4</v>
      </c>
      <c r="N389" s="7">
        <f>IF(ISNUMBER(SEARCH("World",'RawData'!C428)),"",IF(ISNUMBER(SEARCH("Other",C389)),COUNTIFS('RawData'!B:B,B389,'RawData'!C:C,"&lt;&gt;*World*"),IF(OR(K389="",K389=0),"-",SUMPRODUCT(('RawData'!B$2:B$822=B389)*('RawData'!H$2:H$822&gt;K389)*(ISERROR(SEARCH("World",'RawData'!C$2:C$822)))*(ISERROR(SEARCH("Other",'RawData'!C$2:C$822))))+1)))</f>
        <v>13</v>
      </c>
    </row>
    <row r="390" spans="1:14" x14ac:dyDescent="0.3">
      <c r="A390" s="4" t="str">
        <f>IF(ISNUMBER(SEARCH("World",'RawData'!C429)),"",'RawData'!A429)</f>
        <v>MCS2026</v>
      </c>
      <c r="B390" s="4" t="str">
        <f>IF(ISNUMBER(SEARCH("World",'RawData'!C429)),"",'RawData'!B429)</f>
        <v xml:space="preserve">Molybdenum </v>
      </c>
      <c r="C390" s="4" t="str">
        <f>IF(ISNUMBER(SEARCH("World",'RawData'!C429)),"",'RawData'!C429)</f>
        <v>North Korea</v>
      </c>
      <c r="D390" s="4" t="str">
        <f>IF(ISNUMBER(SEARCH("World",'RawData'!C429)),"",'RawData'!D429)</f>
        <v>Mine production, molybdenum content</v>
      </c>
      <c r="E390" s="4" t="str">
        <f>IF(ISNUMBER(SEARCH("World",'RawData'!C429)),"",IF('RawData'!E429="WT001","kg",IF('RawData'!E429="WT002","ton",IF('RawData'!E429="WT003","k ton",""))))</f>
        <v>ton</v>
      </c>
      <c r="F390" s="14">
        <f>IF(ISNUMBER(SEARCH("World",'RawData'!C429)),"",'RawData'!F429)</f>
        <v>800</v>
      </c>
      <c r="G390" s="14">
        <f>IF(ISNUMBER(SEARCH("World",'RawData'!C429)),"",'RawData'!G429)</f>
        <v>800</v>
      </c>
      <c r="H390" s="14">
        <f>IF(ISNUMBER(SEARCH("World",'RawData'!C429)),"",SUMIFS('RawData'!G:G,'RawData'!B:B,'RawData'!B429,'RawData'!C:C,"*World*"))</f>
        <v>260000</v>
      </c>
      <c r="I390" s="15">
        <f>IF(ISNUMBER(SEARCH("World",'RawData'!C429)),"",IFERROR(G390/H390,"-"))</f>
        <v>3.0769230769230769E-3</v>
      </c>
      <c r="J390" s="7">
        <f>IF(ISNUMBER(SEARCH("World",'RawData'!C429)),"",IF(ISNUMBER(SEARCH("Other",C390)),COUNTIFS('RawData'!B:B,B390,'RawData'!C:C,"&lt;&gt;*World*"),IF(OR(G390="",G390=0),"-",SUMPRODUCT(('RawData'!B$2:B$822=B390)*('RawData'!G$2:G$822&gt;G390)*(ISERROR(SEARCH("World",'RawData'!C$2:C$822)))*(ISERROR(SEARCH("Other",'RawData'!C$2:C$822))))+1)))</f>
        <v>14</v>
      </c>
      <c r="K390" s="14">
        <f>IF(ISNUMBER(SEARCH("World",'RawData'!C429)),"",'RawData'!H429)</f>
        <v>78000</v>
      </c>
      <c r="L390" s="14">
        <f>IF(ISNUMBER(SEARCH("World",'RawData'!C429)),"",SUMIFS('RawData'!H:H,'RawData'!B:B,'RawData'!B429,'RawData'!C:C,"*World*"))</f>
        <v>17000000</v>
      </c>
      <c r="M390" s="15">
        <f>IF(ISNUMBER(SEARCH("World",'RawData'!C429)),"",IFERROR(K390/L390,"-"))</f>
        <v>4.5882352941176473E-3</v>
      </c>
      <c r="N390" s="7">
        <f>IF(ISNUMBER(SEARCH("World",'RawData'!C429)),"",IF(ISNUMBER(SEARCH("Other",C390)),COUNTIFS('RawData'!B:B,B390,'RawData'!C:C,"&lt;&gt;*World*"),IF(OR(K390="",K390=0),"-",SUMPRODUCT(('RawData'!B$2:B$822=B390)*('RawData'!H$2:H$822&gt;K390)*(ISERROR(SEARCH("World",'RawData'!C$2:C$822)))*(ISERROR(SEARCH("Other",'RawData'!C$2:C$822))))+1)))</f>
        <v>9</v>
      </c>
    </row>
    <row r="391" spans="1:14" x14ac:dyDescent="0.3">
      <c r="A391" s="4" t="str">
        <f>IF(ISNUMBER(SEARCH("World",'RawData'!C430)),"",'RawData'!A430)</f>
        <v>MCS2026</v>
      </c>
      <c r="B391" s="4" t="str">
        <f>IF(ISNUMBER(SEARCH("World",'RawData'!C430)),"",'RawData'!B430)</f>
        <v xml:space="preserve">Molybdenum </v>
      </c>
      <c r="C391" s="4" t="str">
        <f>IF(ISNUMBER(SEARCH("World",'RawData'!C430)),"",'RawData'!C430)</f>
        <v>Other Countries</v>
      </c>
      <c r="D391" s="4" t="str">
        <f>IF(ISNUMBER(SEARCH("World",'RawData'!C430)),"",'RawData'!D430)</f>
        <v>Mine production, molybdenum content</v>
      </c>
      <c r="E391" s="4" t="str">
        <f>IF(ISNUMBER(SEARCH("World",'RawData'!C430)),"",IF('RawData'!E430="WT001","kg",IF('RawData'!E430="WT002","ton",IF('RawData'!E430="WT003","k ton",""))))</f>
        <v>ton</v>
      </c>
      <c r="F391" s="14">
        <f>IF(ISNUMBER(SEARCH("World",'RawData'!C430)),"",'RawData'!F430)</f>
        <v>0</v>
      </c>
      <c r="G391" s="14">
        <f>IF(ISNUMBER(SEARCH("World",'RawData'!C430)),"",'RawData'!G430)</f>
        <v>0</v>
      </c>
      <c r="H391" s="14">
        <f>IF(ISNUMBER(SEARCH("World",'RawData'!C430)),"",SUMIFS('RawData'!G:G,'RawData'!B:B,'RawData'!B430,'RawData'!C:C,"*World*"))</f>
        <v>260000</v>
      </c>
      <c r="I391" s="15">
        <f>IF(ISNUMBER(SEARCH("World",'RawData'!C430)),"",IFERROR(G391/H391,"-"))</f>
        <v>0</v>
      </c>
      <c r="J391" s="7">
        <f>IF(ISNUMBER(SEARCH("World",'RawData'!C430)),"",IF(ISNUMBER(SEARCH("Other",C391)),COUNTIFS('RawData'!B:B,B391,'RawData'!C:C,"&lt;&gt;*World*"),IF(OR(G391="",G391=0),"-",SUMPRODUCT(('RawData'!B$2:B$822=B391)*('RawData'!G$2:G$822&gt;G391)*(ISERROR(SEARCH("World",'RawData'!C$2:C$822)))*(ISERROR(SEARCH("Other",'RawData'!C$2:C$822))))+1)))</f>
        <v>16</v>
      </c>
      <c r="K391" s="14">
        <f>IF(ISNUMBER(SEARCH("World",'RawData'!C430)),"",'RawData'!H430)</f>
        <v>150000</v>
      </c>
      <c r="L391" s="14">
        <f>IF(ISNUMBER(SEARCH("World",'RawData'!C430)),"",SUMIFS('RawData'!H:H,'RawData'!B:B,'RawData'!B430,'RawData'!C:C,"*World*"))</f>
        <v>17000000</v>
      </c>
      <c r="M391" s="15">
        <f>IF(ISNUMBER(SEARCH("World",'RawData'!C430)),"",IFERROR(K391/L391,"-"))</f>
        <v>8.8235294117647058E-3</v>
      </c>
      <c r="N391" s="7">
        <f>IF(ISNUMBER(SEARCH("World",'RawData'!C430)),"",IF(ISNUMBER(SEARCH("Other",C391)),COUNTIFS('RawData'!B:B,B391,'RawData'!C:C,"&lt;&gt;*World*"),IF(OR(K391="",K391=0),"-",SUMPRODUCT(('RawData'!B$2:B$822=B391)*('RawData'!H$2:H$822&gt;K391)*(ISERROR(SEARCH("World",'RawData'!C$2:C$822)))*(ISERROR(SEARCH("Other",'RawData'!C$2:C$822))))+1)))</f>
        <v>16</v>
      </c>
    </row>
    <row r="392" spans="1:14" x14ac:dyDescent="0.3">
      <c r="A392" s="4" t="str">
        <f>IF(ISNUMBER(SEARCH("World",'RawData'!C431)),"",'RawData'!A431)</f>
        <v>MCS2026</v>
      </c>
      <c r="B392" s="4" t="str">
        <f>IF(ISNUMBER(SEARCH("World",'RawData'!C431)),"",'RawData'!B431)</f>
        <v xml:space="preserve">Molybdenum </v>
      </c>
      <c r="C392" s="4" t="str">
        <f>IF(ISNUMBER(SEARCH("World",'RawData'!C431)),"",'RawData'!C431)</f>
        <v>Peru</v>
      </c>
      <c r="D392" s="4" t="str">
        <f>IF(ISNUMBER(SEARCH("World",'RawData'!C431)),"",'RawData'!D431)</f>
        <v>Mine production, molybdenum content</v>
      </c>
      <c r="E392" s="4" t="str">
        <f>IF(ISNUMBER(SEARCH("World",'RawData'!C431)),"",IF('RawData'!E431="WT001","kg",IF('RawData'!E431="WT002","ton",IF('RawData'!E431="WT003","k ton",""))))</f>
        <v>ton</v>
      </c>
      <c r="F392" s="14">
        <f>IF(ISNUMBER(SEARCH("World",'RawData'!C431)),"",'RawData'!F431)</f>
        <v>41900</v>
      </c>
      <c r="G392" s="14">
        <f>IF(ISNUMBER(SEARCH("World",'RawData'!C431)),"",'RawData'!G431)</f>
        <v>39000</v>
      </c>
      <c r="H392" s="14">
        <f>IF(ISNUMBER(SEARCH("World",'RawData'!C431)),"",SUMIFS('RawData'!G:G,'RawData'!B:B,'RawData'!B431,'RawData'!C:C,"*World*"))</f>
        <v>260000</v>
      </c>
      <c r="I392" s="15">
        <f>IF(ISNUMBER(SEARCH("World",'RawData'!C431)),"",IFERROR(G392/H392,"-"))</f>
        <v>0.15</v>
      </c>
      <c r="J392" s="7">
        <f>IF(ISNUMBER(SEARCH("World",'RawData'!C431)),"",IF(ISNUMBER(SEARCH("Other",C392)),COUNTIFS('RawData'!B:B,B392,'RawData'!C:C,"&lt;&gt;*World*"),IF(OR(G392="",G392=0),"-",SUMPRODUCT(('RawData'!B$2:B$822=B392)*('RawData'!G$2:G$822&gt;G392)*(ISERROR(SEARCH("World",'RawData'!C$2:C$822)))*(ISERROR(SEARCH("Other",'RawData'!C$2:C$822))))+1)))</f>
        <v>4</v>
      </c>
      <c r="K392" s="14">
        <f>IF(ISNUMBER(SEARCH("World",'RawData'!C431)),"",'RawData'!H431)</f>
        <v>1000000</v>
      </c>
      <c r="L392" s="14">
        <f>IF(ISNUMBER(SEARCH("World",'RawData'!C431)),"",SUMIFS('RawData'!H:H,'RawData'!B:B,'RawData'!B431,'RawData'!C:C,"*World*"))</f>
        <v>17000000</v>
      </c>
      <c r="M392" s="15">
        <f>IF(ISNUMBER(SEARCH("World",'RawData'!C431)),"",IFERROR(K392/L392,"-"))</f>
        <v>5.8823529411764705E-2</v>
      </c>
      <c r="N392" s="7">
        <f>IF(ISNUMBER(SEARCH("World",'RawData'!C431)),"",IF(ISNUMBER(SEARCH("Other",C392)),COUNTIFS('RawData'!B:B,B392,'RawData'!C:C,"&lt;&gt;*World*"),IF(OR(K392="",K392=0),"-",SUMPRODUCT(('RawData'!B$2:B$822=B392)*('RawData'!H$2:H$822&gt;K392)*(ISERROR(SEARCH("World",'RawData'!C$2:C$822)))*(ISERROR(SEARCH("Other",'RawData'!C$2:C$822))))+1)))</f>
        <v>5</v>
      </c>
    </row>
    <row r="393" spans="1:14" x14ac:dyDescent="0.3">
      <c r="A393" s="4" t="str">
        <f>IF(ISNUMBER(SEARCH("World",'RawData'!C432)),"",'RawData'!A432)</f>
        <v>MCS2026</v>
      </c>
      <c r="B393" s="4" t="str">
        <f>IF(ISNUMBER(SEARCH("World",'RawData'!C432)),"",'RawData'!B432)</f>
        <v xml:space="preserve">Molybdenum </v>
      </c>
      <c r="C393" s="4" t="str">
        <f>IF(ISNUMBER(SEARCH("World",'RawData'!C432)),"",'RawData'!C432)</f>
        <v xml:space="preserve">Russia </v>
      </c>
      <c r="D393" s="4" t="str">
        <f>IF(ISNUMBER(SEARCH("World",'RawData'!C432)),"",'RawData'!D432)</f>
        <v>Mine production, molybdenum content</v>
      </c>
      <c r="E393" s="4" t="str">
        <f>IF(ISNUMBER(SEARCH("World",'RawData'!C432)),"",IF('RawData'!E432="WT001","kg",IF('RawData'!E432="WT002","ton",IF('RawData'!E432="WT003","k ton",""))))</f>
        <v>ton</v>
      </c>
      <c r="F393" s="14">
        <f>IF(ISNUMBER(SEARCH("World",'RawData'!C432)),"",'RawData'!F432)</f>
        <v>1500</v>
      </c>
      <c r="G393" s="14">
        <f>IF(ISNUMBER(SEARCH("World",'RawData'!C432)),"",'RawData'!G432)</f>
        <v>1300</v>
      </c>
      <c r="H393" s="14">
        <f>IF(ISNUMBER(SEARCH("World",'RawData'!C432)),"",SUMIFS('RawData'!G:G,'RawData'!B:B,'RawData'!B432,'RawData'!C:C,"*World*"))</f>
        <v>260000</v>
      </c>
      <c r="I393" s="15">
        <f>IF(ISNUMBER(SEARCH("World",'RawData'!C432)),"",IFERROR(G393/H393,"-"))</f>
        <v>5.0000000000000001E-3</v>
      </c>
      <c r="J393" s="7">
        <f>IF(ISNUMBER(SEARCH("World",'RawData'!C432)),"",IF(ISNUMBER(SEARCH("Other",C393)),COUNTIFS('RawData'!B:B,B393,'RawData'!C:C,"&lt;&gt;*World*"),IF(OR(G393="",G393=0),"-",SUMPRODUCT(('RawData'!B$2:B$822=B393)*('RawData'!G$2:G$822&gt;G393)*(ISERROR(SEARCH("World",'RawData'!C$2:C$822)))*(ISERROR(SEARCH("Other",'RawData'!C$2:C$822))))+1)))</f>
        <v>12</v>
      </c>
      <c r="K393" s="14">
        <f>IF(ISNUMBER(SEARCH("World",'RawData'!C432)),"",'RawData'!H432)</f>
        <v>1100000</v>
      </c>
      <c r="L393" s="14">
        <f>IF(ISNUMBER(SEARCH("World",'RawData'!C432)),"",SUMIFS('RawData'!H:H,'RawData'!B:B,'RawData'!B432,'RawData'!C:C,"*World*"))</f>
        <v>17000000</v>
      </c>
      <c r="M393" s="15">
        <f>IF(ISNUMBER(SEARCH("World",'RawData'!C432)),"",IFERROR(K393/L393,"-"))</f>
        <v>6.4705882352941183E-2</v>
      </c>
      <c r="N393" s="7">
        <f>IF(ISNUMBER(SEARCH("World",'RawData'!C432)),"",IF(ISNUMBER(SEARCH("Other",C393)),COUNTIFS('RawData'!B:B,B393,'RawData'!C:C,"&lt;&gt;*World*"),IF(OR(K393="",K393=0),"-",SUMPRODUCT(('RawData'!B$2:B$822=B393)*('RawData'!H$2:H$822&gt;K393)*(ISERROR(SEARCH("World",'RawData'!C$2:C$822)))*(ISERROR(SEARCH("Other",'RawData'!C$2:C$822))))+1)))</f>
        <v>4</v>
      </c>
    </row>
    <row r="394" spans="1:14" x14ac:dyDescent="0.3">
      <c r="A394" s="4" t="str">
        <f>IF(ISNUMBER(SEARCH("World",'RawData'!C433)),"",'RawData'!A433)</f>
        <v>MCS2026</v>
      </c>
      <c r="B394" s="4" t="str">
        <f>IF(ISNUMBER(SEARCH("World",'RawData'!C433)),"",'RawData'!B433)</f>
        <v xml:space="preserve">Molybdenum </v>
      </c>
      <c r="C394" s="4" t="str">
        <f>IF(ISNUMBER(SEARCH("World",'RawData'!C433)),"",'RawData'!C433)</f>
        <v>South Korea</v>
      </c>
      <c r="D394" s="4" t="str">
        <f>IF(ISNUMBER(SEARCH("World",'RawData'!C433)),"",'RawData'!D433)</f>
        <v>Mine production, molybdenum content</v>
      </c>
      <c r="E394" s="4" t="str">
        <f>IF(ISNUMBER(SEARCH("World",'RawData'!C433)),"",IF('RawData'!E433="WT001","kg",IF('RawData'!E433="WT002","ton",IF('RawData'!E433="WT003","k ton",""))))</f>
        <v>ton</v>
      </c>
      <c r="F394" s="14">
        <f>IF(ISNUMBER(SEARCH("World",'RawData'!C433)),"",'RawData'!F433)</f>
        <v>340</v>
      </c>
      <c r="G394" s="14">
        <f>IF(ISNUMBER(SEARCH("World",'RawData'!C433)),"",'RawData'!G433)</f>
        <v>500</v>
      </c>
      <c r="H394" s="14">
        <f>IF(ISNUMBER(SEARCH("World",'RawData'!C433)),"",SUMIFS('RawData'!G:G,'RawData'!B:B,'RawData'!B433,'RawData'!C:C,"*World*"))</f>
        <v>260000</v>
      </c>
      <c r="I394" s="15">
        <f>IF(ISNUMBER(SEARCH("World",'RawData'!C433)),"",IFERROR(G394/H394,"-"))</f>
        <v>1.9230769230769232E-3</v>
      </c>
      <c r="J394" s="7">
        <f>IF(ISNUMBER(SEARCH("World",'RawData'!C433)),"",IF(ISNUMBER(SEARCH("Other",C394)),COUNTIFS('RawData'!B:B,B394,'RawData'!C:C,"&lt;&gt;*World*"),IF(OR(G394="",G394=0),"-",SUMPRODUCT(('RawData'!B$2:B$822=B394)*('RawData'!G$2:G$822&gt;G394)*(ISERROR(SEARCH("World",'RawData'!C$2:C$822)))*(ISERROR(SEARCH("Other",'RawData'!C$2:C$822))))+1)))</f>
        <v>15</v>
      </c>
      <c r="K394" s="14">
        <f>IF(ISNUMBER(SEARCH("World",'RawData'!C433)),"",'RawData'!H433)</f>
        <v>8000</v>
      </c>
      <c r="L394" s="14">
        <f>IF(ISNUMBER(SEARCH("World",'RawData'!C433)),"",SUMIFS('RawData'!H:H,'RawData'!B:B,'RawData'!B433,'RawData'!C:C,"*World*"))</f>
        <v>17000000</v>
      </c>
      <c r="M394" s="15">
        <f>IF(ISNUMBER(SEARCH("World",'RawData'!C433)),"",IFERROR(K394/L394,"-"))</f>
        <v>4.7058823529411766E-4</v>
      </c>
      <c r="N394" s="7">
        <f>IF(ISNUMBER(SEARCH("World",'RawData'!C433)),"",IF(ISNUMBER(SEARCH("Other",C394)),COUNTIFS('RawData'!B:B,B394,'RawData'!C:C,"&lt;&gt;*World*"),IF(OR(K394="",K394=0),"-",SUMPRODUCT(('RawData'!B$2:B$822=B394)*('RawData'!H$2:H$822&gt;K394)*(ISERROR(SEARCH("World",'RawData'!C$2:C$822)))*(ISERROR(SEARCH("Other",'RawData'!C$2:C$822))))+1)))</f>
        <v>14</v>
      </c>
    </row>
    <row r="395" spans="1:14" x14ac:dyDescent="0.3">
      <c r="A395" s="4" t="str">
        <f>IF(ISNUMBER(SEARCH("World",'RawData'!C434)),"",'RawData'!A434)</f>
        <v>MCS2026</v>
      </c>
      <c r="B395" s="4" t="str">
        <f>IF(ISNUMBER(SEARCH("World",'RawData'!C434)),"",'RawData'!B434)</f>
        <v xml:space="preserve">Molybdenum </v>
      </c>
      <c r="C395" s="4" t="str">
        <f>IF(ISNUMBER(SEARCH("World",'RawData'!C434)),"",'RawData'!C434)</f>
        <v>United States</v>
      </c>
      <c r="D395" s="4" t="str">
        <f>IF(ISNUMBER(SEARCH("World",'RawData'!C434)),"",'RawData'!D434)</f>
        <v>Mine production, molybdenum content</v>
      </c>
      <c r="E395" s="4" t="str">
        <f>IF(ISNUMBER(SEARCH("World",'RawData'!C434)),"",IF('RawData'!E434="WT001","kg",IF('RawData'!E434="WT002","ton",IF('RawData'!E434="WT003","k ton",""))))</f>
        <v>ton</v>
      </c>
      <c r="F395" s="14">
        <f>IF(ISNUMBER(SEARCH("World",'RawData'!C434)),"",'RawData'!F434)</f>
        <v>34000</v>
      </c>
      <c r="G395" s="14">
        <f>IF(ISNUMBER(SEARCH("World",'RawData'!C434)),"",'RawData'!G434)</f>
        <v>40000</v>
      </c>
      <c r="H395" s="14">
        <f>IF(ISNUMBER(SEARCH("World",'RawData'!C434)),"",SUMIFS('RawData'!G:G,'RawData'!B:B,'RawData'!B434,'RawData'!C:C,"*World*"))</f>
        <v>260000</v>
      </c>
      <c r="I395" s="15">
        <f>IF(ISNUMBER(SEARCH("World",'RawData'!C434)),"",IFERROR(G395/H395,"-"))</f>
        <v>0.15384615384615385</v>
      </c>
      <c r="J395" s="7">
        <f>IF(ISNUMBER(SEARCH("World",'RawData'!C434)),"",IF(ISNUMBER(SEARCH("Other",C395)),COUNTIFS('RawData'!B:B,B395,'RawData'!C:C,"&lt;&gt;*World*"),IF(OR(G395="",G395=0),"-",SUMPRODUCT(('RawData'!B$2:B$822=B395)*('RawData'!G$2:G$822&gt;G395)*(ISERROR(SEARCH("World",'RawData'!C$2:C$822)))*(ISERROR(SEARCH("Other",'RawData'!C$2:C$822))))+1)))</f>
        <v>3</v>
      </c>
      <c r="K395" s="14">
        <f>IF(ISNUMBER(SEARCH("World",'RawData'!C434)),"",'RawData'!H434)</f>
        <v>3500000</v>
      </c>
      <c r="L395" s="14">
        <f>IF(ISNUMBER(SEARCH("World",'RawData'!C434)),"",SUMIFS('RawData'!H:H,'RawData'!B:B,'RawData'!B434,'RawData'!C:C,"*World*"))</f>
        <v>17000000</v>
      </c>
      <c r="M395" s="15">
        <f>IF(ISNUMBER(SEARCH("World",'RawData'!C434)),"",IFERROR(K395/L395,"-"))</f>
        <v>0.20588235294117646</v>
      </c>
      <c r="N395" s="7">
        <f>IF(ISNUMBER(SEARCH("World",'RawData'!C434)),"",IF(ISNUMBER(SEARCH("Other",C395)),COUNTIFS('RawData'!B:B,B395,'RawData'!C:C,"&lt;&gt;*World*"),IF(OR(K395="",K395=0),"-",SUMPRODUCT(('RawData'!B$2:B$822=B395)*('RawData'!H$2:H$822&gt;K395)*(ISERROR(SEARCH("World",'RawData'!C$2:C$822)))*(ISERROR(SEARCH("Other",'RawData'!C$2:C$822))))+1)))</f>
        <v>2</v>
      </c>
    </row>
    <row r="396" spans="1:14" x14ac:dyDescent="0.3">
      <c r="A396" s="4" t="str">
        <f>IF(ISNUMBER(SEARCH("World",'RawData'!C435)),"",'RawData'!A435)</f>
        <v>MCS2026</v>
      </c>
      <c r="B396" s="4" t="str">
        <f>IF(ISNUMBER(SEARCH("World",'RawData'!C435)),"",'RawData'!B435)</f>
        <v xml:space="preserve">Molybdenum </v>
      </c>
      <c r="C396" s="4" t="str">
        <f>IF(ISNUMBER(SEARCH("World",'RawData'!C435)),"",'RawData'!C435)</f>
        <v>Uzbekistan</v>
      </c>
      <c r="D396" s="4" t="str">
        <f>IF(ISNUMBER(SEARCH("World",'RawData'!C435)),"",'RawData'!D435)</f>
        <v>Mine production, molybdenum content</v>
      </c>
      <c r="E396" s="4" t="str">
        <f>IF(ISNUMBER(SEARCH("World",'RawData'!C435)),"",IF('RawData'!E435="WT001","kg",IF('RawData'!E435="WT002","ton",IF('RawData'!E435="WT003","k ton",""))))</f>
        <v>ton</v>
      </c>
      <c r="F396" s="14">
        <f>IF(ISNUMBER(SEARCH("World",'RawData'!C435)),"",'RawData'!F435)</f>
        <v>2100</v>
      </c>
      <c r="G396" s="14">
        <f>IF(ISNUMBER(SEARCH("World",'RawData'!C435)),"",'RawData'!G435)</f>
        <v>2000</v>
      </c>
      <c r="H396" s="14">
        <f>IF(ISNUMBER(SEARCH("World",'RawData'!C435)),"",SUMIFS('RawData'!G:G,'RawData'!B:B,'RawData'!B435,'RawData'!C:C,"*World*"))</f>
        <v>260000</v>
      </c>
      <c r="I396" s="15">
        <f>IF(ISNUMBER(SEARCH("World",'RawData'!C435)),"",IFERROR(G396/H396,"-"))</f>
        <v>7.6923076923076927E-3</v>
      </c>
      <c r="J396" s="7">
        <f>IF(ISNUMBER(SEARCH("World",'RawData'!C435)),"",IF(ISNUMBER(SEARCH("Other",C396)),COUNTIFS('RawData'!B:B,B396,'RawData'!C:C,"&lt;&gt;*World*"),IF(OR(G396="",G396=0),"-",SUMPRODUCT(('RawData'!B$2:B$822=B396)*('RawData'!G$2:G$822&gt;G396)*(ISERROR(SEARCH("World",'RawData'!C$2:C$822)))*(ISERROR(SEARCH("Other",'RawData'!C$2:C$822))))+1)))</f>
        <v>11</v>
      </c>
      <c r="K396" s="14">
        <f>IF(ISNUMBER(SEARCH("World",'RawData'!C435)),"",'RawData'!H435)</f>
        <v>21000</v>
      </c>
      <c r="L396" s="14">
        <f>IF(ISNUMBER(SEARCH("World",'RawData'!C435)),"",SUMIFS('RawData'!H:H,'RawData'!B:B,'RawData'!B435,'RawData'!C:C,"*World*"))</f>
        <v>17000000</v>
      </c>
      <c r="M396" s="15">
        <f>IF(ISNUMBER(SEARCH("World",'RawData'!C435)),"",IFERROR(K396/L396,"-"))</f>
        <v>1.2352941176470588E-3</v>
      </c>
      <c r="N396" s="7">
        <f>IF(ISNUMBER(SEARCH("World",'RawData'!C435)),"",IF(ISNUMBER(SEARCH("Other",C396)),COUNTIFS('RawData'!B:B,B396,'RawData'!C:C,"&lt;&gt;*World*"),IF(OR(K396="",K396=0),"-",SUMPRODUCT(('RawData'!B$2:B$822=B396)*('RawData'!H$2:H$822&gt;K396)*(ISERROR(SEARCH("World",'RawData'!C$2:C$822)))*(ISERROR(SEARCH("Other",'RawData'!C$2:C$822))))+1)))</f>
        <v>12</v>
      </c>
    </row>
    <row r="397" spans="1:14" x14ac:dyDescent="0.3">
      <c r="A397" s="4" t="str">
        <f>IF(ISNUMBER(SEARCH("World",'RawData'!C437)),"",'RawData'!A437)</f>
        <v>MCS2026</v>
      </c>
      <c r="B397" s="4" t="str">
        <f>IF(ISNUMBER(SEARCH("World",'RawData'!C437)),"",'RawData'!B437)</f>
        <v>Nickel</v>
      </c>
      <c r="C397" s="4" t="str">
        <f>IF(ISNUMBER(SEARCH("World",'RawData'!C437)),"",'RawData'!C437)</f>
        <v>Australia</v>
      </c>
      <c r="D397" s="4" t="str">
        <f>IF(ISNUMBER(SEARCH("World",'RawData'!C437)),"",'RawData'!D437)</f>
        <v>Mine production, nickel content</v>
      </c>
      <c r="E397" s="4" t="str">
        <f>IF(ISNUMBER(SEARCH("World",'RawData'!C437)),"",IF('RawData'!E437="WT001","kg",IF('RawData'!E437="WT002","ton",IF('RawData'!E437="WT003","k ton",""))))</f>
        <v>ton</v>
      </c>
      <c r="F397" s="14">
        <f>IF(ISNUMBER(SEARCH("World",'RawData'!C437)),"",'RawData'!F437)</f>
        <v>98000</v>
      </c>
      <c r="G397" s="14">
        <f>IF(ISNUMBER(SEARCH("World",'RawData'!C437)),"",'RawData'!G437)</f>
        <v>45000</v>
      </c>
      <c r="H397" s="14">
        <f>IF(ISNUMBER(SEARCH("World",'RawData'!C437)),"",SUMIFS('RawData'!G:G,'RawData'!B:B,'RawData'!B437,'RawData'!C:C,"*World*"))</f>
        <v>3900000</v>
      </c>
      <c r="I397" s="15">
        <f>IF(ISNUMBER(SEARCH("World",'RawData'!C437)),"",IFERROR(G397/H397,"-"))</f>
        <v>1.1538461538461539E-2</v>
      </c>
      <c r="J397" s="7">
        <f>IF(ISNUMBER(SEARCH("World",'RawData'!C437)),"",IF(ISNUMBER(SEARCH("Other",C397)),COUNTIFS('RawData'!B:B,B397,'RawData'!C:C,"&lt;&gt;*World*"),IF(OR(G397="",G397=0),"-",SUMPRODUCT(('RawData'!B$2:B$822=B397)*('RawData'!G$2:G$822&gt;G397)*(ISERROR(SEARCH("World",'RawData'!C$2:C$822)))*(ISERROR(SEARCH("Other",'RawData'!C$2:C$822))))+1)))</f>
        <v>8</v>
      </c>
      <c r="K397" s="14">
        <f>IF(ISNUMBER(SEARCH("World",'RawData'!C437)),"",'RawData'!H437)</f>
        <v>25000000</v>
      </c>
      <c r="L397" s="14">
        <f>IF(ISNUMBER(SEARCH("World",'RawData'!C437)),"",SUMIFS('RawData'!H:H,'RawData'!B:B,'RawData'!B437,'RawData'!C:C,"*World*"))</f>
        <v>140000000</v>
      </c>
      <c r="M397" s="15">
        <f>IF(ISNUMBER(SEARCH("World",'RawData'!C437)),"",IFERROR(K397/L397,"-"))</f>
        <v>0.17857142857142858</v>
      </c>
      <c r="N397" s="7">
        <f>IF(ISNUMBER(SEARCH("World",'RawData'!C437)),"",IF(ISNUMBER(SEARCH("Other",C397)),COUNTIFS('RawData'!B:B,B397,'RawData'!C:C,"&lt;&gt;*World*"),IF(OR(K397="",K397=0),"-",SUMPRODUCT(('RawData'!B$2:B$822=B397)*('RawData'!H$2:H$822&gt;K397)*(ISERROR(SEARCH("World",'RawData'!C$2:C$822)))*(ISERROR(SEARCH("Other",'RawData'!C$2:C$822))))+1)))</f>
        <v>2</v>
      </c>
    </row>
    <row r="398" spans="1:14" x14ac:dyDescent="0.3">
      <c r="A398" s="4" t="str">
        <f>IF(ISNUMBER(SEARCH("World",'RawData'!C438)),"",'RawData'!A438)</f>
        <v>MCS2026</v>
      </c>
      <c r="B398" s="4" t="str">
        <f>IF(ISNUMBER(SEARCH("World",'RawData'!C438)),"",'RawData'!B438)</f>
        <v>Nickel</v>
      </c>
      <c r="C398" s="4" t="str">
        <f>IF(ISNUMBER(SEARCH("World",'RawData'!C438)),"",'RawData'!C438)</f>
        <v>Brazil</v>
      </c>
      <c r="D398" s="4" t="str">
        <f>IF(ISNUMBER(SEARCH("World",'RawData'!C438)),"",'RawData'!D438)</f>
        <v>Mine production, nickel content</v>
      </c>
      <c r="E398" s="4" t="str">
        <f>IF(ISNUMBER(SEARCH("World",'RawData'!C438)),"",IF('RawData'!E438="WT001","kg",IF('RawData'!E438="WT002","ton",IF('RawData'!E438="WT003","k ton",""))))</f>
        <v>ton</v>
      </c>
      <c r="F398" s="14">
        <f>IF(ISNUMBER(SEARCH("World",'RawData'!C438)),"",'RawData'!F438)</f>
        <v>67500</v>
      </c>
      <c r="G398" s="14">
        <f>IF(ISNUMBER(SEARCH("World",'RawData'!C438)),"",'RawData'!G438)</f>
        <v>70000</v>
      </c>
      <c r="H398" s="14">
        <f>IF(ISNUMBER(SEARCH("World",'RawData'!C438)),"",SUMIFS('RawData'!G:G,'RawData'!B:B,'RawData'!B438,'RawData'!C:C,"*World*"))</f>
        <v>3900000</v>
      </c>
      <c r="I398" s="15">
        <f>IF(ISNUMBER(SEARCH("World",'RawData'!C438)),"",IFERROR(G398/H398,"-"))</f>
        <v>1.7948717948717947E-2</v>
      </c>
      <c r="J398" s="7">
        <f>IF(ISNUMBER(SEARCH("World",'RawData'!C438)),"",IF(ISNUMBER(SEARCH("Other",C398)),COUNTIFS('RawData'!B:B,B398,'RawData'!C:C,"&lt;&gt;*World*"),IF(OR(G398="",G398=0),"-",SUMPRODUCT(('RawData'!B$2:B$822=B398)*('RawData'!G$2:G$822&gt;G398)*(ISERROR(SEARCH("World",'RawData'!C$2:C$822)))*(ISERROR(SEARCH("Other",'RawData'!C$2:C$822))))+1)))</f>
        <v>7</v>
      </c>
      <c r="K398" s="14">
        <f>IF(ISNUMBER(SEARCH("World",'RawData'!C438)),"",'RawData'!H438)</f>
        <v>16000000</v>
      </c>
      <c r="L398" s="14">
        <f>IF(ISNUMBER(SEARCH("World",'RawData'!C438)),"",SUMIFS('RawData'!H:H,'RawData'!B:B,'RawData'!B438,'RawData'!C:C,"*World*"))</f>
        <v>140000000</v>
      </c>
      <c r="M398" s="15">
        <f>IF(ISNUMBER(SEARCH("World",'RawData'!C438)),"",IFERROR(K398/L398,"-"))</f>
        <v>0.11428571428571428</v>
      </c>
      <c r="N398" s="7">
        <f>IF(ISNUMBER(SEARCH("World",'RawData'!C438)),"",IF(ISNUMBER(SEARCH("Other",C398)),COUNTIFS('RawData'!B:B,B398,'RawData'!C:C,"&lt;&gt;*World*"),IF(OR(K398="",K398=0),"-",SUMPRODUCT(('RawData'!B$2:B$822=B398)*('RawData'!H$2:H$822&gt;K398)*(ISERROR(SEARCH("World",'RawData'!C$2:C$822)))*(ISERROR(SEARCH("Other",'RawData'!C$2:C$822))))+1)))</f>
        <v>3</v>
      </c>
    </row>
    <row r="399" spans="1:14" x14ac:dyDescent="0.3">
      <c r="A399" s="4" t="str">
        <f>IF(ISNUMBER(SEARCH("World",'RawData'!C439)),"",'RawData'!A439)</f>
        <v>MCS2026</v>
      </c>
      <c r="B399" s="4" t="str">
        <f>IF(ISNUMBER(SEARCH("World",'RawData'!C439)),"",'RawData'!B439)</f>
        <v>Nickel</v>
      </c>
      <c r="C399" s="4" t="str">
        <f>IF(ISNUMBER(SEARCH("World",'RawData'!C439)),"",'RawData'!C439)</f>
        <v xml:space="preserve">Canada </v>
      </c>
      <c r="D399" s="4" t="str">
        <f>IF(ISNUMBER(SEARCH("World",'RawData'!C439)),"",'RawData'!D439)</f>
        <v>Mine production, nickel content</v>
      </c>
      <c r="E399" s="4" t="str">
        <f>IF(ISNUMBER(SEARCH("World",'RawData'!C439)),"",IF('RawData'!E439="WT001","kg",IF('RawData'!E439="WT002","ton",IF('RawData'!E439="WT003","k ton",""))))</f>
        <v>ton</v>
      </c>
      <c r="F399" s="14">
        <f>IF(ISNUMBER(SEARCH("World",'RawData'!C439)),"",'RawData'!F439)</f>
        <v>125000</v>
      </c>
      <c r="G399" s="14">
        <f>IF(ISNUMBER(SEARCH("World",'RawData'!C439)),"",'RawData'!G439)</f>
        <v>140000</v>
      </c>
      <c r="H399" s="14">
        <f>IF(ISNUMBER(SEARCH("World",'RawData'!C439)),"",SUMIFS('RawData'!G:G,'RawData'!B:B,'RawData'!B439,'RawData'!C:C,"*World*"))</f>
        <v>3900000</v>
      </c>
      <c r="I399" s="15">
        <f>IF(ISNUMBER(SEARCH("World",'RawData'!C439)),"",IFERROR(G399/H399,"-"))</f>
        <v>3.5897435897435895E-2</v>
      </c>
      <c r="J399" s="7">
        <f>IF(ISNUMBER(SEARCH("World",'RawData'!C439)),"",IF(ISNUMBER(SEARCH("Other",C399)),COUNTIFS('RawData'!B:B,B399,'RawData'!C:C,"&lt;&gt;*World*"),IF(OR(G399="",G399=0),"-",SUMPRODUCT(('RawData'!B$2:B$822=B399)*('RawData'!G$2:G$822&gt;G399)*(ISERROR(SEARCH("World",'RawData'!C$2:C$822)))*(ISERROR(SEARCH("Other",'RawData'!C$2:C$822))))+1)))</f>
        <v>4</v>
      </c>
      <c r="K399" s="14">
        <f>IF(ISNUMBER(SEARCH("World",'RawData'!C439)),"",'RawData'!H439)</f>
        <v>2200000</v>
      </c>
      <c r="L399" s="14">
        <f>IF(ISNUMBER(SEARCH("World",'RawData'!C439)),"",SUMIFS('RawData'!H:H,'RawData'!B:B,'RawData'!B439,'RawData'!C:C,"*World*"))</f>
        <v>140000000</v>
      </c>
      <c r="M399" s="15">
        <f>IF(ISNUMBER(SEARCH("World",'RawData'!C439)),"",IFERROR(K399/L399,"-"))</f>
        <v>1.5714285714285715E-2</v>
      </c>
      <c r="N399" s="7">
        <f>IF(ISNUMBER(SEARCH("World",'RawData'!C439)),"",IF(ISNUMBER(SEARCH("Other",C399)),COUNTIFS('RawData'!B:B,B399,'RawData'!C:C,"&lt;&gt;*World*"),IF(OR(K399="",K399=0),"-",SUMPRODUCT(('RawData'!B$2:B$822=B399)*('RawData'!H$2:H$822&gt;K399)*(ISERROR(SEARCH("World",'RawData'!C$2:C$822)))*(ISERROR(SEARCH("Other",'RawData'!C$2:C$822))))+1)))</f>
        <v>8</v>
      </c>
    </row>
    <row r="400" spans="1:14" x14ac:dyDescent="0.3">
      <c r="A400" s="4" t="str">
        <f>IF(ISNUMBER(SEARCH("World",'RawData'!C440)),"",'RawData'!A440)</f>
        <v>MCS2026</v>
      </c>
      <c r="B400" s="4" t="str">
        <f>IF(ISNUMBER(SEARCH("World",'RawData'!C440)),"",'RawData'!B440)</f>
        <v>Nickel</v>
      </c>
      <c r="C400" s="4" t="str">
        <f>IF(ISNUMBER(SEARCH("World",'RawData'!C440)),"",'RawData'!C440)</f>
        <v>China</v>
      </c>
      <c r="D400" s="4" t="str">
        <f>IF(ISNUMBER(SEARCH("World",'RawData'!C440)),"",'RawData'!D440)</f>
        <v>Mine production, nickel content</v>
      </c>
      <c r="E400" s="4" t="str">
        <f>IF(ISNUMBER(SEARCH("World",'RawData'!C440)),"",IF('RawData'!E440="WT001","kg",IF('RawData'!E440="WT002","ton",IF('RawData'!E440="WT003","k ton",""))))</f>
        <v>ton</v>
      </c>
      <c r="F400" s="14">
        <f>IF(ISNUMBER(SEARCH("World",'RawData'!C440)),"",'RawData'!F440)</f>
        <v>115000</v>
      </c>
      <c r="G400" s="14">
        <f>IF(ISNUMBER(SEARCH("World",'RawData'!C440)),"",'RawData'!G440)</f>
        <v>120000</v>
      </c>
      <c r="H400" s="14">
        <f>IF(ISNUMBER(SEARCH("World",'RawData'!C440)),"",SUMIFS('RawData'!G:G,'RawData'!B:B,'RawData'!B440,'RawData'!C:C,"*World*"))</f>
        <v>3900000</v>
      </c>
      <c r="I400" s="15">
        <f>IF(ISNUMBER(SEARCH("World",'RawData'!C440)),"",IFERROR(G400/H400,"-"))</f>
        <v>3.0769230769230771E-2</v>
      </c>
      <c r="J400" s="7">
        <f>IF(ISNUMBER(SEARCH("World",'RawData'!C440)),"",IF(ISNUMBER(SEARCH("Other",C400)),COUNTIFS('RawData'!B:B,B400,'RawData'!C:C,"&lt;&gt;*World*"),IF(OR(G400="",G400=0),"-",SUMPRODUCT(('RawData'!B$2:B$822=B400)*('RawData'!G$2:G$822&gt;G400)*(ISERROR(SEARCH("World",'RawData'!C$2:C$822)))*(ISERROR(SEARCH("Other",'RawData'!C$2:C$822))))+1)))</f>
        <v>6</v>
      </c>
      <c r="K400" s="14">
        <f>IF(ISNUMBER(SEARCH("World",'RawData'!C440)),"",'RawData'!H440)</f>
        <v>4400000</v>
      </c>
      <c r="L400" s="14">
        <f>IF(ISNUMBER(SEARCH("World",'RawData'!C440)),"",SUMIFS('RawData'!H:H,'RawData'!B:B,'RawData'!B440,'RawData'!C:C,"*World*"))</f>
        <v>140000000</v>
      </c>
      <c r="M400" s="15">
        <f>IF(ISNUMBER(SEARCH("World",'RawData'!C440)),"",IFERROR(K400/L400,"-"))</f>
        <v>3.1428571428571431E-2</v>
      </c>
      <c r="N400" s="7">
        <f>IF(ISNUMBER(SEARCH("World",'RawData'!C440)),"",IF(ISNUMBER(SEARCH("Other",C400)),COUNTIFS('RawData'!B:B,B400,'RawData'!C:C,"&lt;&gt;*World*"),IF(OR(K400="",K400=0),"-",SUMPRODUCT(('RawData'!B$2:B$822=B400)*('RawData'!H$2:H$822&gt;K400)*(ISERROR(SEARCH("World",'RawData'!C$2:C$822)))*(ISERROR(SEARCH("Other",'RawData'!C$2:C$822))))+1)))</f>
        <v>7</v>
      </c>
    </row>
    <row r="401" spans="1:14" x14ac:dyDescent="0.3">
      <c r="A401" s="4" t="str">
        <f>IF(ISNUMBER(SEARCH("World",'RawData'!C441)),"",'RawData'!A441)</f>
        <v>MCS2026</v>
      </c>
      <c r="B401" s="4" t="str">
        <f>IF(ISNUMBER(SEARCH("World",'RawData'!C441)),"",'RawData'!B441)</f>
        <v>Nickel</v>
      </c>
      <c r="C401" s="4" t="str">
        <f>IF(ISNUMBER(SEARCH("World",'RawData'!C441)),"",'RawData'!C441)</f>
        <v>Indonesia</v>
      </c>
      <c r="D401" s="4" t="str">
        <f>IF(ISNUMBER(SEARCH("World",'RawData'!C441)),"",'RawData'!D441)</f>
        <v>Mine production, nickel content</v>
      </c>
      <c r="E401" s="4" t="str">
        <f>IF(ISNUMBER(SEARCH("World",'RawData'!C441)),"",IF('RawData'!E441="WT001","kg",IF('RawData'!E441="WT002","ton",IF('RawData'!E441="WT003","k ton",""))))</f>
        <v>ton</v>
      </c>
      <c r="F401" s="14">
        <f>IF(ISNUMBER(SEARCH("World",'RawData'!C441)),"",'RawData'!F441)</f>
        <v>2310000</v>
      </c>
      <c r="G401" s="14">
        <f>IF(ISNUMBER(SEARCH("World",'RawData'!C441)),"",'RawData'!G441)</f>
        <v>2600000</v>
      </c>
      <c r="H401" s="14">
        <f>IF(ISNUMBER(SEARCH("World",'RawData'!C441)),"",SUMIFS('RawData'!G:G,'RawData'!B:B,'RawData'!B441,'RawData'!C:C,"*World*"))</f>
        <v>3900000</v>
      </c>
      <c r="I401" s="15">
        <f>IF(ISNUMBER(SEARCH("World",'RawData'!C441)),"",IFERROR(G401/H401,"-"))</f>
        <v>0.66666666666666663</v>
      </c>
      <c r="J401" s="7">
        <f>IF(ISNUMBER(SEARCH("World",'RawData'!C441)),"",IF(ISNUMBER(SEARCH("Other",C401)),COUNTIFS('RawData'!B:B,B401,'RawData'!C:C,"&lt;&gt;*World*"),IF(OR(G401="",G401=0),"-",SUMPRODUCT(('RawData'!B$2:B$822=B401)*('RawData'!G$2:G$822&gt;G401)*(ISERROR(SEARCH("World",'RawData'!C$2:C$822)))*(ISERROR(SEARCH("Other",'RawData'!C$2:C$822))))+1)))</f>
        <v>1</v>
      </c>
      <c r="K401" s="14">
        <f>IF(ISNUMBER(SEARCH("World",'RawData'!C441)),"",'RawData'!H441)</f>
        <v>62000000</v>
      </c>
      <c r="L401" s="14">
        <f>IF(ISNUMBER(SEARCH("World",'RawData'!C441)),"",SUMIFS('RawData'!H:H,'RawData'!B:B,'RawData'!B441,'RawData'!C:C,"*World*"))</f>
        <v>140000000</v>
      </c>
      <c r="M401" s="15">
        <f>IF(ISNUMBER(SEARCH("World",'RawData'!C441)),"",IFERROR(K401/L401,"-"))</f>
        <v>0.44285714285714284</v>
      </c>
      <c r="N401" s="7">
        <f>IF(ISNUMBER(SEARCH("World",'RawData'!C441)),"",IF(ISNUMBER(SEARCH("Other",C401)),COUNTIFS('RawData'!B:B,B401,'RawData'!C:C,"&lt;&gt;*World*"),IF(OR(K401="",K401=0),"-",SUMPRODUCT(('RawData'!B$2:B$822=B401)*('RawData'!H$2:H$822&gt;K401)*(ISERROR(SEARCH("World",'RawData'!C$2:C$822)))*(ISERROR(SEARCH("Other",'RawData'!C$2:C$822))))+1)))</f>
        <v>1</v>
      </c>
    </row>
    <row r="402" spans="1:14" x14ac:dyDescent="0.3">
      <c r="A402" s="4" t="str">
        <f>IF(ISNUMBER(SEARCH("World",'RawData'!C442)),"",'RawData'!A442)</f>
        <v>MCS2026</v>
      </c>
      <c r="B402" s="4" t="str">
        <f>IF(ISNUMBER(SEARCH("World",'RawData'!C442)),"",'RawData'!B442)</f>
        <v>Nickel</v>
      </c>
      <c r="C402" s="4" t="str">
        <f>IF(ISNUMBER(SEARCH("World",'RawData'!C442)),"",'RawData'!C442)</f>
        <v>New Caledonia</v>
      </c>
      <c r="D402" s="4" t="str">
        <f>IF(ISNUMBER(SEARCH("World",'RawData'!C442)),"",'RawData'!D442)</f>
        <v>Mine production, nickel content</v>
      </c>
      <c r="E402" s="4" t="str">
        <f>IF(ISNUMBER(SEARCH("World",'RawData'!C442)),"",IF('RawData'!E442="WT001","kg",IF('RawData'!E442="WT002","ton",IF('RawData'!E442="WT003","k ton",""))))</f>
        <v>ton</v>
      </c>
      <c r="F402" s="14">
        <f>IF(ISNUMBER(SEARCH("World",'RawData'!C442)),"",'RawData'!F442)</f>
        <v>116000</v>
      </c>
      <c r="G402" s="14">
        <f>IF(ISNUMBER(SEARCH("World",'RawData'!C442)),"",'RawData'!G442)</f>
        <v>140000</v>
      </c>
      <c r="H402" s="14">
        <f>IF(ISNUMBER(SEARCH("World",'RawData'!C442)),"",SUMIFS('RawData'!G:G,'RawData'!B:B,'RawData'!B442,'RawData'!C:C,"*World*"))</f>
        <v>3900000</v>
      </c>
      <c r="I402" s="15">
        <f>IF(ISNUMBER(SEARCH("World",'RawData'!C442)),"",IFERROR(G402/H402,"-"))</f>
        <v>3.5897435897435895E-2</v>
      </c>
      <c r="J402" s="7">
        <f>IF(ISNUMBER(SEARCH("World",'RawData'!C442)),"",IF(ISNUMBER(SEARCH("Other",C402)),COUNTIFS('RawData'!B:B,B402,'RawData'!C:C,"&lt;&gt;*World*"),IF(OR(G402="",G402=0),"-",SUMPRODUCT(('RawData'!B$2:B$822=B402)*('RawData'!G$2:G$822&gt;G402)*(ISERROR(SEARCH("World",'RawData'!C$2:C$822)))*(ISERROR(SEARCH("Other",'RawData'!C$2:C$822))))+1)))</f>
        <v>4</v>
      </c>
      <c r="K402" s="14">
        <f>IF(ISNUMBER(SEARCH("World",'RawData'!C442)),"",'RawData'!H442)</f>
        <v>7100000</v>
      </c>
      <c r="L402" s="14">
        <f>IF(ISNUMBER(SEARCH("World",'RawData'!C442)),"",SUMIFS('RawData'!H:H,'RawData'!B:B,'RawData'!B442,'RawData'!C:C,"*World*"))</f>
        <v>140000000</v>
      </c>
      <c r="M402" s="15">
        <f>IF(ISNUMBER(SEARCH("World",'RawData'!C442)),"",IFERROR(K402/L402,"-"))</f>
        <v>5.0714285714285712E-2</v>
      </c>
      <c r="N402" s="7">
        <f>IF(ISNUMBER(SEARCH("World",'RawData'!C442)),"",IF(ISNUMBER(SEARCH("Other",C402)),COUNTIFS('RawData'!B:B,B402,'RawData'!C:C,"&lt;&gt;*World*"),IF(OR(K402="",K402=0),"-",SUMPRODUCT(('RawData'!B$2:B$822=B402)*('RawData'!H$2:H$822&gt;K402)*(ISERROR(SEARCH("World",'RawData'!C$2:C$822)))*(ISERROR(SEARCH("Other",'RawData'!C$2:C$822))))+1)))</f>
        <v>5</v>
      </c>
    </row>
    <row r="403" spans="1:14" x14ac:dyDescent="0.3">
      <c r="A403" s="4" t="str">
        <f>IF(ISNUMBER(SEARCH("World",'RawData'!C443)),"",'RawData'!A443)</f>
        <v>MCS2026</v>
      </c>
      <c r="B403" s="4" t="str">
        <f>IF(ISNUMBER(SEARCH("World",'RawData'!C443)),"",'RawData'!B443)</f>
        <v>Nickel</v>
      </c>
      <c r="C403" s="4" t="str">
        <f>IF(ISNUMBER(SEARCH("World",'RawData'!C443)),"",'RawData'!C443)</f>
        <v>Other Countries</v>
      </c>
      <c r="D403" s="4" t="str">
        <f>IF(ISNUMBER(SEARCH("World",'RawData'!C443)),"",'RawData'!D443)</f>
        <v>Mine production, nickel content</v>
      </c>
      <c r="E403" s="4" t="str">
        <f>IF(ISNUMBER(SEARCH("World",'RawData'!C443)),"",IF('RawData'!E443="WT001","kg",IF('RawData'!E443="WT002","ton",IF('RawData'!E443="WT003","k ton",""))))</f>
        <v>ton</v>
      </c>
      <c r="F403" s="14">
        <f>IF(ISNUMBER(SEARCH("World",'RawData'!C443)),"",'RawData'!F443)</f>
        <v>308000</v>
      </c>
      <c r="G403" s="14">
        <f>IF(ISNUMBER(SEARCH("World",'RawData'!C443)),"",'RawData'!G443)</f>
        <v>290000</v>
      </c>
      <c r="H403" s="14">
        <f>IF(ISNUMBER(SEARCH("World",'RawData'!C443)),"",SUMIFS('RawData'!G:G,'RawData'!B:B,'RawData'!B443,'RawData'!C:C,"*World*"))</f>
        <v>3900000</v>
      </c>
      <c r="I403" s="15">
        <f>IF(ISNUMBER(SEARCH("World",'RawData'!C443)),"",IFERROR(G403/H403,"-"))</f>
        <v>7.4358974358974358E-2</v>
      </c>
      <c r="J403" s="7">
        <f>IF(ISNUMBER(SEARCH("World",'RawData'!C443)),"",IF(ISNUMBER(SEARCH("Other",C403)),COUNTIFS('RawData'!B:B,B403,'RawData'!C:C,"&lt;&gt;*World*"),IF(OR(G403="",G403=0),"-",SUMPRODUCT(('RawData'!B$2:B$822=B403)*('RawData'!G$2:G$822&gt;G403)*(ISERROR(SEARCH("World",'RawData'!C$2:C$822)))*(ISERROR(SEARCH("Other",'RawData'!C$2:C$822))))+1)))</f>
        <v>10</v>
      </c>
      <c r="K403" s="14">
        <f>IF(ISNUMBER(SEARCH("World",'RawData'!C443)),"",'RawData'!H443)</f>
        <v>9100000</v>
      </c>
      <c r="L403" s="14">
        <f>IF(ISNUMBER(SEARCH("World",'RawData'!C443)),"",SUMIFS('RawData'!H:H,'RawData'!B:B,'RawData'!B443,'RawData'!C:C,"*World*"))</f>
        <v>140000000</v>
      </c>
      <c r="M403" s="15">
        <f>IF(ISNUMBER(SEARCH("World",'RawData'!C443)),"",IFERROR(K403/L403,"-"))</f>
        <v>6.5000000000000002E-2</v>
      </c>
      <c r="N403" s="7">
        <f>IF(ISNUMBER(SEARCH("World",'RawData'!C443)),"",IF(ISNUMBER(SEARCH("Other",C403)),COUNTIFS('RawData'!B:B,B403,'RawData'!C:C,"&lt;&gt;*World*"),IF(OR(K403="",K403=0),"-",SUMPRODUCT(('RawData'!B$2:B$822=B403)*('RawData'!H$2:H$822&gt;K403)*(ISERROR(SEARCH("World",'RawData'!C$2:C$822)))*(ISERROR(SEARCH("Other",'RawData'!C$2:C$822))))+1)))</f>
        <v>10</v>
      </c>
    </row>
    <row r="404" spans="1:14" x14ac:dyDescent="0.3">
      <c r="A404" s="4" t="str">
        <f>IF(ISNUMBER(SEARCH("World",'RawData'!C444)),"",'RawData'!A444)</f>
        <v>MCS2026</v>
      </c>
      <c r="B404" s="4" t="str">
        <f>IF(ISNUMBER(SEARCH("World",'RawData'!C444)),"",'RawData'!B444)</f>
        <v>Nickel</v>
      </c>
      <c r="C404" s="4" t="str">
        <f>IF(ISNUMBER(SEARCH("World",'RawData'!C444)),"",'RawData'!C444)</f>
        <v>Philippines</v>
      </c>
      <c r="D404" s="4" t="str">
        <f>IF(ISNUMBER(SEARCH("World",'RawData'!C444)),"",'RawData'!D444)</f>
        <v>Mine production, nickel content</v>
      </c>
      <c r="E404" s="4" t="str">
        <f>IF(ISNUMBER(SEARCH("World",'RawData'!C444)),"",IF('RawData'!E444="WT001","kg",IF('RawData'!E444="WT002","ton",IF('RawData'!E444="WT003","k ton",""))))</f>
        <v>ton</v>
      </c>
      <c r="F404" s="14">
        <f>IF(ISNUMBER(SEARCH("World",'RawData'!C444)),"",'RawData'!F444)</f>
        <v>354000</v>
      </c>
      <c r="G404" s="14">
        <f>IF(ISNUMBER(SEARCH("World",'RawData'!C444)),"",'RawData'!G444)</f>
        <v>270000</v>
      </c>
      <c r="H404" s="14">
        <f>IF(ISNUMBER(SEARCH("World",'RawData'!C444)),"",SUMIFS('RawData'!G:G,'RawData'!B:B,'RawData'!B444,'RawData'!C:C,"*World*"))</f>
        <v>3900000</v>
      </c>
      <c r="I404" s="15">
        <f>IF(ISNUMBER(SEARCH("World",'RawData'!C444)),"",IFERROR(G404/H404,"-"))</f>
        <v>6.9230769230769235E-2</v>
      </c>
      <c r="J404" s="7">
        <f>IF(ISNUMBER(SEARCH("World",'RawData'!C444)),"",IF(ISNUMBER(SEARCH("Other",C404)),COUNTIFS('RawData'!B:B,B404,'RawData'!C:C,"&lt;&gt;*World*"),IF(OR(G404="",G404=0),"-",SUMPRODUCT(('RawData'!B$2:B$822=B404)*('RawData'!G$2:G$822&gt;G404)*(ISERROR(SEARCH("World",'RawData'!C$2:C$822)))*(ISERROR(SEARCH("Other",'RawData'!C$2:C$822))))+1)))</f>
        <v>2</v>
      </c>
      <c r="K404" s="14">
        <f>IF(ISNUMBER(SEARCH("World",'RawData'!C444)),"",'RawData'!H444)</f>
        <v>4800000</v>
      </c>
      <c r="L404" s="14">
        <f>IF(ISNUMBER(SEARCH("World",'RawData'!C444)),"",SUMIFS('RawData'!H:H,'RawData'!B:B,'RawData'!B444,'RawData'!C:C,"*World*"))</f>
        <v>140000000</v>
      </c>
      <c r="M404" s="15">
        <f>IF(ISNUMBER(SEARCH("World",'RawData'!C444)),"",IFERROR(K404/L404,"-"))</f>
        <v>3.4285714285714287E-2</v>
      </c>
      <c r="N404" s="7">
        <f>IF(ISNUMBER(SEARCH("World",'RawData'!C444)),"",IF(ISNUMBER(SEARCH("Other",C404)),COUNTIFS('RawData'!B:B,B404,'RawData'!C:C,"&lt;&gt;*World*"),IF(OR(K404="",K404=0),"-",SUMPRODUCT(('RawData'!B$2:B$822=B404)*('RawData'!H$2:H$822&gt;K404)*(ISERROR(SEARCH("World",'RawData'!C$2:C$822)))*(ISERROR(SEARCH("Other",'RawData'!C$2:C$822))))+1)))</f>
        <v>6</v>
      </c>
    </row>
    <row r="405" spans="1:14" x14ac:dyDescent="0.3">
      <c r="A405" s="4" t="str">
        <f>IF(ISNUMBER(SEARCH("World",'RawData'!C445)),"",'RawData'!A445)</f>
        <v>MCS2026</v>
      </c>
      <c r="B405" s="4" t="str">
        <f>IF(ISNUMBER(SEARCH("World",'RawData'!C445)),"",'RawData'!B445)</f>
        <v>Nickel</v>
      </c>
      <c r="C405" s="4" t="str">
        <f>IF(ISNUMBER(SEARCH("World",'RawData'!C445)),"",'RawData'!C445)</f>
        <v xml:space="preserve">Russia </v>
      </c>
      <c r="D405" s="4" t="str">
        <f>IF(ISNUMBER(SEARCH("World",'RawData'!C445)),"",'RawData'!D445)</f>
        <v>Mine production, nickel content</v>
      </c>
      <c r="E405" s="4" t="str">
        <f>IF(ISNUMBER(SEARCH("World",'RawData'!C445)),"",IF('RawData'!E445="WT001","kg",IF('RawData'!E445="WT002","ton",IF('RawData'!E445="WT003","k ton",""))))</f>
        <v>ton</v>
      </c>
      <c r="F405" s="14">
        <f>IF(ISNUMBER(SEARCH("World",'RawData'!C445)),"",'RawData'!F445)</f>
        <v>205000</v>
      </c>
      <c r="G405" s="14">
        <f>IF(ISNUMBER(SEARCH("World",'RawData'!C445)),"",'RawData'!G445)</f>
        <v>200000</v>
      </c>
      <c r="H405" s="14">
        <f>IF(ISNUMBER(SEARCH("World",'RawData'!C445)),"",SUMIFS('RawData'!G:G,'RawData'!B:B,'RawData'!B445,'RawData'!C:C,"*World*"))</f>
        <v>3900000</v>
      </c>
      <c r="I405" s="15">
        <f>IF(ISNUMBER(SEARCH("World",'RawData'!C445)),"",IFERROR(G405/H405,"-"))</f>
        <v>5.128205128205128E-2</v>
      </c>
      <c r="J405" s="7">
        <f>IF(ISNUMBER(SEARCH("World",'RawData'!C445)),"",IF(ISNUMBER(SEARCH("Other",C405)),COUNTIFS('RawData'!B:B,B405,'RawData'!C:C,"&lt;&gt;*World*"),IF(OR(G405="",G405=0),"-",SUMPRODUCT(('RawData'!B$2:B$822=B405)*('RawData'!G$2:G$822&gt;G405)*(ISERROR(SEARCH("World",'RawData'!C$2:C$822)))*(ISERROR(SEARCH("Other",'RawData'!C$2:C$822))))+1)))</f>
        <v>3</v>
      </c>
      <c r="K405" s="14">
        <f>IF(ISNUMBER(SEARCH("World",'RawData'!C445)),"",'RawData'!H445)</f>
        <v>8300000</v>
      </c>
      <c r="L405" s="14">
        <f>IF(ISNUMBER(SEARCH("World",'RawData'!C445)),"",SUMIFS('RawData'!H:H,'RawData'!B:B,'RawData'!B445,'RawData'!C:C,"*World*"))</f>
        <v>140000000</v>
      </c>
      <c r="M405" s="15">
        <f>IF(ISNUMBER(SEARCH("World",'RawData'!C445)),"",IFERROR(K405/L405,"-"))</f>
        <v>5.9285714285714289E-2</v>
      </c>
      <c r="N405" s="7">
        <f>IF(ISNUMBER(SEARCH("World",'RawData'!C445)),"",IF(ISNUMBER(SEARCH("Other",C405)),COUNTIFS('RawData'!B:B,B405,'RawData'!C:C,"&lt;&gt;*World*"),IF(OR(K405="",K405=0),"-",SUMPRODUCT(('RawData'!B$2:B$822=B405)*('RawData'!H$2:H$822&gt;K405)*(ISERROR(SEARCH("World",'RawData'!C$2:C$822)))*(ISERROR(SEARCH("Other",'RawData'!C$2:C$822))))+1)))</f>
        <v>4</v>
      </c>
    </row>
    <row r="406" spans="1:14" x14ac:dyDescent="0.3">
      <c r="A406" s="4" t="str">
        <f>IF(ISNUMBER(SEARCH("World",'RawData'!C446)),"",'RawData'!A446)</f>
        <v>MCS2026</v>
      </c>
      <c r="B406" s="4" t="str">
        <f>IF(ISNUMBER(SEARCH("World",'RawData'!C446)),"",'RawData'!B446)</f>
        <v>Nickel</v>
      </c>
      <c r="C406" s="4" t="str">
        <f>IF(ISNUMBER(SEARCH("World",'RawData'!C446)),"",'RawData'!C446)</f>
        <v>United States</v>
      </c>
      <c r="D406" s="4" t="str">
        <f>IF(ISNUMBER(SEARCH("World",'RawData'!C446)),"",'RawData'!D446)</f>
        <v>Mine production, nickel content</v>
      </c>
      <c r="E406" s="4" t="str">
        <f>IF(ISNUMBER(SEARCH("World",'RawData'!C446)),"",IF('RawData'!E446="WT001","kg",IF('RawData'!E446="WT002","ton",IF('RawData'!E446="WT003","k ton",""))))</f>
        <v>ton</v>
      </c>
      <c r="F406" s="14">
        <f>IF(ISNUMBER(SEARCH("World",'RawData'!C446)),"",'RawData'!F446)</f>
        <v>7490</v>
      </c>
      <c r="G406" s="14">
        <f>IF(ISNUMBER(SEARCH("World",'RawData'!C446)),"",'RawData'!G446)</f>
        <v>10000</v>
      </c>
      <c r="H406" s="14">
        <f>IF(ISNUMBER(SEARCH("World",'RawData'!C446)),"",SUMIFS('RawData'!G:G,'RawData'!B:B,'RawData'!B446,'RawData'!C:C,"*World*"))</f>
        <v>3900000</v>
      </c>
      <c r="I406" s="15">
        <f>IF(ISNUMBER(SEARCH("World",'RawData'!C446)),"",IFERROR(G406/H406,"-"))</f>
        <v>2.5641025641025641E-3</v>
      </c>
      <c r="J406" s="7">
        <f>IF(ISNUMBER(SEARCH("World",'RawData'!C446)),"",IF(ISNUMBER(SEARCH("Other",C406)),COUNTIFS('RawData'!B:B,B406,'RawData'!C:C,"&lt;&gt;*World*"),IF(OR(G406="",G406=0),"-",SUMPRODUCT(('RawData'!B$2:B$822=B406)*('RawData'!G$2:G$822&gt;G406)*(ISERROR(SEARCH("World",'RawData'!C$2:C$822)))*(ISERROR(SEARCH("Other",'RawData'!C$2:C$822))))+1)))</f>
        <v>9</v>
      </c>
      <c r="K406" s="14">
        <f>IF(ISNUMBER(SEARCH("World",'RawData'!C446)),"",'RawData'!H446)</f>
        <v>340000</v>
      </c>
      <c r="L406" s="14">
        <f>IF(ISNUMBER(SEARCH("World",'RawData'!C446)),"",SUMIFS('RawData'!H:H,'RawData'!B:B,'RawData'!B446,'RawData'!C:C,"*World*"))</f>
        <v>140000000</v>
      </c>
      <c r="M406" s="15">
        <f>IF(ISNUMBER(SEARCH("World",'RawData'!C446)),"",IFERROR(K406/L406,"-"))</f>
        <v>2.4285714285714284E-3</v>
      </c>
      <c r="N406" s="7">
        <f>IF(ISNUMBER(SEARCH("World",'RawData'!C446)),"",IF(ISNUMBER(SEARCH("Other",C406)),COUNTIFS('RawData'!B:B,B406,'RawData'!C:C,"&lt;&gt;*World*"),IF(OR(K406="",K406=0),"-",SUMPRODUCT(('RawData'!B$2:B$822=B406)*('RawData'!H$2:H$822&gt;K406)*(ISERROR(SEARCH("World",'RawData'!C$2:C$822)))*(ISERROR(SEARCH("Other",'RawData'!C$2:C$822))))+1)))</f>
        <v>9</v>
      </c>
    </row>
    <row r="407" spans="1:14" x14ac:dyDescent="0.3">
      <c r="A407" s="4" t="str">
        <f>IF(ISNUMBER(SEARCH("World",'RawData'!C448)),"",'RawData'!A448)</f>
        <v>MCS2026</v>
      </c>
      <c r="B407" s="4" t="str">
        <f>IF(ISNUMBER(SEARCH("World",'RawData'!C448)),"",'RawData'!B448)</f>
        <v>Niobium</v>
      </c>
      <c r="C407" s="4" t="str">
        <f>IF(ISNUMBER(SEARCH("World",'RawData'!C448)),"",'RawData'!C448)</f>
        <v>Brazil</v>
      </c>
      <c r="D407" s="4" t="str">
        <f>IF(ISNUMBER(SEARCH("World",'RawData'!C448)),"",'RawData'!D448)</f>
        <v>Mine production, niobium content</v>
      </c>
      <c r="E407" s="4" t="str">
        <f>IF(ISNUMBER(SEARCH("World",'RawData'!C448)),"",IF('RawData'!E448="WT001","kg",IF('RawData'!E448="WT002","ton",IF('RawData'!E448="WT003","k ton",""))))</f>
        <v>ton</v>
      </c>
      <c r="F407" s="14">
        <f>IF(ISNUMBER(SEARCH("World",'RawData'!C448)),"",'RawData'!F448)</f>
        <v>104000</v>
      </c>
      <c r="G407" s="14">
        <f>IF(ISNUMBER(SEARCH("World",'RawData'!C448)),"",'RawData'!G448)</f>
        <v>104000</v>
      </c>
      <c r="H407" s="14">
        <f>IF(ISNUMBER(SEARCH("World",'RawData'!C448)),"",SUMIFS('RawData'!G:G,'RawData'!B:B,'RawData'!B448,'RawData'!C:C,"*World*"))</f>
        <v>120000</v>
      </c>
      <c r="I407" s="15">
        <f>IF(ISNUMBER(SEARCH("World",'RawData'!C448)),"",IFERROR(G407/H407,"-"))</f>
        <v>0.8666666666666667</v>
      </c>
      <c r="J407" s="7">
        <f>IF(ISNUMBER(SEARCH("World",'RawData'!C448)),"",IF(ISNUMBER(SEARCH("Other",C407)),COUNTIFS('RawData'!B:B,B407,'RawData'!C:C,"&lt;&gt;*World*"),IF(OR(G407="",G407=0),"-",SUMPRODUCT(('RawData'!B$2:B$822=B407)*('RawData'!G$2:G$822&gt;G407)*(ISERROR(SEARCH("World",'RawData'!C$2:C$822)))*(ISERROR(SEARCH("Other",'RawData'!C$2:C$822))))+1)))</f>
        <v>1</v>
      </c>
      <c r="K407" s="14">
        <f>IF(ISNUMBER(SEARCH("World",'RawData'!C448)),"",'RawData'!H448)</f>
        <v>14000000</v>
      </c>
      <c r="L407" s="14">
        <f>IF(ISNUMBER(SEARCH("World",'RawData'!C448)),"",SUMIFS('RawData'!H:H,'RawData'!B:B,'RawData'!B448,'RawData'!C:C,"*World*"))</f>
        <v>21000000</v>
      </c>
      <c r="M407" s="15">
        <f>IF(ISNUMBER(SEARCH("World",'RawData'!C448)),"",IFERROR(K407/L407,"-"))</f>
        <v>0.66666666666666663</v>
      </c>
      <c r="N407" s="7">
        <f>IF(ISNUMBER(SEARCH("World",'RawData'!C448)),"",IF(ISNUMBER(SEARCH("Other",C407)),COUNTIFS('RawData'!B:B,B407,'RawData'!C:C,"&lt;&gt;*World*"),IF(OR(K407="",K407=0),"-",SUMPRODUCT(('RawData'!B$2:B$822=B407)*('RawData'!H$2:H$822&gt;K407)*(ISERROR(SEARCH("World",'RawData'!C$2:C$822)))*(ISERROR(SEARCH("Other",'RawData'!C$2:C$822))))+1)))</f>
        <v>1</v>
      </c>
    </row>
    <row r="408" spans="1:14" x14ac:dyDescent="0.3">
      <c r="A408" s="4" t="str">
        <f>IF(ISNUMBER(SEARCH("World",'RawData'!C449)),"",'RawData'!A449)</f>
        <v>MCS2026</v>
      </c>
      <c r="B408" s="4" t="str">
        <f>IF(ISNUMBER(SEARCH("World",'RawData'!C449)),"",'RawData'!B449)</f>
        <v>Niobium</v>
      </c>
      <c r="C408" s="4" t="str">
        <f>IF(ISNUMBER(SEARCH("World",'RawData'!C449)),"",'RawData'!C449)</f>
        <v xml:space="preserve">Canada </v>
      </c>
      <c r="D408" s="4" t="str">
        <f>IF(ISNUMBER(SEARCH("World",'RawData'!C449)),"",'RawData'!D449)</f>
        <v>Mine production, niobium content</v>
      </c>
      <c r="E408" s="4" t="str">
        <f>IF(ISNUMBER(SEARCH("World",'RawData'!C449)),"",IF('RawData'!E449="WT001","kg",IF('RawData'!E449="WT002","ton",IF('RawData'!E449="WT003","k ton",""))))</f>
        <v>ton</v>
      </c>
      <c r="F408" s="14">
        <f>IF(ISNUMBER(SEARCH("World",'RawData'!C449)),"",'RawData'!F449)</f>
        <v>6900</v>
      </c>
      <c r="G408" s="14">
        <f>IF(ISNUMBER(SEARCH("World",'RawData'!C449)),"",'RawData'!G449)</f>
        <v>6000</v>
      </c>
      <c r="H408" s="14">
        <f>IF(ISNUMBER(SEARCH("World",'RawData'!C449)),"",SUMIFS('RawData'!G:G,'RawData'!B:B,'RawData'!B449,'RawData'!C:C,"*World*"))</f>
        <v>120000</v>
      </c>
      <c r="I408" s="15">
        <f>IF(ISNUMBER(SEARCH("World",'RawData'!C449)),"",IFERROR(G408/H408,"-"))</f>
        <v>0.05</v>
      </c>
      <c r="J408" s="7">
        <f>IF(ISNUMBER(SEARCH("World",'RawData'!C449)),"",IF(ISNUMBER(SEARCH("Other",C408)),COUNTIFS('RawData'!B:B,B408,'RawData'!C:C,"&lt;&gt;*World*"),IF(OR(G408="",G408=0),"-",SUMPRODUCT(('RawData'!B$2:B$822=B408)*('RawData'!G$2:G$822&gt;G408)*(ISERROR(SEARCH("World",'RawData'!C$2:C$822)))*(ISERROR(SEARCH("Other",'RawData'!C$2:C$822))))+1)))</f>
        <v>2</v>
      </c>
      <c r="K408" s="14">
        <f>IF(ISNUMBER(SEARCH("World",'RawData'!C449)),"",'RawData'!H449)</f>
        <v>640000</v>
      </c>
      <c r="L408" s="14">
        <f>IF(ISNUMBER(SEARCH("World",'RawData'!C449)),"",SUMIFS('RawData'!H:H,'RawData'!B:B,'RawData'!B449,'RawData'!C:C,"*World*"))</f>
        <v>21000000</v>
      </c>
      <c r="M408" s="15">
        <f>IF(ISNUMBER(SEARCH("World",'RawData'!C449)),"",IFERROR(K408/L408,"-"))</f>
        <v>3.0476190476190476E-2</v>
      </c>
      <c r="N408" s="7">
        <f>IF(ISNUMBER(SEARCH("World",'RawData'!C449)),"",IF(ISNUMBER(SEARCH("Other",C408)),COUNTIFS('RawData'!B:B,B408,'RawData'!C:C,"&lt;&gt;*World*"),IF(OR(K408="",K408=0),"-",SUMPRODUCT(('RawData'!B$2:B$822=B408)*('RawData'!H$2:H$822&gt;K408)*(ISERROR(SEARCH("World",'RawData'!C$2:C$822)))*(ISERROR(SEARCH("Other",'RawData'!C$2:C$822))))+1)))</f>
        <v>3</v>
      </c>
    </row>
    <row r="409" spans="1:14" x14ac:dyDescent="0.3">
      <c r="A409" s="4" t="str">
        <f>IF(ISNUMBER(SEARCH("World",'RawData'!C450)),"",'RawData'!A450)</f>
        <v>MCS2026</v>
      </c>
      <c r="B409" s="4" t="str">
        <f>IF(ISNUMBER(SEARCH("World",'RawData'!C450)),"",'RawData'!B450)</f>
        <v>Niobium</v>
      </c>
      <c r="C409" s="4" t="str">
        <f>IF(ISNUMBER(SEARCH("World",'RawData'!C450)),"",'RawData'!C450)</f>
        <v>China</v>
      </c>
      <c r="D409" s="4" t="str">
        <f>IF(ISNUMBER(SEARCH("World",'RawData'!C450)),"",'RawData'!D450)</f>
        <v>Mine production, niobium content</v>
      </c>
      <c r="E409" s="4" t="str">
        <f>IF(ISNUMBER(SEARCH("World",'RawData'!C450)),"",IF('RawData'!E450="WT001","kg",IF('RawData'!E450="WT002","ton",IF('RawData'!E450="WT003","k ton",""))))</f>
        <v>ton</v>
      </c>
      <c r="F409" s="14">
        <f>IF(ISNUMBER(SEARCH("World",'RawData'!C450)),"",'RawData'!F450)</f>
        <v>44</v>
      </c>
      <c r="G409" s="14">
        <f>IF(ISNUMBER(SEARCH("World",'RawData'!C450)),"",'RawData'!G450)</f>
        <v>40</v>
      </c>
      <c r="H409" s="14">
        <f>IF(ISNUMBER(SEARCH("World",'RawData'!C450)),"",SUMIFS('RawData'!G:G,'RawData'!B:B,'RawData'!B450,'RawData'!C:C,"*World*"))</f>
        <v>120000</v>
      </c>
      <c r="I409" s="15">
        <f>IF(ISNUMBER(SEARCH("World",'RawData'!C450)),"",IFERROR(G409/H409,"-"))</f>
        <v>3.3333333333333332E-4</v>
      </c>
      <c r="J409" s="7">
        <f>IF(ISNUMBER(SEARCH("World",'RawData'!C450)),"",IF(ISNUMBER(SEARCH("Other",C409)),COUNTIFS('RawData'!B:B,B409,'RawData'!C:C,"&lt;&gt;*World*"),IF(OR(G409="",G409=0),"-",SUMPRODUCT(('RawData'!B$2:B$822=B409)*('RawData'!G$2:G$822&gt;G409)*(ISERROR(SEARCH("World",'RawData'!C$2:C$822)))*(ISERROR(SEARCH("Other",'RawData'!C$2:C$822))))+1)))</f>
        <v>6</v>
      </c>
      <c r="K409" s="14">
        <f>IF(ISNUMBER(SEARCH("World",'RawData'!C450)),"",'RawData'!H450)</f>
        <v>6500000</v>
      </c>
      <c r="L409" s="14">
        <f>IF(ISNUMBER(SEARCH("World",'RawData'!C450)),"",SUMIFS('RawData'!H:H,'RawData'!B:B,'RawData'!B450,'RawData'!C:C,"*World*"))</f>
        <v>21000000</v>
      </c>
      <c r="M409" s="15">
        <f>IF(ISNUMBER(SEARCH("World",'RawData'!C450)),"",IFERROR(K409/L409,"-"))</f>
        <v>0.30952380952380953</v>
      </c>
      <c r="N409" s="7">
        <f>IF(ISNUMBER(SEARCH("World",'RawData'!C450)),"",IF(ISNUMBER(SEARCH("Other",C409)),COUNTIFS('RawData'!B:B,B409,'RawData'!C:C,"&lt;&gt;*World*"),IF(OR(K409="",K409=0),"-",SUMPRODUCT(('RawData'!B$2:B$822=B409)*('RawData'!H$2:H$822&gt;K409)*(ISERROR(SEARCH("World",'RawData'!C$2:C$822)))*(ISERROR(SEARCH("Other",'RawData'!C$2:C$822))))+1)))</f>
        <v>2</v>
      </c>
    </row>
    <row r="410" spans="1:14" x14ac:dyDescent="0.3">
      <c r="A410" s="4" t="str">
        <f>IF(ISNUMBER(SEARCH("World",'RawData'!C451)),"",'RawData'!A451)</f>
        <v>MCS2026</v>
      </c>
      <c r="B410" s="4" t="str">
        <f>IF(ISNUMBER(SEARCH("World",'RawData'!C451)),"",'RawData'!B451)</f>
        <v>Niobium</v>
      </c>
      <c r="C410" s="4" t="str">
        <f>IF(ISNUMBER(SEARCH("World",'RawData'!C451)),"",'RawData'!C451)</f>
        <v>DRCongo</v>
      </c>
      <c r="D410" s="4" t="str">
        <f>IF(ISNUMBER(SEARCH("World",'RawData'!C451)),"",'RawData'!D451)</f>
        <v>Mine production, niobium content</v>
      </c>
      <c r="E410" s="4" t="str">
        <f>IF(ISNUMBER(SEARCH("World",'RawData'!C451)),"",IF('RawData'!E451="WT001","kg",IF('RawData'!E451="WT002","ton",IF('RawData'!E451="WT003","k ton",""))))</f>
        <v>ton</v>
      </c>
      <c r="F410" s="14">
        <f>IF(ISNUMBER(SEARCH("World",'RawData'!C451)),"",'RawData'!F451)</f>
        <v>930</v>
      </c>
      <c r="G410" s="14">
        <f>IF(ISNUMBER(SEARCH("World",'RawData'!C451)),"",'RawData'!G451)</f>
        <v>970</v>
      </c>
      <c r="H410" s="14">
        <f>IF(ISNUMBER(SEARCH("World",'RawData'!C451)),"",SUMIFS('RawData'!G:G,'RawData'!B:B,'RawData'!B451,'RawData'!C:C,"*World*"))</f>
        <v>120000</v>
      </c>
      <c r="I410" s="15">
        <f>IF(ISNUMBER(SEARCH("World",'RawData'!C451)),"",IFERROR(G410/H410,"-"))</f>
        <v>8.083333333333333E-3</v>
      </c>
      <c r="J410" s="7">
        <f>IF(ISNUMBER(SEARCH("World",'RawData'!C451)),"",IF(ISNUMBER(SEARCH("Other",C410)),COUNTIFS('RawData'!B:B,B410,'RawData'!C:C,"&lt;&gt;*World*"),IF(OR(G410="",G410=0),"-",SUMPRODUCT(('RawData'!B$2:B$822=B410)*('RawData'!G$2:G$822&gt;G410)*(ISERROR(SEARCH("World",'RawData'!C$2:C$822)))*(ISERROR(SEARCH("Other",'RawData'!C$2:C$822))))+1)))</f>
        <v>3</v>
      </c>
      <c r="K410" s="14">
        <f>IF(ISNUMBER(SEARCH("World",'RawData'!C451)),"",'RawData'!H451)</f>
        <v>0</v>
      </c>
      <c r="L410" s="14">
        <f>IF(ISNUMBER(SEARCH("World",'RawData'!C451)),"",SUMIFS('RawData'!H:H,'RawData'!B:B,'RawData'!B451,'RawData'!C:C,"*World*"))</f>
        <v>21000000</v>
      </c>
      <c r="M410" s="15">
        <f>IF(ISNUMBER(SEARCH("World",'RawData'!C451)),"",IFERROR(K410/L410,"-"))</f>
        <v>0</v>
      </c>
      <c r="N410" s="7" t="str">
        <f>IF(ISNUMBER(SEARCH("World",'RawData'!C451)),"",IF(ISNUMBER(SEARCH("Other",C410)),COUNTIFS('RawData'!B:B,B410,'RawData'!C:C,"&lt;&gt;*World*"),IF(OR(K410="",K410=0),"-",SUMPRODUCT(('RawData'!B$2:B$822=B410)*('RawData'!H$2:H$822&gt;K410)*(ISERROR(SEARCH("World",'RawData'!C$2:C$822)))*(ISERROR(SEARCH("Other",'RawData'!C$2:C$822))))+1)))</f>
        <v>-</v>
      </c>
    </row>
    <row r="411" spans="1:14" x14ac:dyDescent="0.3">
      <c r="A411" s="4" t="str">
        <f>IF(ISNUMBER(SEARCH("World",'RawData'!C452)),"",'RawData'!A452)</f>
        <v>MCS2026</v>
      </c>
      <c r="B411" s="4" t="str">
        <f>IF(ISNUMBER(SEARCH("World",'RawData'!C452)),"",'RawData'!B452)</f>
        <v>Niobium</v>
      </c>
      <c r="C411" s="4" t="str">
        <f>IF(ISNUMBER(SEARCH("World",'RawData'!C452)),"",'RawData'!C452)</f>
        <v>Other Countries</v>
      </c>
      <c r="D411" s="4" t="str">
        <f>IF(ISNUMBER(SEARCH("World",'RawData'!C452)),"",'RawData'!D452)</f>
        <v>Mine production, niobium content</v>
      </c>
      <c r="E411" s="4" t="str">
        <f>IF(ISNUMBER(SEARCH("World",'RawData'!C452)),"",IF('RawData'!E452="WT001","kg",IF('RawData'!E452="WT002","ton",IF('RawData'!E452="WT003","k ton",""))))</f>
        <v>ton</v>
      </c>
      <c r="F411" s="14">
        <f>IF(ISNUMBER(SEARCH("World",'RawData'!C452)),"",'RawData'!F452)</f>
        <v>160</v>
      </c>
      <c r="G411" s="14">
        <f>IF(ISNUMBER(SEARCH("World",'RawData'!C452)),"",'RawData'!G452)</f>
        <v>120</v>
      </c>
      <c r="H411" s="14">
        <f>IF(ISNUMBER(SEARCH("World",'RawData'!C452)),"",SUMIFS('RawData'!G:G,'RawData'!B:B,'RawData'!B452,'RawData'!C:C,"*World*"))</f>
        <v>120000</v>
      </c>
      <c r="I411" s="15">
        <f>IF(ISNUMBER(SEARCH("World",'RawData'!C452)),"",IFERROR(G411/H411,"-"))</f>
        <v>1E-3</v>
      </c>
      <c r="J411" s="7">
        <f>IF(ISNUMBER(SEARCH("World",'RawData'!C452)),"",IF(ISNUMBER(SEARCH("Other",C411)),COUNTIFS('RawData'!B:B,B411,'RawData'!C:C,"&lt;&gt;*World*"),IF(OR(G411="",G411=0),"-",SUMPRODUCT(('RawData'!B$2:B$822=B411)*('RawData'!G$2:G$822&gt;G411)*(ISERROR(SEARCH("World",'RawData'!C$2:C$822)))*(ISERROR(SEARCH("Other",'RawData'!C$2:C$822))))+1)))</f>
        <v>8</v>
      </c>
      <c r="K411" s="14">
        <f>IF(ISNUMBER(SEARCH("World",'RawData'!C452)),"",'RawData'!H452)</f>
        <v>0</v>
      </c>
      <c r="L411" s="14">
        <f>IF(ISNUMBER(SEARCH("World",'RawData'!C452)),"",SUMIFS('RawData'!H:H,'RawData'!B:B,'RawData'!B452,'RawData'!C:C,"*World*"))</f>
        <v>21000000</v>
      </c>
      <c r="M411" s="15">
        <f>IF(ISNUMBER(SEARCH("World",'RawData'!C452)),"",IFERROR(K411/L411,"-"))</f>
        <v>0</v>
      </c>
      <c r="N411" s="7">
        <f>IF(ISNUMBER(SEARCH("World",'RawData'!C452)),"",IF(ISNUMBER(SEARCH("Other",C411)),COUNTIFS('RawData'!B:B,B411,'RawData'!C:C,"&lt;&gt;*World*"),IF(OR(K411="",K411=0),"-",SUMPRODUCT(('RawData'!B$2:B$822=B411)*('RawData'!H$2:H$822&gt;K411)*(ISERROR(SEARCH("World",'RawData'!C$2:C$822)))*(ISERROR(SEARCH("Other",'RawData'!C$2:C$822))))+1)))</f>
        <v>8</v>
      </c>
    </row>
    <row r="412" spans="1:14" x14ac:dyDescent="0.3">
      <c r="A412" s="4" t="str">
        <f>IF(ISNUMBER(SEARCH("World",'RawData'!C453)),"",'RawData'!A453)</f>
        <v>MCS2026</v>
      </c>
      <c r="B412" s="4" t="str">
        <f>IF(ISNUMBER(SEARCH("World",'RawData'!C453)),"",'RawData'!B453)</f>
        <v>Niobium</v>
      </c>
      <c r="C412" s="4" t="str">
        <f>IF(ISNUMBER(SEARCH("World",'RawData'!C453)),"",'RawData'!C453)</f>
        <v xml:space="preserve">Russia </v>
      </c>
      <c r="D412" s="4" t="str">
        <f>IF(ISNUMBER(SEARCH("World",'RawData'!C453)),"",'RawData'!D453)</f>
        <v>Mine production, niobium content</v>
      </c>
      <c r="E412" s="4" t="str">
        <f>IF(ISNUMBER(SEARCH("World",'RawData'!C453)),"",IF('RawData'!E453="WT001","kg",IF('RawData'!E453="WT002","ton",IF('RawData'!E453="WT003","k ton",""))))</f>
        <v>ton</v>
      </c>
      <c r="F412" s="14">
        <f>IF(ISNUMBER(SEARCH("World",'RawData'!C453)),"",'RawData'!F453)</f>
        <v>300</v>
      </c>
      <c r="G412" s="14">
        <f>IF(ISNUMBER(SEARCH("World",'RawData'!C453)),"",'RawData'!G453)</f>
        <v>300</v>
      </c>
      <c r="H412" s="14">
        <f>IF(ISNUMBER(SEARCH("World",'RawData'!C453)),"",SUMIFS('RawData'!G:G,'RawData'!B:B,'RawData'!B453,'RawData'!C:C,"*World*"))</f>
        <v>120000</v>
      </c>
      <c r="I412" s="15">
        <f>IF(ISNUMBER(SEARCH("World",'RawData'!C453)),"",IFERROR(G412/H412,"-"))</f>
        <v>2.5000000000000001E-3</v>
      </c>
      <c r="J412" s="7">
        <f>IF(ISNUMBER(SEARCH("World",'RawData'!C453)),"",IF(ISNUMBER(SEARCH("Other",C412)),COUNTIFS('RawData'!B:B,B412,'RawData'!C:C,"&lt;&gt;*World*"),IF(OR(G412="",G412=0),"-",SUMPRODUCT(('RawData'!B$2:B$822=B412)*('RawData'!G$2:G$822&gt;G412)*(ISERROR(SEARCH("World",'RawData'!C$2:C$822)))*(ISERROR(SEARCH("Other",'RawData'!C$2:C$822))))+1)))</f>
        <v>4</v>
      </c>
      <c r="K412" s="14">
        <f>IF(ISNUMBER(SEARCH("World",'RawData'!C453)),"",'RawData'!H453)</f>
        <v>3000</v>
      </c>
      <c r="L412" s="14">
        <f>IF(ISNUMBER(SEARCH("World",'RawData'!C453)),"",SUMIFS('RawData'!H:H,'RawData'!B:B,'RawData'!B453,'RawData'!C:C,"*World*"))</f>
        <v>21000000</v>
      </c>
      <c r="M412" s="15">
        <f>IF(ISNUMBER(SEARCH("World",'RawData'!C453)),"",IFERROR(K412/L412,"-"))</f>
        <v>1.4285714285714287E-4</v>
      </c>
      <c r="N412" s="7">
        <f>IF(ISNUMBER(SEARCH("World",'RawData'!C453)),"",IF(ISNUMBER(SEARCH("Other",C412)),COUNTIFS('RawData'!B:B,B412,'RawData'!C:C,"&lt;&gt;*World*"),IF(OR(K412="",K412=0),"-",SUMPRODUCT(('RawData'!B$2:B$822=B412)*('RawData'!H$2:H$822&gt;K412)*(ISERROR(SEARCH("World",'RawData'!C$2:C$822)))*(ISERROR(SEARCH("Other",'RawData'!C$2:C$822))))+1)))</f>
        <v>5</v>
      </c>
    </row>
    <row r="413" spans="1:14" x14ac:dyDescent="0.3">
      <c r="A413" s="4" t="str">
        <f>IF(ISNUMBER(SEARCH("World",'RawData'!C454)),"",'RawData'!A454)</f>
        <v>MCS2026</v>
      </c>
      <c r="B413" s="4" t="str">
        <f>IF(ISNUMBER(SEARCH("World",'RawData'!C454)),"",'RawData'!B454)</f>
        <v>Niobium</v>
      </c>
      <c r="C413" s="4" t="str">
        <f>IF(ISNUMBER(SEARCH("World",'RawData'!C454)),"",'RawData'!C454)</f>
        <v>Rwanda</v>
      </c>
      <c r="D413" s="4" t="str">
        <f>IF(ISNUMBER(SEARCH("World",'RawData'!C454)),"",'RawData'!D454)</f>
        <v>Mine production, niobium content</v>
      </c>
      <c r="E413" s="4" t="str">
        <f>IF(ISNUMBER(SEARCH("World",'RawData'!C454)),"",IF('RawData'!E454="WT001","kg",IF('RawData'!E454="WT002","ton",IF('RawData'!E454="WT003","k ton",""))))</f>
        <v>ton</v>
      </c>
      <c r="F413" s="14">
        <f>IF(ISNUMBER(SEARCH("World",'RawData'!C454)),"",'RawData'!F454)</f>
        <v>210</v>
      </c>
      <c r="G413" s="14">
        <f>IF(ISNUMBER(SEARCH("World",'RawData'!C454)),"",'RawData'!G454)</f>
        <v>200</v>
      </c>
      <c r="H413" s="14">
        <f>IF(ISNUMBER(SEARCH("World",'RawData'!C454)),"",SUMIFS('RawData'!G:G,'RawData'!B:B,'RawData'!B454,'RawData'!C:C,"*World*"))</f>
        <v>120000</v>
      </c>
      <c r="I413" s="15">
        <f>IF(ISNUMBER(SEARCH("World",'RawData'!C454)),"",IFERROR(G413/H413,"-"))</f>
        <v>1.6666666666666668E-3</v>
      </c>
      <c r="J413" s="7">
        <f>IF(ISNUMBER(SEARCH("World",'RawData'!C454)),"",IF(ISNUMBER(SEARCH("Other",C413)),COUNTIFS('RawData'!B:B,B413,'RawData'!C:C,"&lt;&gt;*World*"),IF(OR(G413="",G413=0),"-",SUMPRODUCT(('RawData'!B$2:B$822=B413)*('RawData'!G$2:G$822&gt;G413)*(ISERROR(SEARCH("World",'RawData'!C$2:C$822)))*(ISERROR(SEARCH("Other",'RawData'!C$2:C$822))))+1)))</f>
        <v>5</v>
      </c>
      <c r="K413" s="14">
        <f>IF(ISNUMBER(SEARCH("World",'RawData'!C454)),"",'RawData'!H454)</f>
        <v>0</v>
      </c>
      <c r="L413" s="14">
        <f>IF(ISNUMBER(SEARCH("World",'RawData'!C454)),"",SUMIFS('RawData'!H:H,'RawData'!B:B,'RawData'!B454,'RawData'!C:C,"*World*"))</f>
        <v>21000000</v>
      </c>
      <c r="M413" s="15">
        <f>IF(ISNUMBER(SEARCH("World",'RawData'!C454)),"",IFERROR(K413/L413,"-"))</f>
        <v>0</v>
      </c>
      <c r="N413" s="7" t="str">
        <f>IF(ISNUMBER(SEARCH("World",'RawData'!C454)),"",IF(ISNUMBER(SEARCH("Other",C413)),COUNTIFS('RawData'!B:B,B413,'RawData'!C:C,"&lt;&gt;*World*"),IF(OR(K413="",K413=0),"-",SUMPRODUCT(('RawData'!B$2:B$822=B413)*('RawData'!H$2:H$822&gt;K413)*(ISERROR(SEARCH("World",'RawData'!C$2:C$822)))*(ISERROR(SEARCH("Other",'RawData'!C$2:C$822))))+1)))</f>
        <v>-</v>
      </c>
    </row>
    <row r="414" spans="1:14" x14ac:dyDescent="0.3">
      <c r="A414" s="4" t="str">
        <f>IF(ISNUMBER(SEARCH("World",'RawData'!C455)),"",'RawData'!A455)</f>
        <v>MCS2026</v>
      </c>
      <c r="B414" s="4" t="str">
        <f>IF(ISNUMBER(SEARCH("World",'RawData'!C455)),"",'RawData'!B455)</f>
        <v>Niobium</v>
      </c>
      <c r="C414" s="4" t="str">
        <f>IF(ISNUMBER(SEARCH("World",'RawData'!C455)),"",'RawData'!C455)</f>
        <v>United States</v>
      </c>
      <c r="D414" s="4" t="str">
        <f>IF(ISNUMBER(SEARCH("World",'RawData'!C455)),"",'RawData'!D455)</f>
        <v>Mine production, niobium content</v>
      </c>
      <c r="E414" s="4" t="str">
        <f>IF(ISNUMBER(SEARCH("World",'RawData'!C455)),"",IF('RawData'!E455="WT001","kg",IF('RawData'!E455="WT002","ton",IF('RawData'!E455="WT003","k ton",""))))</f>
        <v>ton</v>
      </c>
      <c r="F414" s="14">
        <f>IF(ISNUMBER(SEARCH("World",'RawData'!C455)),"",'RawData'!F455)</f>
        <v>0</v>
      </c>
      <c r="G414" s="14">
        <f>IF(ISNUMBER(SEARCH("World",'RawData'!C455)),"",'RawData'!G455)</f>
        <v>0</v>
      </c>
      <c r="H414" s="14">
        <f>IF(ISNUMBER(SEARCH("World",'RawData'!C455)),"",SUMIFS('RawData'!G:G,'RawData'!B:B,'RawData'!B455,'RawData'!C:C,"*World*"))</f>
        <v>120000</v>
      </c>
      <c r="I414" s="15">
        <f>IF(ISNUMBER(SEARCH("World",'RawData'!C455)),"",IFERROR(G414/H414,"-"))</f>
        <v>0</v>
      </c>
      <c r="J414" s="7" t="str">
        <f>IF(ISNUMBER(SEARCH("World",'RawData'!C455)),"",IF(ISNUMBER(SEARCH("Other",C414)),COUNTIFS('RawData'!B:B,B414,'RawData'!C:C,"&lt;&gt;*World*"),IF(OR(G414="",G414=0),"-",SUMPRODUCT(('RawData'!B$2:B$822=B414)*('RawData'!G$2:G$822&gt;G414)*(ISERROR(SEARCH("World",'RawData'!C$2:C$822)))*(ISERROR(SEARCH("Other",'RawData'!C$2:C$822))))+1)))</f>
        <v>-</v>
      </c>
      <c r="K414" s="14">
        <f>IF(ISNUMBER(SEARCH("World",'RawData'!C455)),"",'RawData'!H455)</f>
        <v>210000</v>
      </c>
      <c r="L414" s="14">
        <f>IF(ISNUMBER(SEARCH("World",'RawData'!C455)),"",SUMIFS('RawData'!H:H,'RawData'!B:B,'RawData'!B455,'RawData'!C:C,"*World*"))</f>
        <v>21000000</v>
      </c>
      <c r="M414" s="15">
        <f>IF(ISNUMBER(SEARCH("World",'RawData'!C455)),"",IFERROR(K414/L414,"-"))</f>
        <v>0.01</v>
      </c>
      <c r="N414" s="7">
        <f>IF(ISNUMBER(SEARCH("World",'RawData'!C455)),"",IF(ISNUMBER(SEARCH("Other",C414)),COUNTIFS('RawData'!B:B,B414,'RawData'!C:C,"&lt;&gt;*World*"),IF(OR(K414="",K414=0),"-",SUMPRODUCT(('RawData'!B$2:B$822=B414)*('RawData'!H$2:H$822&gt;K414)*(ISERROR(SEARCH("World",'RawData'!C$2:C$822)))*(ISERROR(SEARCH("Other",'RawData'!C$2:C$822))))+1)))</f>
        <v>4</v>
      </c>
    </row>
    <row r="415" spans="1:14" x14ac:dyDescent="0.3">
      <c r="A415" s="4" t="str">
        <f>IF(ISNUMBER(SEARCH("World",'RawData'!C457)),"",'RawData'!A457)</f>
        <v>MCS2026</v>
      </c>
      <c r="B415" s="4" t="str">
        <f>IF(ISNUMBER(SEARCH("World",'RawData'!C457)),"",'RawData'!B457)</f>
        <v>Nitrogen</v>
      </c>
      <c r="C415" s="4" t="str">
        <f>IF(ISNUMBER(SEARCH("World",'RawData'!C457)),"",'RawData'!C457)</f>
        <v>Algeria</v>
      </c>
      <c r="D415" s="4" t="str">
        <f>IF(ISNUMBER(SEARCH("World",'RawData'!C457)),"",'RawData'!D457)</f>
        <v>Plant production, nitrogen content</v>
      </c>
      <c r="E415" s="4" t="str">
        <f>IF(ISNUMBER(SEARCH("World",'RawData'!C457)),"",IF('RawData'!E457="WT001","kg",IF('RawData'!E457="WT002","ton",IF('RawData'!E457="WT003","k ton",""))))</f>
        <v>k ton</v>
      </c>
      <c r="F415" s="14">
        <f>IF(ISNUMBER(SEARCH("World",'RawData'!C457)),"",'RawData'!F457)</f>
        <v>2000</v>
      </c>
      <c r="G415" s="14">
        <f>IF(ISNUMBER(SEARCH("World",'RawData'!C457)),"",'RawData'!G457)</f>
        <v>2000</v>
      </c>
      <c r="H415" s="14">
        <f>IF(ISNUMBER(SEARCH("World",'RawData'!C457)),"",SUMIFS('RawData'!G:G,'RawData'!B:B,'RawData'!B457,'RawData'!C:C,"*World*"))</f>
        <v>160000</v>
      </c>
      <c r="I415" s="15">
        <f>IF(ISNUMBER(SEARCH("World",'RawData'!C457)),"",IFERROR(G415/H415,"-"))</f>
        <v>1.2500000000000001E-2</v>
      </c>
      <c r="J415" s="7">
        <f>IF(ISNUMBER(SEARCH("World",'RawData'!C457)),"",IF(ISNUMBER(SEARCH("Other",C415)),COUNTIFS('RawData'!B:B,B415,'RawData'!C:C,"&lt;&gt;*World*"),IF(OR(G415="",G415=0),"-",SUMPRODUCT(('RawData'!B$2:B$822=B415)*('RawData'!G$2:G$822&gt;G415)*(ISERROR(SEARCH("World",'RawData'!C$2:C$822)))*(ISERROR(SEARCH("Other",'RawData'!C$2:C$822))))+1)))</f>
        <v>13</v>
      </c>
      <c r="K415" s="14">
        <f>IF(ISNUMBER(SEARCH("World",'RawData'!C457)),"",'RawData'!H457)</f>
        <v>0</v>
      </c>
      <c r="L415" s="14">
        <f>IF(ISNUMBER(SEARCH("World",'RawData'!C457)),"",SUMIFS('RawData'!H:H,'RawData'!B:B,'RawData'!B457,'RawData'!C:C,"*World*"))</f>
        <v>0</v>
      </c>
      <c r="M415" s="15" t="str">
        <f>IF(ISNUMBER(SEARCH("World",'RawData'!C457)),"",IFERROR(K415/L415,"-"))</f>
        <v>-</v>
      </c>
      <c r="N415" s="7" t="str">
        <f>IF(ISNUMBER(SEARCH("World",'RawData'!C457)),"",IF(ISNUMBER(SEARCH("Other",C415)),COUNTIFS('RawData'!B:B,B415,'RawData'!C:C,"&lt;&gt;*World*"),IF(OR(K415="",K415=0),"-",SUMPRODUCT(('RawData'!B$2:B$822=B415)*('RawData'!H$2:H$822&gt;K415)*(ISERROR(SEARCH("World",'RawData'!C$2:C$822)))*(ISERROR(SEARCH("Other",'RawData'!C$2:C$822))))+1)))</f>
        <v>-</v>
      </c>
    </row>
    <row r="416" spans="1:14" x14ac:dyDescent="0.3">
      <c r="A416" s="4" t="str">
        <f>IF(ISNUMBER(SEARCH("World",'RawData'!C458)),"",'RawData'!A458)</f>
        <v>MCS2026</v>
      </c>
      <c r="B416" s="4" t="str">
        <f>IF(ISNUMBER(SEARCH("World",'RawData'!C458)),"",'RawData'!B458)</f>
        <v>Nitrogen</v>
      </c>
      <c r="C416" s="4" t="str">
        <f>IF(ISNUMBER(SEARCH("World",'RawData'!C458)),"",'RawData'!C458)</f>
        <v>Australia</v>
      </c>
      <c r="D416" s="4" t="str">
        <f>IF(ISNUMBER(SEARCH("World",'RawData'!C458)),"",'RawData'!D458)</f>
        <v>Plant production, nitrogen content</v>
      </c>
      <c r="E416" s="4" t="str">
        <f>IF(ISNUMBER(SEARCH("World",'RawData'!C458)),"",IF('RawData'!E458="WT001","kg",IF('RawData'!E458="WT002","ton",IF('RawData'!E458="WT003","k ton",""))))</f>
        <v>k ton</v>
      </c>
      <c r="F416" s="14">
        <f>IF(ISNUMBER(SEARCH("World",'RawData'!C458)),"",'RawData'!F458)</f>
        <v>1500</v>
      </c>
      <c r="G416" s="14">
        <f>IF(ISNUMBER(SEARCH("World",'RawData'!C458)),"",'RawData'!G458)</f>
        <v>1500</v>
      </c>
      <c r="H416" s="14">
        <f>IF(ISNUMBER(SEARCH("World",'RawData'!C458)),"",SUMIFS('RawData'!G:G,'RawData'!B:B,'RawData'!B458,'RawData'!C:C,"*World*"))</f>
        <v>160000</v>
      </c>
      <c r="I416" s="15">
        <f>IF(ISNUMBER(SEARCH("World",'RawData'!C458)),"",IFERROR(G416/H416,"-"))</f>
        <v>9.3749999999999997E-3</v>
      </c>
      <c r="J416" s="7">
        <f>IF(ISNUMBER(SEARCH("World",'RawData'!C458)),"",IF(ISNUMBER(SEARCH("Other",C416)),COUNTIFS('RawData'!B:B,B416,'RawData'!C:C,"&lt;&gt;*World*"),IF(OR(G416="",G416=0),"-",SUMPRODUCT(('RawData'!B$2:B$822=B416)*('RawData'!G$2:G$822&gt;G416)*(ISERROR(SEARCH("World",'RawData'!C$2:C$822)))*(ISERROR(SEARCH("Other",'RawData'!C$2:C$822))))+1)))</f>
        <v>19</v>
      </c>
      <c r="K416" s="14">
        <f>IF(ISNUMBER(SEARCH("World",'RawData'!C458)),"",'RawData'!H458)</f>
        <v>0</v>
      </c>
      <c r="L416" s="14">
        <f>IF(ISNUMBER(SEARCH("World",'RawData'!C458)),"",SUMIFS('RawData'!H:H,'RawData'!B:B,'RawData'!B458,'RawData'!C:C,"*World*"))</f>
        <v>0</v>
      </c>
      <c r="M416" s="15" t="str">
        <f>IF(ISNUMBER(SEARCH("World",'RawData'!C458)),"",IFERROR(K416/L416,"-"))</f>
        <v>-</v>
      </c>
      <c r="N416" s="7" t="str">
        <f>IF(ISNUMBER(SEARCH("World",'RawData'!C458)),"",IF(ISNUMBER(SEARCH("Other",C416)),COUNTIFS('RawData'!B:B,B416,'RawData'!C:C,"&lt;&gt;*World*"),IF(OR(K416="",K416=0),"-",SUMPRODUCT(('RawData'!B$2:B$822=B416)*('RawData'!H$2:H$822&gt;K416)*(ISERROR(SEARCH("World",'RawData'!C$2:C$822)))*(ISERROR(SEARCH("Other",'RawData'!C$2:C$822))))+1)))</f>
        <v>-</v>
      </c>
    </row>
    <row r="417" spans="1:14" x14ac:dyDescent="0.3">
      <c r="A417" s="4" t="str">
        <f>IF(ISNUMBER(SEARCH("World",'RawData'!C459)),"",'RawData'!A459)</f>
        <v>MCS2026</v>
      </c>
      <c r="B417" s="4" t="str">
        <f>IF(ISNUMBER(SEARCH("World",'RawData'!C459)),"",'RawData'!B459)</f>
        <v>Nitrogen</v>
      </c>
      <c r="C417" s="4" t="str">
        <f>IF(ISNUMBER(SEARCH("World",'RawData'!C459)),"",'RawData'!C459)</f>
        <v xml:space="preserve">Canada </v>
      </c>
      <c r="D417" s="4" t="str">
        <f>IF(ISNUMBER(SEARCH("World",'RawData'!C459)),"",'RawData'!D459)</f>
        <v>Plant production, nitrogen content</v>
      </c>
      <c r="E417" s="4" t="str">
        <f>IF(ISNUMBER(SEARCH("World",'RawData'!C459)),"",IF('RawData'!E459="WT001","kg",IF('RawData'!E459="WT002","ton",IF('RawData'!E459="WT003","k ton",""))))</f>
        <v>k ton</v>
      </c>
      <c r="F417" s="14">
        <f>IF(ISNUMBER(SEARCH("World",'RawData'!C459)),"",'RawData'!F459)</f>
        <v>3800</v>
      </c>
      <c r="G417" s="14">
        <f>IF(ISNUMBER(SEARCH("World",'RawData'!C459)),"",'RawData'!G459)</f>
        <v>3800</v>
      </c>
      <c r="H417" s="14">
        <f>IF(ISNUMBER(SEARCH("World",'RawData'!C459)),"",SUMIFS('RawData'!G:G,'RawData'!B:B,'RawData'!B459,'RawData'!C:C,"*World*"))</f>
        <v>160000</v>
      </c>
      <c r="I417" s="15">
        <f>IF(ISNUMBER(SEARCH("World",'RawData'!C459)),"",IFERROR(G417/H417,"-"))</f>
        <v>2.375E-2</v>
      </c>
      <c r="J417" s="7">
        <f>IF(ISNUMBER(SEARCH("World",'RawData'!C459)),"",IF(ISNUMBER(SEARCH("Other",C417)),COUNTIFS('RawData'!B:B,B417,'RawData'!C:C,"&lt;&gt;*World*"),IF(OR(G417="",G417=0),"-",SUMPRODUCT(('RawData'!B$2:B$822=B417)*('RawData'!G$2:G$822&gt;G417)*(ISERROR(SEARCH("World",'RawData'!C$2:C$822)))*(ISERROR(SEARCH("Other",'RawData'!C$2:C$822))))+1)))</f>
        <v>9</v>
      </c>
      <c r="K417" s="14">
        <f>IF(ISNUMBER(SEARCH("World",'RawData'!C459)),"",'RawData'!H459)</f>
        <v>0</v>
      </c>
      <c r="L417" s="14">
        <f>IF(ISNUMBER(SEARCH("World",'RawData'!C459)),"",SUMIFS('RawData'!H:H,'RawData'!B:B,'RawData'!B459,'RawData'!C:C,"*World*"))</f>
        <v>0</v>
      </c>
      <c r="M417" s="15" t="str">
        <f>IF(ISNUMBER(SEARCH("World",'RawData'!C459)),"",IFERROR(K417/L417,"-"))</f>
        <v>-</v>
      </c>
      <c r="N417" s="7" t="str">
        <f>IF(ISNUMBER(SEARCH("World",'RawData'!C459)),"",IF(ISNUMBER(SEARCH("Other",C417)),COUNTIFS('RawData'!B:B,B417,'RawData'!C:C,"&lt;&gt;*World*"),IF(OR(K417="",K417=0),"-",SUMPRODUCT(('RawData'!B$2:B$822=B417)*('RawData'!H$2:H$822&gt;K417)*(ISERROR(SEARCH("World",'RawData'!C$2:C$822)))*(ISERROR(SEARCH("Other",'RawData'!C$2:C$822))))+1)))</f>
        <v>-</v>
      </c>
    </row>
    <row r="418" spans="1:14" x14ac:dyDescent="0.3">
      <c r="A418" s="4" t="str">
        <f>IF(ISNUMBER(SEARCH("World",'RawData'!C460)),"",'RawData'!A460)</f>
        <v>MCS2026</v>
      </c>
      <c r="B418" s="4" t="str">
        <f>IF(ISNUMBER(SEARCH("World",'RawData'!C460)),"",'RawData'!B460)</f>
        <v>Nitrogen</v>
      </c>
      <c r="C418" s="4" t="str">
        <f>IF(ISNUMBER(SEARCH("World",'RawData'!C460)),"",'RawData'!C460)</f>
        <v>China</v>
      </c>
      <c r="D418" s="4" t="str">
        <f>IF(ISNUMBER(SEARCH("World",'RawData'!C460)),"",'RawData'!D460)</f>
        <v>Plant production, nitrogen content</v>
      </c>
      <c r="E418" s="4" t="str">
        <f>IF(ISNUMBER(SEARCH("World",'RawData'!C460)),"",IF('RawData'!E460="WT001","kg",IF('RawData'!E460="WT002","ton",IF('RawData'!E460="WT003","k ton",""))))</f>
        <v>k ton</v>
      </c>
      <c r="F418" s="14">
        <f>IF(ISNUMBER(SEARCH("World",'RawData'!C460)),"",'RawData'!F460)</f>
        <v>49000</v>
      </c>
      <c r="G418" s="14">
        <f>IF(ISNUMBER(SEARCH("World",'RawData'!C460)),"",'RawData'!G460)</f>
        <v>49000</v>
      </c>
      <c r="H418" s="14">
        <f>IF(ISNUMBER(SEARCH("World",'RawData'!C460)),"",SUMIFS('RawData'!G:G,'RawData'!B:B,'RawData'!B460,'RawData'!C:C,"*World*"))</f>
        <v>160000</v>
      </c>
      <c r="I418" s="15">
        <f>IF(ISNUMBER(SEARCH("World",'RawData'!C460)),"",IFERROR(G418/H418,"-"))</f>
        <v>0.30625000000000002</v>
      </c>
      <c r="J418" s="7">
        <f>IF(ISNUMBER(SEARCH("World",'RawData'!C460)),"",IF(ISNUMBER(SEARCH("Other",C418)),COUNTIFS('RawData'!B:B,B418,'RawData'!C:C,"&lt;&gt;*World*"),IF(OR(G418="",G418=0),"-",SUMPRODUCT(('RawData'!B$2:B$822=B418)*('RawData'!G$2:G$822&gt;G418)*(ISERROR(SEARCH("World",'RawData'!C$2:C$822)))*(ISERROR(SEARCH("Other",'RawData'!C$2:C$822))))+1)))</f>
        <v>1</v>
      </c>
      <c r="K418" s="14">
        <f>IF(ISNUMBER(SEARCH("World",'RawData'!C460)),"",'RawData'!H460)</f>
        <v>0</v>
      </c>
      <c r="L418" s="14">
        <f>IF(ISNUMBER(SEARCH("World",'RawData'!C460)),"",SUMIFS('RawData'!H:H,'RawData'!B:B,'RawData'!B460,'RawData'!C:C,"*World*"))</f>
        <v>0</v>
      </c>
      <c r="M418" s="15" t="str">
        <f>IF(ISNUMBER(SEARCH("World",'RawData'!C460)),"",IFERROR(K418/L418,"-"))</f>
        <v>-</v>
      </c>
      <c r="N418" s="7" t="str">
        <f>IF(ISNUMBER(SEARCH("World",'RawData'!C460)),"",IF(ISNUMBER(SEARCH("Other",C418)),COUNTIFS('RawData'!B:B,B418,'RawData'!C:C,"&lt;&gt;*World*"),IF(OR(K418="",K418=0),"-",SUMPRODUCT(('RawData'!B$2:B$822=B418)*('RawData'!H$2:H$822&gt;K418)*(ISERROR(SEARCH("World",'RawData'!C$2:C$822)))*(ISERROR(SEARCH("Other",'RawData'!C$2:C$822))))+1)))</f>
        <v>-</v>
      </c>
    </row>
    <row r="419" spans="1:14" x14ac:dyDescent="0.3">
      <c r="A419" s="4" t="str">
        <f>IF(ISNUMBER(SEARCH("World",'RawData'!C461)),"",'RawData'!A461)</f>
        <v>MCS2026</v>
      </c>
      <c r="B419" s="4" t="str">
        <f>IF(ISNUMBER(SEARCH("World",'RawData'!C461)),"",'RawData'!B461)</f>
        <v>Nitrogen</v>
      </c>
      <c r="C419" s="4" t="str">
        <f>IF(ISNUMBER(SEARCH("World",'RawData'!C461)),"",'RawData'!C461)</f>
        <v>Egypt</v>
      </c>
      <c r="D419" s="4" t="str">
        <f>IF(ISNUMBER(SEARCH("World",'RawData'!C461)),"",'RawData'!D461)</f>
        <v>Plant production, nitrogen content</v>
      </c>
      <c r="E419" s="4" t="str">
        <f>IF(ISNUMBER(SEARCH("World",'RawData'!C461)),"",IF('RawData'!E461="WT001","kg",IF('RawData'!E461="WT002","ton",IF('RawData'!E461="WT003","k ton",""))))</f>
        <v>k ton</v>
      </c>
      <c r="F419" s="14">
        <f>IF(ISNUMBER(SEARCH("World",'RawData'!C461)),"",'RawData'!F461)</f>
        <v>3900</v>
      </c>
      <c r="G419" s="14">
        <f>IF(ISNUMBER(SEARCH("World",'RawData'!C461)),"",'RawData'!G461)</f>
        <v>4000</v>
      </c>
      <c r="H419" s="14">
        <f>IF(ISNUMBER(SEARCH("World",'RawData'!C461)),"",SUMIFS('RawData'!G:G,'RawData'!B:B,'RawData'!B461,'RawData'!C:C,"*World*"))</f>
        <v>160000</v>
      </c>
      <c r="I419" s="15">
        <f>IF(ISNUMBER(SEARCH("World",'RawData'!C461)),"",IFERROR(G419/H419,"-"))</f>
        <v>2.5000000000000001E-2</v>
      </c>
      <c r="J419" s="7">
        <f>IF(ISNUMBER(SEARCH("World",'RawData'!C461)),"",IF(ISNUMBER(SEARCH("Other",C419)),COUNTIFS('RawData'!B:B,B419,'RawData'!C:C,"&lt;&gt;*World*"),IF(OR(G419="",G419=0),"-",SUMPRODUCT(('RawData'!B$2:B$822=B419)*('RawData'!G$2:G$822&gt;G419)*(ISERROR(SEARCH("World",'RawData'!C$2:C$822)))*(ISERROR(SEARCH("Other",'RawData'!C$2:C$822))))+1)))</f>
        <v>8</v>
      </c>
      <c r="K419" s="14">
        <f>IF(ISNUMBER(SEARCH("World",'RawData'!C461)),"",'RawData'!H461)</f>
        <v>0</v>
      </c>
      <c r="L419" s="14">
        <f>IF(ISNUMBER(SEARCH("World",'RawData'!C461)),"",SUMIFS('RawData'!H:H,'RawData'!B:B,'RawData'!B461,'RawData'!C:C,"*World*"))</f>
        <v>0</v>
      </c>
      <c r="M419" s="15" t="str">
        <f>IF(ISNUMBER(SEARCH("World",'RawData'!C461)),"",IFERROR(K419/L419,"-"))</f>
        <v>-</v>
      </c>
      <c r="N419" s="7" t="str">
        <f>IF(ISNUMBER(SEARCH("World",'RawData'!C461)),"",IF(ISNUMBER(SEARCH("Other",C419)),COUNTIFS('RawData'!B:B,B419,'RawData'!C:C,"&lt;&gt;*World*"),IF(OR(K419="",K419=0),"-",SUMPRODUCT(('RawData'!B$2:B$822=B419)*('RawData'!H$2:H$822&gt;K419)*(ISERROR(SEARCH("World",'RawData'!C$2:C$822)))*(ISERROR(SEARCH("Other",'RawData'!C$2:C$822))))+1)))</f>
        <v>-</v>
      </c>
    </row>
    <row r="420" spans="1:14" x14ac:dyDescent="0.3">
      <c r="A420" s="4" t="str">
        <f>IF(ISNUMBER(SEARCH("World",'RawData'!C462)),"",'RawData'!A462)</f>
        <v>MCS2026</v>
      </c>
      <c r="B420" s="4" t="str">
        <f>IF(ISNUMBER(SEARCH("World",'RawData'!C462)),"",'RawData'!B462)</f>
        <v>Nitrogen</v>
      </c>
      <c r="C420" s="4" t="str">
        <f>IF(ISNUMBER(SEARCH("World",'RawData'!C462)),"",'RawData'!C462)</f>
        <v>Germany</v>
      </c>
      <c r="D420" s="4" t="str">
        <f>IF(ISNUMBER(SEARCH("World",'RawData'!C462)),"",'RawData'!D462)</f>
        <v>Plant production, nitrogen content</v>
      </c>
      <c r="E420" s="4" t="str">
        <f>IF(ISNUMBER(SEARCH("World",'RawData'!C462)),"",IF('RawData'!E462="WT001","kg",IF('RawData'!E462="WT002","ton",IF('RawData'!E462="WT003","k ton",""))))</f>
        <v>k ton</v>
      </c>
      <c r="F420" s="14">
        <f>IF(ISNUMBER(SEARCH("World",'RawData'!C462)),"",'RawData'!F462)</f>
        <v>2220</v>
      </c>
      <c r="G420" s="14">
        <f>IF(ISNUMBER(SEARCH("World",'RawData'!C462)),"",'RawData'!G462)</f>
        <v>2000</v>
      </c>
      <c r="H420" s="14">
        <f>IF(ISNUMBER(SEARCH("World",'RawData'!C462)),"",SUMIFS('RawData'!G:G,'RawData'!B:B,'RawData'!B462,'RawData'!C:C,"*World*"))</f>
        <v>160000</v>
      </c>
      <c r="I420" s="15">
        <f>IF(ISNUMBER(SEARCH("World",'RawData'!C462)),"",IFERROR(G420/H420,"-"))</f>
        <v>1.2500000000000001E-2</v>
      </c>
      <c r="J420" s="7">
        <f>IF(ISNUMBER(SEARCH("World",'RawData'!C462)),"",IF(ISNUMBER(SEARCH("Other",C420)),COUNTIFS('RawData'!B:B,B420,'RawData'!C:C,"&lt;&gt;*World*"),IF(OR(G420="",G420=0),"-",SUMPRODUCT(('RawData'!B$2:B$822=B420)*('RawData'!G$2:G$822&gt;G420)*(ISERROR(SEARCH("World",'RawData'!C$2:C$822)))*(ISERROR(SEARCH("Other",'RawData'!C$2:C$822))))+1)))</f>
        <v>13</v>
      </c>
      <c r="K420" s="14">
        <f>IF(ISNUMBER(SEARCH("World",'RawData'!C462)),"",'RawData'!H462)</f>
        <v>0</v>
      </c>
      <c r="L420" s="14">
        <f>IF(ISNUMBER(SEARCH("World",'RawData'!C462)),"",SUMIFS('RawData'!H:H,'RawData'!B:B,'RawData'!B462,'RawData'!C:C,"*World*"))</f>
        <v>0</v>
      </c>
      <c r="M420" s="15" t="str">
        <f>IF(ISNUMBER(SEARCH("World",'RawData'!C462)),"",IFERROR(K420/L420,"-"))</f>
        <v>-</v>
      </c>
      <c r="N420" s="7" t="str">
        <f>IF(ISNUMBER(SEARCH("World",'RawData'!C462)),"",IF(ISNUMBER(SEARCH("Other",C420)),COUNTIFS('RawData'!B:B,B420,'RawData'!C:C,"&lt;&gt;*World*"),IF(OR(K420="",K420=0),"-",SUMPRODUCT(('RawData'!B$2:B$822=B420)*('RawData'!H$2:H$822&gt;K420)*(ISERROR(SEARCH("World",'RawData'!C$2:C$822)))*(ISERROR(SEARCH("Other",'RawData'!C$2:C$822))))+1)))</f>
        <v>-</v>
      </c>
    </row>
    <row r="421" spans="1:14" x14ac:dyDescent="0.3">
      <c r="A421" s="4" t="str">
        <f>IF(ISNUMBER(SEARCH("World",'RawData'!C463)),"",'RawData'!A463)</f>
        <v>MCS2026</v>
      </c>
      <c r="B421" s="4" t="str">
        <f>IF(ISNUMBER(SEARCH("World",'RawData'!C463)),"",'RawData'!B463)</f>
        <v>Nitrogen</v>
      </c>
      <c r="C421" s="4" t="str">
        <f>IF(ISNUMBER(SEARCH("World",'RawData'!C463)),"",'RawData'!C463)</f>
        <v>India</v>
      </c>
      <c r="D421" s="4" t="str">
        <f>IF(ISNUMBER(SEARCH("World",'RawData'!C463)),"",'RawData'!D463)</f>
        <v>Plant production, nitrogen content</v>
      </c>
      <c r="E421" s="4" t="str">
        <f>IF(ISNUMBER(SEARCH("World",'RawData'!C463)),"",IF('RawData'!E463="WT001","kg",IF('RawData'!E463="WT002","ton",IF('RawData'!E463="WT003","k ton",""))))</f>
        <v>k ton</v>
      </c>
      <c r="F421" s="14">
        <f>IF(ISNUMBER(SEARCH("World",'RawData'!C463)),"",'RawData'!F463)</f>
        <v>15000</v>
      </c>
      <c r="G421" s="14">
        <f>IF(ISNUMBER(SEARCH("World",'RawData'!C463)),"",'RawData'!G463)</f>
        <v>15000</v>
      </c>
      <c r="H421" s="14">
        <f>IF(ISNUMBER(SEARCH("World",'RawData'!C463)),"",SUMIFS('RawData'!G:G,'RawData'!B:B,'RawData'!B463,'RawData'!C:C,"*World*"))</f>
        <v>160000</v>
      </c>
      <c r="I421" s="15">
        <f>IF(ISNUMBER(SEARCH("World",'RawData'!C463)),"",IFERROR(G421/H421,"-"))</f>
        <v>9.375E-2</v>
      </c>
      <c r="J421" s="7">
        <f>IF(ISNUMBER(SEARCH("World",'RawData'!C463)),"",IF(ISNUMBER(SEARCH("Other",C421)),COUNTIFS('RawData'!B:B,B421,'RawData'!C:C,"&lt;&gt;*World*"),IF(OR(G421="",G421=0),"-",SUMPRODUCT(('RawData'!B$2:B$822=B421)*('RawData'!G$2:G$822&gt;G421)*(ISERROR(SEARCH("World",'RawData'!C$2:C$822)))*(ISERROR(SEARCH("Other",'RawData'!C$2:C$822))))+1)))</f>
        <v>2</v>
      </c>
      <c r="K421" s="14">
        <f>IF(ISNUMBER(SEARCH("World",'RawData'!C463)),"",'RawData'!H463)</f>
        <v>0</v>
      </c>
      <c r="L421" s="14">
        <f>IF(ISNUMBER(SEARCH("World",'RawData'!C463)),"",SUMIFS('RawData'!H:H,'RawData'!B:B,'RawData'!B463,'RawData'!C:C,"*World*"))</f>
        <v>0</v>
      </c>
      <c r="M421" s="15" t="str">
        <f>IF(ISNUMBER(SEARCH("World",'RawData'!C463)),"",IFERROR(K421/L421,"-"))</f>
        <v>-</v>
      </c>
      <c r="N421" s="7" t="str">
        <f>IF(ISNUMBER(SEARCH("World",'RawData'!C463)),"",IF(ISNUMBER(SEARCH("Other",C421)),COUNTIFS('RawData'!B:B,B421,'RawData'!C:C,"&lt;&gt;*World*"),IF(OR(K421="",K421=0),"-",SUMPRODUCT(('RawData'!B$2:B$822=B421)*('RawData'!H$2:H$822&gt;K421)*(ISERROR(SEARCH("World",'RawData'!C$2:C$822)))*(ISERROR(SEARCH("Other",'RawData'!C$2:C$822))))+1)))</f>
        <v>-</v>
      </c>
    </row>
    <row r="422" spans="1:14" x14ac:dyDescent="0.3">
      <c r="A422" s="4" t="str">
        <f>IF(ISNUMBER(SEARCH("World",'RawData'!C464)),"",'RawData'!A464)</f>
        <v>MCS2026</v>
      </c>
      <c r="B422" s="4" t="str">
        <f>IF(ISNUMBER(SEARCH("World",'RawData'!C464)),"",'RawData'!B464)</f>
        <v>Nitrogen</v>
      </c>
      <c r="C422" s="4" t="str">
        <f>IF(ISNUMBER(SEARCH("World",'RawData'!C464)),"",'RawData'!C464)</f>
        <v>Indonesia</v>
      </c>
      <c r="D422" s="4" t="str">
        <f>IF(ISNUMBER(SEARCH("World",'RawData'!C464)),"",'RawData'!D464)</f>
        <v>Plant production, nitrogen content</v>
      </c>
      <c r="E422" s="4" t="str">
        <f>IF(ISNUMBER(SEARCH("World",'RawData'!C464)),"",IF('RawData'!E464="WT001","kg",IF('RawData'!E464="WT002","ton",IF('RawData'!E464="WT003","k ton",""))))</f>
        <v>k ton</v>
      </c>
      <c r="F422" s="14">
        <f>IF(ISNUMBER(SEARCH("World",'RawData'!C464)),"",'RawData'!F464)</f>
        <v>5700</v>
      </c>
      <c r="G422" s="14">
        <f>IF(ISNUMBER(SEARCH("World",'RawData'!C464)),"",'RawData'!G464)</f>
        <v>6000</v>
      </c>
      <c r="H422" s="14">
        <f>IF(ISNUMBER(SEARCH("World",'RawData'!C464)),"",SUMIFS('RawData'!G:G,'RawData'!B:B,'RawData'!B464,'RawData'!C:C,"*World*"))</f>
        <v>160000</v>
      </c>
      <c r="I422" s="15">
        <f>IF(ISNUMBER(SEARCH("World",'RawData'!C464)),"",IFERROR(G422/H422,"-"))</f>
        <v>3.7499999999999999E-2</v>
      </c>
      <c r="J422" s="7">
        <f>IF(ISNUMBER(SEARCH("World",'RawData'!C464)),"",IF(ISNUMBER(SEARCH("Other",C422)),COUNTIFS('RawData'!B:B,B422,'RawData'!C:C,"&lt;&gt;*World*"),IF(OR(G422="",G422=0),"-",SUMPRODUCT(('RawData'!B$2:B$822=B422)*('RawData'!G$2:G$822&gt;G422)*(ISERROR(SEARCH("World",'RawData'!C$2:C$822)))*(ISERROR(SEARCH("Other",'RawData'!C$2:C$822))))+1)))</f>
        <v>5</v>
      </c>
      <c r="K422" s="14">
        <f>IF(ISNUMBER(SEARCH("World",'RawData'!C464)),"",'RawData'!H464)</f>
        <v>0</v>
      </c>
      <c r="L422" s="14">
        <f>IF(ISNUMBER(SEARCH("World",'RawData'!C464)),"",SUMIFS('RawData'!H:H,'RawData'!B:B,'RawData'!B464,'RawData'!C:C,"*World*"))</f>
        <v>0</v>
      </c>
      <c r="M422" s="15" t="str">
        <f>IF(ISNUMBER(SEARCH("World",'RawData'!C464)),"",IFERROR(K422/L422,"-"))</f>
        <v>-</v>
      </c>
      <c r="N422" s="7" t="str">
        <f>IF(ISNUMBER(SEARCH("World",'RawData'!C464)),"",IF(ISNUMBER(SEARCH("Other",C422)),COUNTIFS('RawData'!B:B,B422,'RawData'!C:C,"&lt;&gt;*World*"),IF(OR(K422="",K422=0),"-",SUMPRODUCT(('RawData'!B$2:B$822=B422)*('RawData'!H$2:H$822&gt;K422)*(ISERROR(SEARCH("World",'RawData'!C$2:C$822)))*(ISERROR(SEARCH("Other",'RawData'!C$2:C$822))))+1)))</f>
        <v>-</v>
      </c>
    </row>
    <row r="423" spans="1:14" x14ac:dyDescent="0.3">
      <c r="A423" s="4" t="str">
        <f>IF(ISNUMBER(SEARCH("World",'RawData'!C465)),"",'RawData'!A465)</f>
        <v>MCS2026</v>
      </c>
      <c r="B423" s="4" t="str">
        <f>IF(ISNUMBER(SEARCH("World",'RawData'!C465)),"",'RawData'!B465)</f>
        <v>Nitrogen</v>
      </c>
      <c r="C423" s="4" t="str">
        <f>IF(ISNUMBER(SEARCH("World",'RawData'!C465)),"",'RawData'!C465)</f>
        <v>Iran</v>
      </c>
      <c r="D423" s="4" t="str">
        <f>IF(ISNUMBER(SEARCH("World",'RawData'!C465)),"",'RawData'!D465)</f>
        <v>Plant production, nitrogen content</v>
      </c>
      <c r="E423" s="4" t="str">
        <f>IF(ISNUMBER(SEARCH("World",'RawData'!C465)),"",IF('RawData'!E465="WT001","kg",IF('RawData'!E465="WT002","ton",IF('RawData'!E465="WT003","k ton",""))))</f>
        <v>k ton</v>
      </c>
      <c r="F423" s="14">
        <f>IF(ISNUMBER(SEARCH("World",'RawData'!C465)),"",'RawData'!F465)</f>
        <v>4800</v>
      </c>
      <c r="G423" s="14">
        <f>IF(ISNUMBER(SEARCH("World",'RawData'!C465)),"",'RawData'!G465)</f>
        <v>4800</v>
      </c>
      <c r="H423" s="14">
        <f>IF(ISNUMBER(SEARCH("World",'RawData'!C465)),"",SUMIFS('RawData'!G:G,'RawData'!B:B,'RawData'!B465,'RawData'!C:C,"*World*"))</f>
        <v>160000</v>
      </c>
      <c r="I423" s="15">
        <f>IF(ISNUMBER(SEARCH("World",'RawData'!C465)),"",IFERROR(G423/H423,"-"))</f>
        <v>0.03</v>
      </c>
      <c r="J423" s="7">
        <f>IF(ISNUMBER(SEARCH("World",'RawData'!C465)),"",IF(ISNUMBER(SEARCH("Other",C423)),COUNTIFS('RawData'!B:B,B423,'RawData'!C:C,"&lt;&gt;*World*"),IF(OR(G423="",G423=0),"-",SUMPRODUCT(('RawData'!B$2:B$822=B423)*('RawData'!G$2:G$822&gt;G423)*(ISERROR(SEARCH("World",'RawData'!C$2:C$822)))*(ISERROR(SEARCH("Other",'RawData'!C$2:C$822))))+1)))</f>
        <v>7</v>
      </c>
      <c r="K423" s="14">
        <f>IF(ISNUMBER(SEARCH("World",'RawData'!C465)),"",'RawData'!H465)</f>
        <v>0</v>
      </c>
      <c r="L423" s="14">
        <f>IF(ISNUMBER(SEARCH("World",'RawData'!C465)),"",SUMIFS('RawData'!H:H,'RawData'!B:B,'RawData'!B465,'RawData'!C:C,"*World*"))</f>
        <v>0</v>
      </c>
      <c r="M423" s="15" t="str">
        <f>IF(ISNUMBER(SEARCH("World",'RawData'!C465)),"",IFERROR(K423/L423,"-"))</f>
        <v>-</v>
      </c>
      <c r="N423" s="7" t="str">
        <f>IF(ISNUMBER(SEARCH("World",'RawData'!C465)),"",IF(ISNUMBER(SEARCH("Other",C423)),COUNTIFS('RawData'!B:B,B423,'RawData'!C:C,"&lt;&gt;*World*"),IF(OR(K423="",K423=0),"-",SUMPRODUCT(('RawData'!B$2:B$822=B423)*('RawData'!H$2:H$822&gt;K423)*(ISERROR(SEARCH("World",'RawData'!C$2:C$822)))*(ISERROR(SEARCH("Other",'RawData'!C$2:C$822))))+1)))</f>
        <v>-</v>
      </c>
    </row>
    <row r="424" spans="1:14" x14ac:dyDescent="0.3">
      <c r="A424" s="4" t="str">
        <f>IF(ISNUMBER(SEARCH("World",'RawData'!C466)),"",'RawData'!A466)</f>
        <v>MCS2026</v>
      </c>
      <c r="B424" s="4" t="str">
        <f>IF(ISNUMBER(SEARCH("World",'RawData'!C466)),"",'RawData'!B466)</f>
        <v>Nitrogen</v>
      </c>
      <c r="C424" s="4" t="str">
        <f>IF(ISNUMBER(SEARCH("World",'RawData'!C466)),"",'RawData'!C466)</f>
        <v>Malaysia</v>
      </c>
      <c r="D424" s="4" t="str">
        <f>IF(ISNUMBER(SEARCH("World",'RawData'!C466)),"",'RawData'!D466)</f>
        <v>Plant production, nitrogen content</v>
      </c>
      <c r="E424" s="4" t="str">
        <f>IF(ISNUMBER(SEARCH("World",'RawData'!C466)),"",IF('RawData'!E466="WT001","kg",IF('RawData'!E466="WT002","ton",IF('RawData'!E466="WT003","k ton",""))))</f>
        <v>k ton</v>
      </c>
      <c r="F424" s="14">
        <f>IF(ISNUMBER(SEARCH("World",'RawData'!C466)),"",'RawData'!F466)</f>
        <v>1500</v>
      </c>
      <c r="G424" s="14">
        <f>IF(ISNUMBER(SEARCH("World",'RawData'!C466)),"",'RawData'!G466)</f>
        <v>1500</v>
      </c>
      <c r="H424" s="14">
        <f>IF(ISNUMBER(SEARCH("World",'RawData'!C466)),"",SUMIFS('RawData'!G:G,'RawData'!B:B,'RawData'!B466,'RawData'!C:C,"*World*"))</f>
        <v>160000</v>
      </c>
      <c r="I424" s="15">
        <f>IF(ISNUMBER(SEARCH("World",'RawData'!C466)),"",IFERROR(G424/H424,"-"))</f>
        <v>9.3749999999999997E-3</v>
      </c>
      <c r="J424" s="7">
        <f>IF(ISNUMBER(SEARCH("World",'RawData'!C466)),"",IF(ISNUMBER(SEARCH("Other",C424)),COUNTIFS('RawData'!B:B,B424,'RawData'!C:C,"&lt;&gt;*World*"),IF(OR(G424="",G424=0),"-",SUMPRODUCT(('RawData'!B$2:B$822=B424)*('RawData'!G$2:G$822&gt;G424)*(ISERROR(SEARCH("World",'RawData'!C$2:C$822)))*(ISERROR(SEARCH("Other",'RawData'!C$2:C$822))))+1)))</f>
        <v>19</v>
      </c>
      <c r="K424" s="14">
        <f>IF(ISNUMBER(SEARCH("World",'RawData'!C466)),"",'RawData'!H466)</f>
        <v>0</v>
      </c>
      <c r="L424" s="14">
        <f>IF(ISNUMBER(SEARCH("World",'RawData'!C466)),"",SUMIFS('RawData'!H:H,'RawData'!B:B,'RawData'!B466,'RawData'!C:C,"*World*"))</f>
        <v>0</v>
      </c>
      <c r="M424" s="15" t="str">
        <f>IF(ISNUMBER(SEARCH("World",'RawData'!C466)),"",IFERROR(K424/L424,"-"))</f>
        <v>-</v>
      </c>
      <c r="N424" s="7" t="str">
        <f>IF(ISNUMBER(SEARCH("World",'RawData'!C466)),"",IF(ISNUMBER(SEARCH("Other",C424)),COUNTIFS('RawData'!B:B,B424,'RawData'!C:C,"&lt;&gt;*World*"),IF(OR(K424="",K424=0),"-",SUMPRODUCT(('RawData'!B$2:B$822=B424)*('RawData'!H$2:H$822&gt;K424)*(ISERROR(SEARCH("World",'RawData'!C$2:C$822)))*(ISERROR(SEARCH("Other",'RawData'!C$2:C$822))))+1)))</f>
        <v>-</v>
      </c>
    </row>
    <row r="425" spans="1:14" x14ac:dyDescent="0.3">
      <c r="A425" s="4" t="str">
        <f>IF(ISNUMBER(SEARCH("World",'RawData'!C467)),"",'RawData'!A467)</f>
        <v>MCS2026</v>
      </c>
      <c r="B425" s="4" t="str">
        <f>IF(ISNUMBER(SEARCH("World",'RawData'!C467)),"",'RawData'!B467)</f>
        <v>Nitrogen</v>
      </c>
      <c r="C425" s="4" t="str">
        <f>IF(ISNUMBER(SEARCH("World",'RawData'!C467)),"",'RawData'!C467)</f>
        <v>Netherlands</v>
      </c>
      <c r="D425" s="4" t="str">
        <f>IF(ISNUMBER(SEARCH("World",'RawData'!C467)),"",'RawData'!D467)</f>
        <v>Plant production, nitrogen content</v>
      </c>
      <c r="E425" s="4" t="str">
        <f>IF(ISNUMBER(SEARCH("World",'RawData'!C467)),"",IF('RawData'!E467="WT001","kg",IF('RawData'!E467="WT002","ton",IF('RawData'!E467="WT003","k ton",""))))</f>
        <v>k ton</v>
      </c>
      <c r="F425" s="14">
        <f>IF(ISNUMBER(SEARCH("World",'RawData'!C467)),"",'RawData'!F467)</f>
        <v>2100</v>
      </c>
      <c r="G425" s="14">
        <f>IF(ISNUMBER(SEARCH("World",'RawData'!C467)),"",'RawData'!G467)</f>
        <v>2000</v>
      </c>
      <c r="H425" s="14">
        <f>IF(ISNUMBER(SEARCH("World",'RawData'!C467)),"",SUMIFS('RawData'!G:G,'RawData'!B:B,'RawData'!B467,'RawData'!C:C,"*World*"))</f>
        <v>160000</v>
      </c>
      <c r="I425" s="15">
        <f>IF(ISNUMBER(SEARCH("World",'RawData'!C467)),"",IFERROR(G425/H425,"-"))</f>
        <v>1.2500000000000001E-2</v>
      </c>
      <c r="J425" s="7">
        <f>IF(ISNUMBER(SEARCH("World",'RawData'!C467)),"",IF(ISNUMBER(SEARCH("Other",C425)),COUNTIFS('RawData'!B:B,B425,'RawData'!C:C,"&lt;&gt;*World*"),IF(OR(G425="",G425=0),"-",SUMPRODUCT(('RawData'!B$2:B$822=B425)*('RawData'!G$2:G$822&gt;G425)*(ISERROR(SEARCH("World",'RawData'!C$2:C$822)))*(ISERROR(SEARCH("Other",'RawData'!C$2:C$822))))+1)))</f>
        <v>13</v>
      </c>
      <c r="K425" s="14">
        <f>IF(ISNUMBER(SEARCH("World",'RawData'!C467)),"",'RawData'!H467)</f>
        <v>0</v>
      </c>
      <c r="L425" s="14">
        <f>IF(ISNUMBER(SEARCH("World",'RawData'!C467)),"",SUMIFS('RawData'!H:H,'RawData'!B:B,'RawData'!B467,'RawData'!C:C,"*World*"))</f>
        <v>0</v>
      </c>
      <c r="M425" s="15" t="str">
        <f>IF(ISNUMBER(SEARCH("World",'RawData'!C467)),"",IFERROR(K425/L425,"-"))</f>
        <v>-</v>
      </c>
      <c r="N425" s="7" t="str">
        <f>IF(ISNUMBER(SEARCH("World",'RawData'!C467)),"",IF(ISNUMBER(SEARCH("Other",C425)),COUNTIFS('RawData'!B:B,B425,'RawData'!C:C,"&lt;&gt;*World*"),IF(OR(K425="",K425=0),"-",SUMPRODUCT(('RawData'!B$2:B$822=B425)*('RawData'!H$2:H$822&gt;K425)*(ISERROR(SEARCH("World",'RawData'!C$2:C$822)))*(ISERROR(SEARCH("Other",'RawData'!C$2:C$822))))+1)))</f>
        <v>-</v>
      </c>
    </row>
    <row r="426" spans="1:14" x14ac:dyDescent="0.3">
      <c r="A426" s="4" t="str">
        <f>IF(ISNUMBER(SEARCH("World",'RawData'!C468)),"",'RawData'!A468)</f>
        <v>MCS2026</v>
      </c>
      <c r="B426" s="4" t="str">
        <f>IF(ISNUMBER(SEARCH("World",'RawData'!C468)),"",'RawData'!B468)</f>
        <v>Nitrogen</v>
      </c>
      <c r="C426" s="4" t="str">
        <f>IF(ISNUMBER(SEARCH("World",'RawData'!C468)),"",'RawData'!C468)</f>
        <v>Nigeria</v>
      </c>
      <c r="D426" s="4" t="str">
        <f>IF(ISNUMBER(SEARCH("World",'RawData'!C468)),"",'RawData'!D468)</f>
        <v>Plant production, nitrogen content</v>
      </c>
      <c r="E426" s="4" t="str">
        <f>IF(ISNUMBER(SEARCH("World",'RawData'!C468)),"",IF('RawData'!E468="WT001","kg",IF('RawData'!E468="WT002","ton",IF('RawData'!E468="WT003","k ton",""))))</f>
        <v>k ton</v>
      </c>
      <c r="F426" s="14">
        <f>IF(ISNUMBER(SEARCH("World",'RawData'!C468)),"",'RawData'!F468)</f>
        <v>2000</v>
      </c>
      <c r="G426" s="14">
        <f>IF(ISNUMBER(SEARCH("World",'RawData'!C468)),"",'RawData'!G468)</f>
        <v>2000</v>
      </c>
      <c r="H426" s="14">
        <f>IF(ISNUMBER(SEARCH("World",'RawData'!C468)),"",SUMIFS('RawData'!G:G,'RawData'!B:B,'RawData'!B468,'RawData'!C:C,"*World*"))</f>
        <v>160000</v>
      </c>
      <c r="I426" s="15">
        <f>IF(ISNUMBER(SEARCH("World",'RawData'!C468)),"",IFERROR(G426/H426,"-"))</f>
        <v>1.2500000000000001E-2</v>
      </c>
      <c r="J426" s="7">
        <f>IF(ISNUMBER(SEARCH("World",'RawData'!C468)),"",IF(ISNUMBER(SEARCH("Other",C426)),COUNTIFS('RawData'!B:B,B426,'RawData'!C:C,"&lt;&gt;*World*"),IF(OR(G426="",G426=0),"-",SUMPRODUCT(('RawData'!B$2:B$822=B426)*('RawData'!G$2:G$822&gt;G426)*(ISERROR(SEARCH("World",'RawData'!C$2:C$822)))*(ISERROR(SEARCH("Other",'RawData'!C$2:C$822))))+1)))</f>
        <v>13</v>
      </c>
      <c r="K426" s="14">
        <f>IF(ISNUMBER(SEARCH("World",'RawData'!C468)),"",'RawData'!H468)</f>
        <v>0</v>
      </c>
      <c r="L426" s="14">
        <f>IF(ISNUMBER(SEARCH("World",'RawData'!C468)),"",SUMIFS('RawData'!H:H,'RawData'!B:B,'RawData'!B468,'RawData'!C:C,"*World*"))</f>
        <v>0</v>
      </c>
      <c r="M426" s="15" t="str">
        <f>IF(ISNUMBER(SEARCH("World",'RawData'!C468)),"",IFERROR(K426/L426,"-"))</f>
        <v>-</v>
      </c>
      <c r="N426" s="7" t="str">
        <f>IF(ISNUMBER(SEARCH("World",'RawData'!C468)),"",IF(ISNUMBER(SEARCH("Other",C426)),COUNTIFS('RawData'!B:B,B426,'RawData'!C:C,"&lt;&gt;*World*"),IF(OR(K426="",K426=0),"-",SUMPRODUCT(('RawData'!B$2:B$822=B426)*('RawData'!H$2:H$822&gt;K426)*(ISERROR(SEARCH("World",'RawData'!C$2:C$822)))*(ISERROR(SEARCH("Other",'RawData'!C$2:C$822))))+1)))</f>
        <v>-</v>
      </c>
    </row>
    <row r="427" spans="1:14" x14ac:dyDescent="0.3">
      <c r="A427" s="4" t="str">
        <f>IF(ISNUMBER(SEARCH("World",'RawData'!C469)),"",'RawData'!A469)</f>
        <v>MCS2026</v>
      </c>
      <c r="B427" s="4" t="str">
        <f>IF(ISNUMBER(SEARCH("World",'RawData'!C469)),"",'RawData'!B469)</f>
        <v>Nitrogen</v>
      </c>
      <c r="C427" s="4" t="str">
        <f>IF(ISNUMBER(SEARCH("World",'RawData'!C469)),"",'RawData'!C469)</f>
        <v>Oman</v>
      </c>
      <c r="D427" s="4" t="str">
        <f>IF(ISNUMBER(SEARCH("World",'RawData'!C469)),"",'RawData'!D469)</f>
        <v>Plant production, nitrogen content</v>
      </c>
      <c r="E427" s="4" t="str">
        <f>IF(ISNUMBER(SEARCH("World",'RawData'!C469)),"",IF('RawData'!E469="WT001","kg",IF('RawData'!E469="WT002","ton",IF('RawData'!E469="WT003","k ton",""))))</f>
        <v>k ton</v>
      </c>
      <c r="F427" s="14">
        <f>IF(ISNUMBER(SEARCH("World",'RawData'!C469)),"",'RawData'!F469)</f>
        <v>2000</v>
      </c>
      <c r="G427" s="14">
        <f>IF(ISNUMBER(SEARCH("World",'RawData'!C469)),"",'RawData'!G469)</f>
        <v>2000</v>
      </c>
      <c r="H427" s="14">
        <f>IF(ISNUMBER(SEARCH("World",'RawData'!C469)),"",SUMIFS('RawData'!G:G,'RawData'!B:B,'RawData'!B469,'RawData'!C:C,"*World*"))</f>
        <v>160000</v>
      </c>
      <c r="I427" s="15">
        <f>IF(ISNUMBER(SEARCH("World",'RawData'!C469)),"",IFERROR(G427/H427,"-"))</f>
        <v>1.2500000000000001E-2</v>
      </c>
      <c r="J427" s="7">
        <f>IF(ISNUMBER(SEARCH("World",'RawData'!C469)),"",IF(ISNUMBER(SEARCH("Other",C427)),COUNTIFS('RawData'!B:B,B427,'RawData'!C:C,"&lt;&gt;*World*"),IF(OR(G427="",G427=0),"-",SUMPRODUCT(('RawData'!B$2:B$822=B427)*('RawData'!G$2:G$822&gt;G427)*(ISERROR(SEARCH("World",'RawData'!C$2:C$822)))*(ISERROR(SEARCH("Other",'RawData'!C$2:C$822))))+1)))</f>
        <v>13</v>
      </c>
      <c r="K427" s="14">
        <f>IF(ISNUMBER(SEARCH("World",'RawData'!C469)),"",'RawData'!H469)</f>
        <v>0</v>
      </c>
      <c r="L427" s="14">
        <f>IF(ISNUMBER(SEARCH("World",'RawData'!C469)),"",SUMIFS('RawData'!H:H,'RawData'!B:B,'RawData'!B469,'RawData'!C:C,"*World*"))</f>
        <v>0</v>
      </c>
      <c r="M427" s="15" t="str">
        <f>IF(ISNUMBER(SEARCH("World",'RawData'!C469)),"",IFERROR(K427/L427,"-"))</f>
        <v>-</v>
      </c>
      <c r="N427" s="7" t="str">
        <f>IF(ISNUMBER(SEARCH("World",'RawData'!C469)),"",IF(ISNUMBER(SEARCH("Other",C427)),COUNTIFS('RawData'!B:B,B427,'RawData'!C:C,"&lt;&gt;*World*"),IF(OR(K427="",K427=0),"-",SUMPRODUCT(('RawData'!B$2:B$822=B427)*('RawData'!H$2:H$822&gt;K427)*(ISERROR(SEARCH("World",'RawData'!C$2:C$822)))*(ISERROR(SEARCH("Other",'RawData'!C$2:C$822))))+1)))</f>
        <v>-</v>
      </c>
    </row>
    <row r="428" spans="1:14" x14ac:dyDescent="0.3">
      <c r="A428" s="4" t="str">
        <f>IF(ISNUMBER(SEARCH("World",'RawData'!C470)),"",'RawData'!A470)</f>
        <v>MCS2026</v>
      </c>
      <c r="B428" s="4" t="str">
        <f>IF(ISNUMBER(SEARCH("World",'RawData'!C470)),"",'RawData'!B470)</f>
        <v>Nitrogen</v>
      </c>
      <c r="C428" s="4" t="str">
        <f>IF(ISNUMBER(SEARCH("World",'RawData'!C470)),"",'RawData'!C470)</f>
        <v>Other Countries</v>
      </c>
      <c r="D428" s="4" t="str">
        <f>IF(ISNUMBER(SEARCH("World",'RawData'!C470)),"",'RawData'!D470)</f>
        <v>Plant production, nitrogen content</v>
      </c>
      <c r="E428" s="4" t="str">
        <f>IF(ISNUMBER(SEARCH("World",'RawData'!C470)),"",IF('RawData'!E470="WT001","kg",IF('RawData'!E470="WT002","ton",IF('RawData'!E470="WT003","k ton",""))))</f>
        <v>k ton</v>
      </c>
      <c r="F428" s="14">
        <f>IF(ISNUMBER(SEARCH("World",'RawData'!C470)),"",'RawData'!F470)</f>
        <v>12200</v>
      </c>
      <c r="G428" s="14">
        <f>IF(ISNUMBER(SEARCH("World",'RawData'!C470)),"",'RawData'!G470)</f>
        <v>12000</v>
      </c>
      <c r="H428" s="14">
        <f>IF(ISNUMBER(SEARCH("World",'RawData'!C470)),"",SUMIFS('RawData'!G:G,'RawData'!B:B,'RawData'!B470,'RawData'!C:C,"*World*"))</f>
        <v>160000</v>
      </c>
      <c r="I428" s="15">
        <f>IF(ISNUMBER(SEARCH("World",'RawData'!C470)),"",IFERROR(G428/H428,"-"))</f>
        <v>7.4999999999999997E-2</v>
      </c>
      <c r="J428" s="7">
        <f>IF(ISNUMBER(SEARCH("World",'RawData'!C470)),"",IF(ISNUMBER(SEARCH("Other",C428)),COUNTIFS('RawData'!B:B,B428,'RawData'!C:C,"&lt;&gt;*World*"),IF(OR(G428="",G428=0),"-",SUMPRODUCT(('RawData'!B$2:B$822=B428)*('RawData'!G$2:G$822&gt;G428)*(ISERROR(SEARCH("World",'RawData'!C$2:C$822)))*(ISERROR(SEARCH("Other",'RawData'!C$2:C$822))))+1)))</f>
        <v>23</v>
      </c>
      <c r="K428" s="14">
        <f>IF(ISNUMBER(SEARCH("World",'RawData'!C470)),"",'RawData'!H470)</f>
        <v>0</v>
      </c>
      <c r="L428" s="14">
        <f>IF(ISNUMBER(SEARCH("World",'RawData'!C470)),"",SUMIFS('RawData'!H:H,'RawData'!B:B,'RawData'!B470,'RawData'!C:C,"*World*"))</f>
        <v>0</v>
      </c>
      <c r="M428" s="15" t="str">
        <f>IF(ISNUMBER(SEARCH("World",'RawData'!C470)),"",IFERROR(K428/L428,"-"))</f>
        <v>-</v>
      </c>
      <c r="N428" s="7">
        <f>IF(ISNUMBER(SEARCH("World",'RawData'!C470)),"",IF(ISNUMBER(SEARCH("Other",C428)),COUNTIFS('RawData'!B:B,B428,'RawData'!C:C,"&lt;&gt;*World*"),IF(OR(K428="",K428=0),"-",SUMPRODUCT(('RawData'!B$2:B$822=B428)*('RawData'!H$2:H$822&gt;K428)*(ISERROR(SEARCH("World",'RawData'!C$2:C$822)))*(ISERROR(SEARCH("Other",'RawData'!C$2:C$822))))+1)))</f>
        <v>23</v>
      </c>
    </row>
    <row r="429" spans="1:14" x14ac:dyDescent="0.3">
      <c r="A429" s="4" t="str">
        <f>IF(ISNUMBER(SEARCH("World",'RawData'!C471)),"",'RawData'!A471)</f>
        <v>MCS2026</v>
      </c>
      <c r="B429" s="4" t="str">
        <f>IF(ISNUMBER(SEARCH("World",'RawData'!C471)),"",'RawData'!B471)</f>
        <v>Nitrogen</v>
      </c>
      <c r="C429" s="4" t="str">
        <f>IF(ISNUMBER(SEARCH("World",'RawData'!C471)),"",'RawData'!C471)</f>
        <v>Pakistan</v>
      </c>
      <c r="D429" s="4" t="str">
        <f>IF(ISNUMBER(SEARCH("World",'RawData'!C471)),"",'RawData'!D471)</f>
        <v>Plant production, nitrogen content</v>
      </c>
      <c r="E429" s="4" t="str">
        <f>IF(ISNUMBER(SEARCH("World",'RawData'!C471)),"",IF('RawData'!E471="WT001","kg",IF('RawData'!E471="WT002","ton",IF('RawData'!E471="WT003","k ton",""))))</f>
        <v>k ton</v>
      </c>
      <c r="F429" s="14">
        <f>IF(ISNUMBER(SEARCH("World",'RawData'!C471)),"",'RawData'!F471)</f>
        <v>3800</v>
      </c>
      <c r="G429" s="14">
        <f>IF(ISNUMBER(SEARCH("World",'RawData'!C471)),"",'RawData'!G471)</f>
        <v>3800</v>
      </c>
      <c r="H429" s="14">
        <f>IF(ISNUMBER(SEARCH("World",'RawData'!C471)),"",SUMIFS('RawData'!G:G,'RawData'!B:B,'RawData'!B471,'RawData'!C:C,"*World*"))</f>
        <v>160000</v>
      </c>
      <c r="I429" s="15">
        <f>IF(ISNUMBER(SEARCH("World",'RawData'!C471)),"",IFERROR(G429/H429,"-"))</f>
        <v>2.375E-2</v>
      </c>
      <c r="J429" s="7">
        <f>IF(ISNUMBER(SEARCH("World",'RawData'!C471)),"",IF(ISNUMBER(SEARCH("Other",C429)),COUNTIFS('RawData'!B:B,B429,'RawData'!C:C,"&lt;&gt;*World*"),IF(OR(G429="",G429=0),"-",SUMPRODUCT(('RawData'!B$2:B$822=B429)*('RawData'!G$2:G$822&gt;G429)*(ISERROR(SEARCH("World",'RawData'!C$2:C$822)))*(ISERROR(SEARCH("Other",'RawData'!C$2:C$822))))+1)))</f>
        <v>9</v>
      </c>
      <c r="K429" s="14">
        <f>IF(ISNUMBER(SEARCH("World",'RawData'!C471)),"",'RawData'!H471)</f>
        <v>0</v>
      </c>
      <c r="L429" s="14">
        <f>IF(ISNUMBER(SEARCH("World",'RawData'!C471)),"",SUMIFS('RawData'!H:H,'RawData'!B:B,'RawData'!B471,'RawData'!C:C,"*World*"))</f>
        <v>0</v>
      </c>
      <c r="M429" s="15" t="str">
        <f>IF(ISNUMBER(SEARCH("World",'RawData'!C471)),"",IFERROR(K429/L429,"-"))</f>
        <v>-</v>
      </c>
      <c r="N429" s="7" t="str">
        <f>IF(ISNUMBER(SEARCH("World",'RawData'!C471)),"",IF(ISNUMBER(SEARCH("Other",C429)),COUNTIFS('RawData'!B:B,B429,'RawData'!C:C,"&lt;&gt;*World*"),IF(OR(K429="",K429=0),"-",SUMPRODUCT(('RawData'!B$2:B$822=B429)*('RawData'!H$2:H$822&gt;K429)*(ISERROR(SEARCH("World",'RawData'!C$2:C$822)))*(ISERROR(SEARCH("Other",'RawData'!C$2:C$822))))+1)))</f>
        <v>-</v>
      </c>
    </row>
    <row r="430" spans="1:14" x14ac:dyDescent="0.3">
      <c r="A430" s="4" t="str">
        <f>IF(ISNUMBER(SEARCH("World",'RawData'!C472)),"",'RawData'!A472)</f>
        <v>MCS2026</v>
      </c>
      <c r="B430" s="4" t="str">
        <f>IF(ISNUMBER(SEARCH("World",'RawData'!C472)),"",'RawData'!B472)</f>
        <v>Nitrogen</v>
      </c>
      <c r="C430" s="4" t="str">
        <f>IF(ISNUMBER(SEARCH("World",'RawData'!C472)),"",'RawData'!C472)</f>
        <v>Poland</v>
      </c>
      <c r="D430" s="4" t="str">
        <f>IF(ISNUMBER(SEARCH("World",'RawData'!C472)),"",'RawData'!D472)</f>
        <v>Plant production, nitrogen content</v>
      </c>
      <c r="E430" s="4" t="str">
        <f>IF(ISNUMBER(SEARCH("World",'RawData'!C472)),"",IF('RawData'!E472="WT001","kg",IF('RawData'!E472="WT002","ton",IF('RawData'!E472="WT003","k ton",""))))</f>
        <v>k ton</v>
      </c>
      <c r="F430" s="14">
        <f>IF(ISNUMBER(SEARCH("World",'RawData'!C472)),"",'RawData'!F472)</f>
        <v>1700</v>
      </c>
      <c r="G430" s="14">
        <f>IF(ISNUMBER(SEARCH("World",'RawData'!C472)),"",'RawData'!G472)</f>
        <v>1700</v>
      </c>
      <c r="H430" s="14">
        <f>IF(ISNUMBER(SEARCH("World",'RawData'!C472)),"",SUMIFS('RawData'!G:G,'RawData'!B:B,'RawData'!B472,'RawData'!C:C,"*World*"))</f>
        <v>160000</v>
      </c>
      <c r="I430" s="15">
        <f>IF(ISNUMBER(SEARCH("World",'RawData'!C472)),"",IFERROR(G430/H430,"-"))</f>
        <v>1.0625000000000001E-2</v>
      </c>
      <c r="J430" s="7">
        <f>IF(ISNUMBER(SEARCH("World",'RawData'!C472)),"",IF(ISNUMBER(SEARCH("Other",C430)),COUNTIFS('RawData'!B:B,B430,'RawData'!C:C,"&lt;&gt;*World*"),IF(OR(G430="",G430=0),"-",SUMPRODUCT(('RawData'!B$2:B$822=B430)*('RawData'!G$2:G$822&gt;G430)*(ISERROR(SEARCH("World",'RawData'!C$2:C$822)))*(ISERROR(SEARCH("Other",'RawData'!C$2:C$822))))+1)))</f>
        <v>18</v>
      </c>
      <c r="K430" s="14">
        <f>IF(ISNUMBER(SEARCH("World",'RawData'!C472)),"",'RawData'!H472)</f>
        <v>0</v>
      </c>
      <c r="L430" s="14">
        <f>IF(ISNUMBER(SEARCH("World",'RawData'!C472)),"",SUMIFS('RawData'!H:H,'RawData'!B:B,'RawData'!B472,'RawData'!C:C,"*World*"))</f>
        <v>0</v>
      </c>
      <c r="M430" s="15" t="str">
        <f>IF(ISNUMBER(SEARCH("World",'RawData'!C472)),"",IFERROR(K430/L430,"-"))</f>
        <v>-</v>
      </c>
      <c r="N430" s="7" t="str">
        <f>IF(ISNUMBER(SEARCH("World",'RawData'!C472)),"",IF(ISNUMBER(SEARCH("Other",C430)),COUNTIFS('RawData'!B:B,B430,'RawData'!C:C,"&lt;&gt;*World*"),IF(OR(K430="",K430=0),"-",SUMPRODUCT(('RawData'!B$2:B$822=B430)*('RawData'!H$2:H$822&gt;K430)*(ISERROR(SEARCH("World",'RawData'!C$2:C$822)))*(ISERROR(SEARCH("Other",'RawData'!C$2:C$822))))+1)))</f>
        <v>-</v>
      </c>
    </row>
    <row r="431" spans="1:14" x14ac:dyDescent="0.3">
      <c r="A431" s="4" t="str">
        <f>IF(ISNUMBER(SEARCH("World",'RawData'!C473)),"",'RawData'!A473)</f>
        <v>MCS2026</v>
      </c>
      <c r="B431" s="4" t="str">
        <f>IF(ISNUMBER(SEARCH("World",'RawData'!C473)),"",'RawData'!B473)</f>
        <v>Nitrogen</v>
      </c>
      <c r="C431" s="4" t="str">
        <f>IF(ISNUMBER(SEARCH("World",'RawData'!C473)),"",'RawData'!C473)</f>
        <v>Qatar</v>
      </c>
      <c r="D431" s="4" t="str">
        <f>IF(ISNUMBER(SEARCH("World",'RawData'!C473)),"",'RawData'!D473)</f>
        <v>Plant production, nitrogen content</v>
      </c>
      <c r="E431" s="4" t="str">
        <f>IF(ISNUMBER(SEARCH("World",'RawData'!C473)),"",IF('RawData'!E473="WT001","kg",IF('RawData'!E473="WT002","ton",IF('RawData'!E473="WT003","k ton",""))))</f>
        <v>k ton</v>
      </c>
      <c r="F431" s="14">
        <f>IF(ISNUMBER(SEARCH("World",'RawData'!C473)),"",'RawData'!F473)</f>
        <v>3040</v>
      </c>
      <c r="G431" s="14">
        <f>IF(ISNUMBER(SEARCH("World",'RawData'!C473)),"",'RawData'!G473)</f>
        <v>3000</v>
      </c>
      <c r="H431" s="14">
        <f>IF(ISNUMBER(SEARCH("World",'RawData'!C473)),"",SUMIFS('RawData'!G:G,'RawData'!B:B,'RawData'!B473,'RawData'!C:C,"*World*"))</f>
        <v>160000</v>
      </c>
      <c r="I431" s="15">
        <f>IF(ISNUMBER(SEARCH("World",'RawData'!C473)),"",IFERROR(G431/H431,"-"))</f>
        <v>1.8749999999999999E-2</v>
      </c>
      <c r="J431" s="7">
        <f>IF(ISNUMBER(SEARCH("World",'RawData'!C473)),"",IF(ISNUMBER(SEARCH("Other",C431)),COUNTIFS('RawData'!B:B,B431,'RawData'!C:C,"&lt;&gt;*World*"),IF(OR(G431="",G431=0),"-",SUMPRODUCT(('RawData'!B$2:B$822=B431)*('RawData'!G$2:G$822&gt;G431)*(ISERROR(SEARCH("World",'RawData'!C$2:C$822)))*(ISERROR(SEARCH("Other",'RawData'!C$2:C$822))))+1)))</f>
        <v>12</v>
      </c>
      <c r="K431" s="14">
        <f>IF(ISNUMBER(SEARCH("World",'RawData'!C473)),"",'RawData'!H473)</f>
        <v>0</v>
      </c>
      <c r="L431" s="14">
        <f>IF(ISNUMBER(SEARCH("World",'RawData'!C473)),"",SUMIFS('RawData'!H:H,'RawData'!B:B,'RawData'!B473,'RawData'!C:C,"*World*"))</f>
        <v>0</v>
      </c>
      <c r="M431" s="15" t="str">
        <f>IF(ISNUMBER(SEARCH("World",'RawData'!C473)),"",IFERROR(K431/L431,"-"))</f>
        <v>-</v>
      </c>
      <c r="N431" s="7" t="str">
        <f>IF(ISNUMBER(SEARCH("World",'RawData'!C473)),"",IF(ISNUMBER(SEARCH("Other",C431)),COUNTIFS('RawData'!B:B,B431,'RawData'!C:C,"&lt;&gt;*World*"),IF(OR(K431="",K431=0),"-",SUMPRODUCT(('RawData'!B$2:B$822=B431)*('RawData'!H$2:H$822&gt;K431)*(ISERROR(SEARCH("World",'RawData'!C$2:C$822)))*(ISERROR(SEARCH("Other",'RawData'!C$2:C$822))))+1)))</f>
        <v>-</v>
      </c>
    </row>
    <row r="432" spans="1:14" x14ac:dyDescent="0.3">
      <c r="A432" s="4" t="str">
        <f>IF(ISNUMBER(SEARCH("World",'RawData'!C474)),"",'RawData'!A474)</f>
        <v>MCS2026</v>
      </c>
      <c r="B432" s="4" t="str">
        <f>IF(ISNUMBER(SEARCH("World",'RawData'!C474)),"",'RawData'!B474)</f>
        <v>Nitrogen</v>
      </c>
      <c r="C432" s="4" t="str">
        <f>IF(ISNUMBER(SEARCH("World",'RawData'!C474)),"",'RawData'!C474)</f>
        <v xml:space="preserve">Russia </v>
      </c>
      <c r="D432" s="4" t="str">
        <f>IF(ISNUMBER(SEARCH("World",'RawData'!C474)),"",'RawData'!D474)</f>
        <v>Plant production, nitrogen content</v>
      </c>
      <c r="E432" s="4" t="str">
        <f>IF(ISNUMBER(SEARCH("World",'RawData'!C474)),"",IF('RawData'!E474="WT001","kg",IF('RawData'!E474="WT002","ton",IF('RawData'!E474="WT003","k ton",""))))</f>
        <v>k ton</v>
      </c>
      <c r="F432" s="14">
        <f>IF(ISNUMBER(SEARCH("World",'RawData'!C474)),"",'RawData'!F474)</f>
        <v>15000</v>
      </c>
      <c r="G432" s="14">
        <f>IF(ISNUMBER(SEARCH("World",'RawData'!C474)),"",'RawData'!G474)</f>
        <v>15000</v>
      </c>
      <c r="H432" s="14">
        <f>IF(ISNUMBER(SEARCH("World",'RawData'!C474)),"",SUMIFS('RawData'!G:G,'RawData'!B:B,'RawData'!B474,'RawData'!C:C,"*World*"))</f>
        <v>160000</v>
      </c>
      <c r="I432" s="15">
        <f>IF(ISNUMBER(SEARCH("World",'RawData'!C474)),"",IFERROR(G432/H432,"-"))</f>
        <v>9.375E-2</v>
      </c>
      <c r="J432" s="7">
        <f>IF(ISNUMBER(SEARCH("World",'RawData'!C474)),"",IF(ISNUMBER(SEARCH("Other",C432)),COUNTIFS('RawData'!B:B,B432,'RawData'!C:C,"&lt;&gt;*World*"),IF(OR(G432="",G432=0),"-",SUMPRODUCT(('RawData'!B$2:B$822=B432)*('RawData'!G$2:G$822&gt;G432)*(ISERROR(SEARCH("World",'RawData'!C$2:C$822)))*(ISERROR(SEARCH("Other",'RawData'!C$2:C$822))))+1)))</f>
        <v>2</v>
      </c>
      <c r="K432" s="14">
        <f>IF(ISNUMBER(SEARCH("World",'RawData'!C474)),"",'RawData'!H474)</f>
        <v>0</v>
      </c>
      <c r="L432" s="14">
        <f>IF(ISNUMBER(SEARCH("World",'RawData'!C474)),"",SUMIFS('RawData'!H:H,'RawData'!B:B,'RawData'!B474,'RawData'!C:C,"*World*"))</f>
        <v>0</v>
      </c>
      <c r="M432" s="15" t="str">
        <f>IF(ISNUMBER(SEARCH("World",'RawData'!C474)),"",IFERROR(K432/L432,"-"))</f>
        <v>-</v>
      </c>
      <c r="N432" s="7" t="str">
        <f>IF(ISNUMBER(SEARCH("World",'RawData'!C474)),"",IF(ISNUMBER(SEARCH("Other",C432)),COUNTIFS('RawData'!B:B,B432,'RawData'!C:C,"&lt;&gt;*World*"),IF(OR(K432="",K432=0),"-",SUMPRODUCT(('RawData'!B$2:B$822=B432)*('RawData'!H$2:H$822&gt;K432)*(ISERROR(SEARCH("World",'RawData'!C$2:C$822)))*(ISERROR(SEARCH("Other",'RawData'!C$2:C$822))))+1)))</f>
        <v>-</v>
      </c>
    </row>
    <row r="433" spans="1:14" x14ac:dyDescent="0.3">
      <c r="A433" s="4" t="str">
        <f>IF(ISNUMBER(SEARCH("World",'RawData'!C475)),"",'RawData'!A475)</f>
        <v>MCS2026</v>
      </c>
      <c r="B433" s="4" t="str">
        <f>IF(ISNUMBER(SEARCH("World",'RawData'!C475)),"",'RawData'!B475)</f>
        <v>Nitrogen</v>
      </c>
      <c r="C433" s="4" t="str">
        <f>IF(ISNUMBER(SEARCH("World",'RawData'!C475)),"",'RawData'!C475)</f>
        <v>Saudi Arabia</v>
      </c>
      <c r="D433" s="4" t="str">
        <f>IF(ISNUMBER(SEARCH("World",'RawData'!C475)),"",'RawData'!D475)</f>
        <v>Plant production, nitrogen content</v>
      </c>
      <c r="E433" s="4" t="str">
        <f>IF(ISNUMBER(SEARCH("World",'RawData'!C475)),"",IF('RawData'!E475="WT001","kg",IF('RawData'!E475="WT002","ton",IF('RawData'!E475="WT003","k ton",""))))</f>
        <v>k ton</v>
      </c>
      <c r="F433" s="14">
        <f>IF(ISNUMBER(SEARCH("World",'RawData'!C475)),"",'RawData'!F475)</f>
        <v>5200</v>
      </c>
      <c r="G433" s="14">
        <f>IF(ISNUMBER(SEARCH("World",'RawData'!C475)),"",'RawData'!G475)</f>
        <v>5200</v>
      </c>
      <c r="H433" s="14">
        <f>IF(ISNUMBER(SEARCH("World",'RawData'!C475)),"",SUMIFS('RawData'!G:G,'RawData'!B:B,'RawData'!B475,'RawData'!C:C,"*World*"))</f>
        <v>160000</v>
      </c>
      <c r="I433" s="15">
        <f>IF(ISNUMBER(SEARCH("World",'RawData'!C475)),"",IFERROR(G433/H433,"-"))</f>
        <v>3.2500000000000001E-2</v>
      </c>
      <c r="J433" s="7">
        <f>IF(ISNUMBER(SEARCH("World",'RawData'!C475)),"",IF(ISNUMBER(SEARCH("Other",C433)),COUNTIFS('RawData'!B:B,B433,'RawData'!C:C,"&lt;&gt;*World*"),IF(OR(G433="",G433=0),"-",SUMPRODUCT(('RawData'!B$2:B$822=B433)*('RawData'!G$2:G$822&gt;G433)*(ISERROR(SEARCH("World",'RawData'!C$2:C$822)))*(ISERROR(SEARCH("Other",'RawData'!C$2:C$822))))+1)))</f>
        <v>6</v>
      </c>
      <c r="K433" s="14">
        <f>IF(ISNUMBER(SEARCH("World",'RawData'!C475)),"",'RawData'!H475)</f>
        <v>0</v>
      </c>
      <c r="L433" s="14">
        <f>IF(ISNUMBER(SEARCH("World",'RawData'!C475)),"",SUMIFS('RawData'!H:H,'RawData'!B:B,'RawData'!B475,'RawData'!C:C,"*World*"))</f>
        <v>0</v>
      </c>
      <c r="M433" s="15" t="str">
        <f>IF(ISNUMBER(SEARCH("World",'RawData'!C475)),"",IFERROR(K433/L433,"-"))</f>
        <v>-</v>
      </c>
      <c r="N433" s="7" t="str">
        <f>IF(ISNUMBER(SEARCH("World",'RawData'!C475)),"",IF(ISNUMBER(SEARCH("Other",C433)),COUNTIFS('RawData'!B:B,B433,'RawData'!C:C,"&lt;&gt;*World*"),IF(OR(K433="",K433=0),"-",SUMPRODUCT(('RawData'!B$2:B$822=B433)*('RawData'!H$2:H$822&gt;K433)*(ISERROR(SEARCH("World",'RawData'!C$2:C$822)))*(ISERROR(SEARCH("Other",'RawData'!C$2:C$822))))+1)))</f>
        <v>-</v>
      </c>
    </row>
    <row r="434" spans="1:14" x14ac:dyDescent="0.3">
      <c r="A434" s="4" t="str">
        <f>IF(ISNUMBER(SEARCH("World",'RawData'!C476)),"",'RawData'!A476)</f>
        <v>MCS2026</v>
      </c>
      <c r="B434" s="4" t="str">
        <f>IF(ISNUMBER(SEARCH("World",'RawData'!C476)),"",'RawData'!B476)</f>
        <v>Nitrogen</v>
      </c>
      <c r="C434" s="4" t="str">
        <f>IF(ISNUMBER(SEARCH("World",'RawData'!C476)),"",'RawData'!C476)</f>
        <v>Trinidad &amp; Tobago</v>
      </c>
      <c r="D434" s="4" t="str">
        <f>IF(ISNUMBER(SEARCH("World",'RawData'!C476)),"",'RawData'!D476)</f>
        <v>Plant production, nitrogen content</v>
      </c>
      <c r="E434" s="4" t="str">
        <f>IF(ISNUMBER(SEARCH("World",'RawData'!C476)),"",IF('RawData'!E476="WT001","kg",IF('RawData'!E476="WT002","ton",IF('RawData'!E476="WT003","k ton",""))))</f>
        <v>k ton</v>
      </c>
      <c r="F434" s="14">
        <f>IF(ISNUMBER(SEARCH("World",'RawData'!C476)),"",'RawData'!F476)</f>
        <v>3350</v>
      </c>
      <c r="G434" s="14">
        <f>IF(ISNUMBER(SEARCH("World",'RawData'!C476)),"",'RawData'!G476)</f>
        <v>3300</v>
      </c>
      <c r="H434" s="14">
        <f>IF(ISNUMBER(SEARCH("World",'RawData'!C476)),"",SUMIFS('RawData'!G:G,'RawData'!B:B,'RawData'!B476,'RawData'!C:C,"*World*"))</f>
        <v>160000</v>
      </c>
      <c r="I434" s="15">
        <f>IF(ISNUMBER(SEARCH("World",'RawData'!C476)),"",IFERROR(G434/H434,"-"))</f>
        <v>2.0625000000000001E-2</v>
      </c>
      <c r="J434" s="7">
        <f>IF(ISNUMBER(SEARCH("World",'RawData'!C476)),"",IF(ISNUMBER(SEARCH("Other",C434)),COUNTIFS('RawData'!B:B,B434,'RawData'!C:C,"&lt;&gt;*World*"),IF(OR(G434="",G434=0),"-",SUMPRODUCT(('RawData'!B$2:B$822=B434)*('RawData'!G$2:G$822&gt;G434)*(ISERROR(SEARCH("World",'RawData'!C$2:C$822)))*(ISERROR(SEARCH("Other",'RawData'!C$2:C$822))))+1)))</f>
        <v>11</v>
      </c>
      <c r="K434" s="14">
        <f>IF(ISNUMBER(SEARCH("World",'RawData'!C476)),"",'RawData'!H476)</f>
        <v>0</v>
      </c>
      <c r="L434" s="14">
        <f>IF(ISNUMBER(SEARCH("World",'RawData'!C476)),"",SUMIFS('RawData'!H:H,'RawData'!B:B,'RawData'!B476,'RawData'!C:C,"*World*"))</f>
        <v>0</v>
      </c>
      <c r="M434" s="15" t="str">
        <f>IF(ISNUMBER(SEARCH("World",'RawData'!C476)),"",IFERROR(K434/L434,"-"))</f>
        <v>-</v>
      </c>
      <c r="N434" s="7" t="str">
        <f>IF(ISNUMBER(SEARCH("World",'RawData'!C476)),"",IF(ISNUMBER(SEARCH("Other",C434)),COUNTIFS('RawData'!B:B,B434,'RawData'!C:C,"&lt;&gt;*World*"),IF(OR(K434="",K434=0),"-",SUMPRODUCT(('RawData'!B$2:B$822=B434)*('RawData'!H$2:H$822&gt;K434)*(ISERROR(SEARCH("World",'RawData'!C$2:C$822)))*(ISERROR(SEARCH("Other",'RawData'!C$2:C$822))))+1)))</f>
        <v>-</v>
      </c>
    </row>
    <row r="435" spans="1:14" x14ac:dyDescent="0.3">
      <c r="A435" s="4" t="str">
        <f>IF(ISNUMBER(SEARCH("World",'RawData'!C477)),"",'RawData'!A477)</f>
        <v>MCS2026</v>
      </c>
      <c r="B435" s="4" t="str">
        <f>IF(ISNUMBER(SEARCH("World",'RawData'!C477)),"",'RawData'!B477)</f>
        <v>Nitrogen</v>
      </c>
      <c r="C435" s="4" t="str">
        <f>IF(ISNUMBER(SEARCH("World",'RawData'!C477)),"",'RawData'!C477)</f>
        <v>United States</v>
      </c>
      <c r="D435" s="4" t="str">
        <f>IF(ISNUMBER(SEARCH("World",'RawData'!C477)),"",'RawData'!D477)</f>
        <v>Plant production, nitrogen content</v>
      </c>
      <c r="E435" s="4" t="str">
        <f>IF(ISNUMBER(SEARCH("World",'RawData'!C477)),"",IF('RawData'!E477="WT001","kg",IF('RawData'!E477="WT002","ton",IF('RawData'!E477="WT003","k ton",""))))</f>
        <v>k ton</v>
      </c>
      <c r="F435" s="14">
        <f>IF(ISNUMBER(SEARCH("World",'RawData'!C477)),"",'RawData'!F477)</f>
        <v>13600</v>
      </c>
      <c r="G435" s="14">
        <f>IF(ISNUMBER(SEARCH("World",'RawData'!C477)),"",'RawData'!G477)</f>
        <v>14000</v>
      </c>
      <c r="H435" s="14">
        <f>IF(ISNUMBER(SEARCH("World",'RawData'!C477)),"",SUMIFS('RawData'!G:G,'RawData'!B:B,'RawData'!B477,'RawData'!C:C,"*World*"))</f>
        <v>160000</v>
      </c>
      <c r="I435" s="15">
        <f>IF(ISNUMBER(SEARCH("World",'RawData'!C477)),"",IFERROR(G435/H435,"-"))</f>
        <v>8.7499999999999994E-2</v>
      </c>
      <c r="J435" s="7">
        <f>IF(ISNUMBER(SEARCH("World",'RawData'!C477)),"",IF(ISNUMBER(SEARCH("Other",C435)),COUNTIFS('RawData'!B:B,B435,'RawData'!C:C,"&lt;&gt;*World*"),IF(OR(G435="",G435=0),"-",SUMPRODUCT(('RawData'!B$2:B$822=B435)*('RawData'!G$2:G$822&gt;G435)*(ISERROR(SEARCH("World",'RawData'!C$2:C$822)))*(ISERROR(SEARCH("Other",'RawData'!C$2:C$822))))+1)))</f>
        <v>4</v>
      </c>
      <c r="K435" s="14">
        <f>IF(ISNUMBER(SEARCH("World",'RawData'!C477)),"",'RawData'!H477)</f>
        <v>0</v>
      </c>
      <c r="L435" s="14">
        <f>IF(ISNUMBER(SEARCH("World",'RawData'!C477)),"",SUMIFS('RawData'!H:H,'RawData'!B:B,'RawData'!B477,'RawData'!C:C,"*World*"))</f>
        <v>0</v>
      </c>
      <c r="M435" s="15" t="str">
        <f>IF(ISNUMBER(SEARCH("World",'RawData'!C477)),"",IFERROR(K435/L435,"-"))</f>
        <v>-</v>
      </c>
      <c r="N435" s="7" t="str">
        <f>IF(ISNUMBER(SEARCH("World",'RawData'!C477)),"",IF(ISNUMBER(SEARCH("Other",C435)),COUNTIFS('RawData'!B:B,B435,'RawData'!C:C,"&lt;&gt;*World*"),IF(OR(K435="",K435=0),"-",SUMPRODUCT(('RawData'!B$2:B$822=B435)*('RawData'!H$2:H$822&gt;K435)*(ISERROR(SEARCH("World",'RawData'!C$2:C$822)))*(ISERROR(SEARCH("Other",'RawData'!C$2:C$822))))+1)))</f>
        <v>-</v>
      </c>
    </row>
    <row r="436" spans="1:14" x14ac:dyDescent="0.3">
      <c r="A436" s="4" t="str">
        <f>IF(ISNUMBER(SEARCH("World",'RawData'!C478)),"",'RawData'!A478)</f>
        <v>MCS2026</v>
      </c>
      <c r="B436" s="4" t="str">
        <f>IF(ISNUMBER(SEARCH("World",'RawData'!C478)),"",'RawData'!B478)</f>
        <v>Nitrogen</v>
      </c>
      <c r="C436" s="4" t="str">
        <f>IF(ISNUMBER(SEARCH("World",'RawData'!C478)),"",'RawData'!C478)</f>
        <v>Uzbekistan</v>
      </c>
      <c r="D436" s="4" t="str">
        <f>IF(ISNUMBER(SEARCH("World",'RawData'!C478)),"",'RawData'!D478)</f>
        <v>Plant production, nitrogen content</v>
      </c>
      <c r="E436" s="4" t="str">
        <f>IF(ISNUMBER(SEARCH("World",'RawData'!C478)),"",IF('RawData'!E478="WT001","kg",IF('RawData'!E478="WT002","ton",IF('RawData'!E478="WT003","k ton",""))))</f>
        <v>k ton</v>
      </c>
      <c r="F436" s="14">
        <f>IF(ISNUMBER(SEARCH("World",'RawData'!C478)),"",'RawData'!F478)</f>
        <v>1200</v>
      </c>
      <c r="G436" s="14">
        <f>IF(ISNUMBER(SEARCH("World",'RawData'!C478)),"",'RawData'!G478)</f>
        <v>1300</v>
      </c>
      <c r="H436" s="14">
        <f>IF(ISNUMBER(SEARCH("World",'RawData'!C478)),"",SUMIFS('RawData'!G:G,'RawData'!B:B,'RawData'!B478,'RawData'!C:C,"*World*"))</f>
        <v>160000</v>
      </c>
      <c r="I436" s="15">
        <f>IF(ISNUMBER(SEARCH("World",'RawData'!C478)),"",IFERROR(G436/H436,"-"))</f>
        <v>8.1250000000000003E-3</v>
      </c>
      <c r="J436" s="7">
        <f>IF(ISNUMBER(SEARCH("World",'RawData'!C478)),"",IF(ISNUMBER(SEARCH("Other",C436)),COUNTIFS('RawData'!B:B,B436,'RawData'!C:C,"&lt;&gt;*World*"),IF(OR(G436="",G436=0),"-",SUMPRODUCT(('RawData'!B$2:B$822=B436)*('RawData'!G$2:G$822&gt;G436)*(ISERROR(SEARCH("World",'RawData'!C$2:C$822)))*(ISERROR(SEARCH("Other",'RawData'!C$2:C$822))))+1)))</f>
        <v>22</v>
      </c>
      <c r="K436" s="14">
        <f>IF(ISNUMBER(SEARCH("World",'RawData'!C478)),"",'RawData'!H478)</f>
        <v>0</v>
      </c>
      <c r="L436" s="14">
        <f>IF(ISNUMBER(SEARCH("World",'RawData'!C478)),"",SUMIFS('RawData'!H:H,'RawData'!B:B,'RawData'!B478,'RawData'!C:C,"*World*"))</f>
        <v>0</v>
      </c>
      <c r="M436" s="15" t="str">
        <f>IF(ISNUMBER(SEARCH("World",'RawData'!C478)),"",IFERROR(K436/L436,"-"))</f>
        <v>-</v>
      </c>
      <c r="N436" s="7" t="str">
        <f>IF(ISNUMBER(SEARCH("World",'RawData'!C478)),"",IF(ISNUMBER(SEARCH("Other",C436)),COUNTIFS('RawData'!B:B,B436,'RawData'!C:C,"&lt;&gt;*World*"),IF(OR(K436="",K436=0),"-",SUMPRODUCT(('RawData'!B$2:B$822=B436)*('RawData'!H$2:H$822&gt;K436)*(ISERROR(SEARCH("World",'RawData'!C$2:C$822)))*(ISERROR(SEARCH("Other",'RawData'!C$2:C$822))))+1)))</f>
        <v>-</v>
      </c>
    </row>
    <row r="437" spans="1:14" x14ac:dyDescent="0.3">
      <c r="A437" s="4" t="str">
        <f>IF(ISNUMBER(SEARCH("World",'RawData'!C479)),"",'RawData'!A479)</f>
        <v>MCS2026</v>
      </c>
      <c r="B437" s="4" t="str">
        <f>IF(ISNUMBER(SEARCH("World",'RawData'!C479)),"",'RawData'!B479)</f>
        <v>Nitrogen</v>
      </c>
      <c r="C437" s="4" t="str">
        <f>IF(ISNUMBER(SEARCH("World",'RawData'!C479)),"",'RawData'!C479)</f>
        <v>Vietnam</v>
      </c>
      <c r="D437" s="4" t="str">
        <f>IF(ISNUMBER(SEARCH("World",'RawData'!C479)),"",'RawData'!D479)</f>
        <v>Plant production, nitrogen content</v>
      </c>
      <c r="E437" s="4" t="str">
        <f>IF(ISNUMBER(SEARCH("World",'RawData'!C479)),"",IF('RawData'!E479="WT001","kg",IF('RawData'!E479="WT002","ton",IF('RawData'!E479="WT003","k ton",""))))</f>
        <v>k ton</v>
      </c>
      <c r="F437" s="14">
        <f>IF(ISNUMBER(SEARCH("World",'RawData'!C479)),"",'RawData'!F479)</f>
        <v>1440</v>
      </c>
      <c r="G437" s="14">
        <f>IF(ISNUMBER(SEARCH("World",'RawData'!C479)),"",'RawData'!G479)</f>
        <v>1400</v>
      </c>
      <c r="H437" s="14">
        <f>IF(ISNUMBER(SEARCH("World",'RawData'!C479)),"",SUMIFS('RawData'!G:G,'RawData'!B:B,'RawData'!B479,'RawData'!C:C,"*World*"))</f>
        <v>160000</v>
      </c>
      <c r="I437" s="15">
        <f>IF(ISNUMBER(SEARCH("World",'RawData'!C479)),"",IFERROR(G437/H437,"-"))</f>
        <v>8.7500000000000008E-3</v>
      </c>
      <c r="J437" s="7">
        <f>IF(ISNUMBER(SEARCH("World",'RawData'!C479)),"",IF(ISNUMBER(SEARCH("Other",C437)),COUNTIFS('RawData'!B:B,B437,'RawData'!C:C,"&lt;&gt;*World*"),IF(OR(G437="",G437=0),"-",SUMPRODUCT(('RawData'!B$2:B$822=B437)*('RawData'!G$2:G$822&gt;G437)*(ISERROR(SEARCH("World",'RawData'!C$2:C$822)))*(ISERROR(SEARCH("Other",'RawData'!C$2:C$822))))+1)))</f>
        <v>21</v>
      </c>
      <c r="K437" s="14">
        <f>IF(ISNUMBER(SEARCH("World",'RawData'!C479)),"",'RawData'!H479)</f>
        <v>0</v>
      </c>
      <c r="L437" s="14">
        <f>IF(ISNUMBER(SEARCH("World",'RawData'!C479)),"",SUMIFS('RawData'!H:H,'RawData'!B:B,'RawData'!B479,'RawData'!C:C,"*World*"))</f>
        <v>0</v>
      </c>
      <c r="M437" s="15" t="str">
        <f>IF(ISNUMBER(SEARCH("World",'RawData'!C479)),"",IFERROR(K437/L437,"-"))</f>
        <v>-</v>
      </c>
      <c r="N437" s="7" t="str">
        <f>IF(ISNUMBER(SEARCH("World",'RawData'!C479)),"",IF(ISNUMBER(SEARCH("Other",C437)),COUNTIFS('RawData'!B:B,B437,'RawData'!C:C,"&lt;&gt;*World*"),IF(OR(K437="",K437=0),"-",SUMPRODUCT(('RawData'!B$2:B$822=B437)*('RawData'!H$2:H$822&gt;K437)*(ISERROR(SEARCH("World",'RawData'!C$2:C$822)))*(ISERROR(SEARCH("Other",'RawData'!C$2:C$822))))+1)))</f>
        <v>-</v>
      </c>
    </row>
    <row r="438" spans="1:14" x14ac:dyDescent="0.3">
      <c r="A438" s="4" t="str">
        <f>IF(ISNUMBER(SEARCH("World",'RawData'!C481)),"",'RawData'!A481)</f>
        <v>MCS2026</v>
      </c>
      <c r="B438" s="4" t="str">
        <f>IF(ISNUMBER(SEARCH("World",'RawData'!C481)),"",'RawData'!B481)</f>
        <v>Palladium</v>
      </c>
      <c r="C438" s="4" t="str">
        <f>IF(ISNUMBER(SEARCH("World",'RawData'!C481)),"",'RawData'!C481)</f>
        <v xml:space="preserve">Canada </v>
      </c>
      <c r="D438" s="4" t="str">
        <f>IF(ISNUMBER(SEARCH("World",'RawData'!C481)),"",'RawData'!D481)</f>
        <v>Mine production, Palladium content</v>
      </c>
      <c r="E438" s="4" t="str">
        <f>IF(ISNUMBER(SEARCH("World",'RawData'!C481)),"",IF('RawData'!E481="WT001","kg",IF('RawData'!E481="WT002","ton",IF('RawData'!E481="WT003","k ton",""))))</f>
        <v>kg</v>
      </c>
      <c r="F438" s="14">
        <f>IF(ISNUMBER(SEARCH("World",'RawData'!C481)),"",'RawData'!F481)</f>
        <v>17000</v>
      </c>
      <c r="G438" s="14">
        <f>IF(ISNUMBER(SEARCH("World",'RawData'!C481)),"",'RawData'!G481)</f>
        <v>16000</v>
      </c>
      <c r="H438" s="14">
        <f>IF(ISNUMBER(SEARCH("World",'RawData'!C481)),"",SUMIFS('RawData'!G:G,'RawData'!B:B,'RawData'!B481,'RawData'!C:C,"*World*"))</f>
        <v>190000</v>
      </c>
      <c r="I438" s="15">
        <f>IF(ISNUMBER(SEARCH("World",'RawData'!C481)),"",IFERROR(G438/H438,"-"))</f>
        <v>8.4210526315789472E-2</v>
      </c>
      <c r="J438" s="7">
        <f>IF(ISNUMBER(SEARCH("World",'RawData'!C481)),"",IF(ISNUMBER(SEARCH("Other",C438)),COUNTIFS('RawData'!B:B,B438,'RawData'!C:C,"&lt;&gt;*World*"),IF(OR(G438="",G438=0),"-",SUMPRODUCT(('RawData'!B$2:B$822=B438)*('RawData'!G$2:G$822&gt;G438)*(ISERROR(SEARCH("World",'RawData'!C$2:C$822)))*(ISERROR(SEARCH("Other",'RawData'!C$2:C$822))))+1)))</f>
        <v>3</v>
      </c>
      <c r="K438" s="14">
        <f>IF(ISNUMBER(SEARCH("World",'RawData'!C481)),"",'RawData'!H481)</f>
        <v>310000</v>
      </c>
      <c r="L438" s="14">
        <f>IF(ISNUMBER(SEARCH("World",'RawData'!C481)),"",SUMIFS('RawData'!H:H,'RawData'!B:B,'RawData'!B481,'RawData'!C:C,"*World*"))</f>
        <v>76000000</v>
      </c>
      <c r="M438" s="15">
        <f>IF(ISNUMBER(SEARCH("World",'RawData'!C481)),"",IFERROR(K438/L438,"-"))</f>
        <v>4.0789473684210526E-3</v>
      </c>
      <c r="N438" s="7">
        <f>IF(ISNUMBER(SEARCH("World",'RawData'!C481)),"",IF(ISNUMBER(SEARCH("Other",C438)),COUNTIFS('RawData'!B:B,B438,'RawData'!C:C,"&lt;&gt;*World*"),IF(OR(K438="",K438=0),"-",SUMPRODUCT(('RawData'!B$2:B$822=B438)*('RawData'!H$2:H$822&gt;K438)*(ISERROR(SEARCH("World",'RawData'!C$2:C$822)))*(ISERROR(SEARCH("Other",'RawData'!C$2:C$822))))+1)))</f>
        <v>5</v>
      </c>
    </row>
    <row r="439" spans="1:14" x14ac:dyDescent="0.3">
      <c r="A439" s="4" t="str">
        <f>IF(ISNUMBER(SEARCH("World",'RawData'!C482)),"",'RawData'!A482)</f>
        <v>MCS2026</v>
      </c>
      <c r="B439" s="4" t="str">
        <f>IF(ISNUMBER(SEARCH("World",'RawData'!C482)),"",'RawData'!B482)</f>
        <v>Palladium</v>
      </c>
      <c r="C439" s="4" t="str">
        <f>IF(ISNUMBER(SEARCH("World",'RawData'!C482)),"",'RawData'!C482)</f>
        <v>Other Countries</v>
      </c>
      <c r="D439" s="4" t="str">
        <f>IF(ISNUMBER(SEARCH("World",'RawData'!C482)),"",'RawData'!D482)</f>
        <v>Mine production, Palladium content</v>
      </c>
      <c r="E439" s="4" t="str">
        <f>IF(ISNUMBER(SEARCH("World",'RawData'!C482)),"",IF('RawData'!E482="WT001","kg",IF('RawData'!E482="WT002","ton",IF('RawData'!E482="WT003","k ton",""))))</f>
        <v>kg</v>
      </c>
      <c r="F439" s="14">
        <f>IF(ISNUMBER(SEARCH("World",'RawData'!C482)),"",'RawData'!F482)</f>
        <v>2897</v>
      </c>
      <c r="G439" s="14">
        <f>IF(ISNUMBER(SEARCH("World",'RawData'!C482)),"",'RawData'!G482)</f>
        <v>2900</v>
      </c>
      <c r="H439" s="14">
        <f>IF(ISNUMBER(SEARCH("World",'RawData'!C482)),"",SUMIFS('RawData'!G:G,'RawData'!B:B,'RawData'!B482,'RawData'!C:C,"*World*"))</f>
        <v>190000</v>
      </c>
      <c r="I439" s="15">
        <f>IF(ISNUMBER(SEARCH("World",'RawData'!C482)),"",IFERROR(G439/H439,"-"))</f>
        <v>1.5263157894736841E-2</v>
      </c>
      <c r="J439" s="7">
        <f>IF(ISNUMBER(SEARCH("World",'RawData'!C482)),"",IF(ISNUMBER(SEARCH("Other",C439)),COUNTIFS('RawData'!B:B,B439,'RawData'!C:C,"&lt;&gt;*World*"),IF(OR(G439="",G439=0),"-",SUMPRODUCT(('RawData'!B$2:B$822=B439)*('RawData'!G$2:G$822&gt;G439)*(ISERROR(SEARCH("World",'RawData'!C$2:C$822)))*(ISERROR(SEARCH("Other",'RawData'!C$2:C$822))))+1)))</f>
        <v>6</v>
      </c>
      <c r="K439" s="14">
        <f>IF(ISNUMBER(SEARCH("World",'RawData'!C482)),"",'RawData'!H482)</f>
        <v>0</v>
      </c>
      <c r="L439" s="14">
        <f>IF(ISNUMBER(SEARCH("World",'RawData'!C482)),"",SUMIFS('RawData'!H:H,'RawData'!B:B,'RawData'!B482,'RawData'!C:C,"*World*"))</f>
        <v>76000000</v>
      </c>
      <c r="M439" s="15">
        <f>IF(ISNUMBER(SEARCH("World",'RawData'!C482)),"",IFERROR(K439/L439,"-"))</f>
        <v>0</v>
      </c>
      <c r="N439" s="7">
        <f>IF(ISNUMBER(SEARCH("World",'RawData'!C482)),"",IF(ISNUMBER(SEARCH("Other",C439)),COUNTIFS('RawData'!B:B,B439,'RawData'!C:C,"&lt;&gt;*World*"),IF(OR(K439="",K439=0),"-",SUMPRODUCT(('RawData'!B$2:B$822=B439)*('RawData'!H$2:H$822&gt;K439)*(ISERROR(SEARCH("World",'RawData'!C$2:C$822)))*(ISERROR(SEARCH("Other",'RawData'!C$2:C$822))))+1)))</f>
        <v>6</v>
      </c>
    </row>
    <row r="440" spans="1:14" x14ac:dyDescent="0.3">
      <c r="A440" s="4" t="str">
        <f>IF(ISNUMBER(SEARCH("World",'RawData'!C483)),"",'RawData'!A483)</f>
        <v>MCS2026</v>
      </c>
      <c r="B440" s="4" t="str">
        <f>IF(ISNUMBER(SEARCH("World",'RawData'!C483)),"",'RawData'!B483)</f>
        <v>Palladium</v>
      </c>
      <c r="C440" s="4" t="str">
        <f>IF(ISNUMBER(SEARCH("World",'RawData'!C483)),"",'RawData'!C483)</f>
        <v xml:space="preserve">Russia </v>
      </c>
      <c r="D440" s="4" t="str">
        <f>IF(ISNUMBER(SEARCH("World",'RawData'!C483)),"",'RawData'!D483)</f>
        <v>Mine production, Palladium content</v>
      </c>
      <c r="E440" s="4" t="str">
        <f>IF(ISNUMBER(SEARCH("World",'RawData'!C483)),"",IF('RawData'!E483="WT001","kg",IF('RawData'!E483="WT002","ton",IF('RawData'!E483="WT003","k ton",""))))</f>
        <v>kg</v>
      </c>
      <c r="F440" s="14">
        <f>IF(ISNUMBER(SEARCH("World",'RawData'!C483)),"",'RawData'!F483)</f>
        <v>89000</v>
      </c>
      <c r="G440" s="14">
        <f>IF(ISNUMBER(SEARCH("World",'RawData'!C483)),"",'RawData'!G483)</f>
        <v>84000</v>
      </c>
      <c r="H440" s="14">
        <f>IF(ISNUMBER(SEARCH("World",'RawData'!C483)),"",SUMIFS('RawData'!G:G,'RawData'!B:B,'RawData'!B483,'RawData'!C:C,"*World*"))</f>
        <v>190000</v>
      </c>
      <c r="I440" s="15">
        <f>IF(ISNUMBER(SEARCH("World",'RawData'!C483)),"",IFERROR(G440/H440,"-"))</f>
        <v>0.44210526315789472</v>
      </c>
      <c r="J440" s="7">
        <f>IF(ISNUMBER(SEARCH("World",'RawData'!C483)),"",IF(ISNUMBER(SEARCH("Other",C440)),COUNTIFS('RawData'!B:B,B440,'RawData'!C:C,"&lt;&gt;*World*"),IF(OR(G440="",G440=0),"-",SUMPRODUCT(('RawData'!B$2:B$822=B440)*('RawData'!G$2:G$822&gt;G440)*(ISERROR(SEARCH("World",'RawData'!C$2:C$822)))*(ISERROR(SEARCH("Other",'RawData'!C$2:C$822))))+1)))</f>
        <v>1</v>
      </c>
      <c r="K440" s="14">
        <f>IF(ISNUMBER(SEARCH("World",'RawData'!C483)),"",'RawData'!H483)</f>
        <v>11000000</v>
      </c>
      <c r="L440" s="14">
        <f>IF(ISNUMBER(SEARCH("World",'RawData'!C483)),"",SUMIFS('RawData'!H:H,'RawData'!B:B,'RawData'!B483,'RawData'!C:C,"*World*"))</f>
        <v>76000000</v>
      </c>
      <c r="M440" s="15">
        <f>IF(ISNUMBER(SEARCH("World",'RawData'!C483)),"",IFERROR(K440/L440,"-"))</f>
        <v>0.14473684210526316</v>
      </c>
      <c r="N440" s="7">
        <f>IF(ISNUMBER(SEARCH("World",'RawData'!C483)),"",IF(ISNUMBER(SEARCH("Other",C440)),COUNTIFS('RawData'!B:B,B440,'RawData'!C:C,"&lt;&gt;*World*"),IF(OR(K440="",K440=0),"-",SUMPRODUCT(('RawData'!B$2:B$822=B440)*('RawData'!H$2:H$822&gt;K440)*(ISERROR(SEARCH("World",'RawData'!C$2:C$822)))*(ISERROR(SEARCH("Other",'RawData'!C$2:C$822))))+1)))</f>
        <v>2</v>
      </c>
    </row>
    <row r="441" spans="1:14" x14ac:dyDescent="0.3">
      <c r="A441" s="4" t="str">
        <f>IF(ISNUMBER(SEARCH("World",'RawData'!C484)),"",'RawData'!A484)</f>
        <v>MCS2026</v>
      </c>
      <c r="B441" s="4" t="str">
        <f>IF(ISNUMBER(SEARCH("World",'RawData'!C484)),"",'RawData'!B484)</f>
        <v>Palladium</v>
      </c>
      <c r="C441" s="4" t="str">
        <f>IF(ISNUMBER(SEARCH("World",'RawData'!C484)),"",'RawData'!C484)</f>
        <v xml:space="preserve">South Africa </v>
      </c>
      <c r="D441" s="4" t="str">
        <f>IF(ISNUMBER(SEARCH("World",'RawData'!C484)),"",'RawData'!D484)</f>
        <v>Mine production, Palladium content</v>
      </c>
      <c r="E441" s="4" t="str">
        <f>IF(ISNUMBER(SEARCH("World",'RawData'!C484)),"",IF('RawData'!E484="WT001","kg",IF('RawData'!E484="WT002","ton",IF('RawData'!E484="WT003","k ton",""))))</f>
        <v>kg</v>
      </c>
      <c r="F441" s="14">
        <f>IF(ISNUMBER(SEARCH("World",'RawData'!C484)),"",'RawData'!F484)</f>
        <v>82600</v>
      </c>
      <c r="G441" s="14">
        <f>IF(ISNUMBER(SEARCH("World",'RawData'!C484)),"",'RawData'!G484)</f>
        <v>70000</v>
      </c>
      <c r="H441" s="14">
        <f>IF(ISNUMBER(SEARCH("World",'RawData'!C484)),"",SUMIFS('RawData'!G:G,'RawData'!B:B,'RawData'!B484,'RawData'!C:C,"*World*"))</f>
        <v>190000</v>
      </c>
      <c r="I441" s="15">
        <f>IF(ISNUMBER(SEARCH("World",'RawData'!C484)),"",IFERROR(G441/H441,"-"))</f>
        <v>0.36842105263157893</v>
      </c>
      <c r="J441" s="7">
        <f>IF(ISNUMBER(SEARCH("World",'RawData'!C484)),"",IF(ISNUMBER(SEARCH("Other",C441)),COUNTIFS('RawData'!B:B,B441,'RawData'!C:C,"&lt;&gt;*World*"),IF(OR(G441="",G441=0),"-",SUMPRODUCT(('RawData'!B$2:B$822=B441)*('RawData'!G$2:G$822&gt;G441)*(ISERROR(SEARCH("World",'RawData'!C$2:C$822)))*(ISERROR(SEARCH("Other",'RawData'!C$2:C$822))))+1)))</f>
        <v>2</v>
      </c>
      <c r="K441" s="14">
        <f>IF(ISNUMBER(SEARCH("World",'RawData'!C484)),"",'RawData'!H484)</f>
        <v>63000000</v>
      </c>
      <c r="L441" s="14">
        <f>IF(ISNUMBER(SEARCH("World",'RawData'!C484)),"",SUMIFS('RawData'!H:H,'RawData'!B:B,'RawData'!B484,'RawData'!C:C,"*World*"))</f>
        <v>76000000</v>
      </c>
      <c r="M441" s="15">
        <f>IF(ISNUMBER(SEARCH("World",'RawData'!C484)),"",IFERROR(K441/L441,"-"))</f>
        <v>0.82894736842105265</v>
      </c>
      <c r="N441" s="7">
        <f>IF(ISNUMBER(SEARCH("World",'RawData'!C484)),"",IF(ISNUMBER(SEARCH("Other",C441)),COUNTIFS('RawData'!B:B,B441,'RawData'!C:C,"&lt;&gt;*World*"),IF(OR(K441="",K441=0),"-",SUMPRODUCT(('RawData'!B$2:B$822=B441)*('RawData'!H$2:H$822&gt;K441)*(ISERROR(SEARCH("World",'RawData'!C$2:C$822)))*(ISERROR(SEARCH("Other",'RawData'!C$2:C$822))))+1)))</f>
        <v>1</v>
      </c>
    </row>
    <row r="442" spans="1:14" x14ac:dyDescent="0.3">
      <c r="A442" s="4" t="str">
        <f>IF(ISNUMBER(SEARCH("World",'RawData'!C485)),"",'RawData'!A485)</f>
        <v>MCS2026</v>
      </c>
      <c r="B442" s="4" t="str">
        <f>IF(ISNUMBER(SEARCH("World",'RawData'!C485)),"",'RawData'!B485)</f>
        <v>Palladium</v>
      </c>
      <c r="C442" s="4" t="str">
        <f>IF(ISNUMBER(SEARCH("World",'RawData'!C485)),"",'RawData'!C485)</f>
        <v>United States</v>
      </c>
      <c r="D442" s="4" t="str">
        <f>IF(ISNUMBER(SEARCH("World",'RawData'!C485)),"",'RawData'!D485)</f>
        <v>Mine production, Palladium content</v>
      </c>
      <c r="E442" s="4" t="str">
        <f>IF(ISNUMBER(SEARCH("World",'RawData'!C485)),"",IF('RawData'!E485="WT001","kg",IF('RawData'!E485="WT002","ton",IF('RawData'!E485="WT003","k ton",""))))</f>
        <v>kg</v>
      </c>
      <c r="F442" s="14">
        <f>IF(ISNUMBER(SEARCH("World",'RawData'!C485)),"",'RawData'!F485)</f>
        <v>10200</v>
      </c>
      <c r="G442" s="14">
        <f>IF(ISNUMBER(SEARCH("World",'RawData'!C485)),"",'RawData'!G485)</f>
        <v>6200</v>
      </c>
      <c r="H442" s="14">
        <f>IF(ISNUMBER(SEARCH("World",'RawData'!C485)),"",SUMIFS('RawData'!G:G,'RawData'!B:B,'RawData'!B485,'RawData'!C:C,"*World*"))</f>
        <v>190000</v>
      </c>
      <c r="I442" s="15">
        <f>IF(ISNUMBER(SEARCH("World",'RawData'!C485)),"",IFERROR(G442/H442,"-"))</f>
        <v>3.2631578947368421E-2</v>
      </c>
      <c r="J442" s="7">
        <f>IF(ISNUMBER(SEARCH("World",'RawData'!C485)),"",IF(ISNUMBER(SEARCH("Other",C442)),COUNTIFS('RawData'!B:B,B442,'RawData'!C:C,"&lt;&gt;*World*"),IF(OR(G442="",G442=0),"-",SUMPRODUCT(('RawData'!B$2:B$822=B442)*('RawData'!G$2:G$822&gt;G442)*(ISERROR(SEARCH("World",'RawData'!C$2:C$822)))*(ISERROR(SEARCH("Other",'RawData'!C$2:C$822))))+1)))</f>
        <v>5</v>
      </c>
      <c r="K442" s="14">
        <f>IF(ISNUMBER(SEARCH("World",'RawData'!C485)),"",'RawData'!H485)</f>
        <v>590000</v>
      </c>
      <c r="L442" s="14">
        <f>IF(ISNUMBER(SEARCH("World",'RawData'!C485)),"",SUMIFS('RawData'!H:H,'RawData'!B:B,'RawData'!B485,'RawData'!C:C,"*World*"))</f>
        <v>76000000</v>
      </c>
      <c r="M442" s="15">
        <f>IF(ISNUMBER(SEARCH("World",'RawData'!C485)),"",IFERROR(K442/L442,"-"))</f>
        <v>7.7631578947368425E-3</v>
      </c>
      <c r="N442" s="7">
        <f>IF(ISNUMBER(SEARCH("World",'RawData'!C485)),"",IF(ISNUMBER(SEARCH("Other",C442)),COUNTIFS('RawData'!B:B,B442,'RawData'!C:C,"&lt;&gt;*World*"),IF(OR(K442="",K442=0),"-",SUMPRODUCT(('RawData'!B$2:B$822=B442)*('RawData'!H$2:H$822&gt;K442)*(ISERROR(SEARCH("World",'RawData'!C$2:C$822)))*(ISERROR(SEARCH("Other",'RawData'!C$2:C$822))))+1)))</f>
        <v>4</v>
      </c>
    </row>
    <row r="443" spans="1:14" x14ac:dyDescent="0.3">
      <c r="A443" s="4" t="str">
        <f>IF(ISNUMBER(SEARCH("World",'RawData'!C487)),"",'RawData'!A487)</f>
        <v>MCS2026</v>
      </c>
      <c r="B443" s="4" t="str">
        <f>IF(ISNUMBER(SEARCH("World",'RawData'!C487)),"",'RawData'!B487)</f>
        <v>Palladium</v>
      </c>
      <c r="C443" s="4" t="str">
        <f>IF(ISNUMBER(SEARCH("World",'RawData'!C487)),"",'RawData'!C487)</f>
        <v>Zimbabwe</v>
      </c>
      <c r="D443" s="4" t="str">
        <f>IF(ISNUMBER(SEARCH("World",'RawData'!C487)),"",'RawData'!D487)</f>
        <v>Mine production, Palladium content</v>
      </c>
      <c r="E443" s="4" t="str">
        <f>IF(ISNUMBER(SEARCH("World",'RawData'!C487)),"",IF('RawData'!E487="WT001","kg",IF('RawData'!E487="WT002","ton",IF('RawData'!E487="WT003","k ton",""))))</f>
        <v>kg</v>
      </c>
      <c r="F443" s="14">
        <f>IF(ISNUMBER(SEARCH("World",'RawData'!C487)),"",'RawData'!F487)</f>
        <v>15200</v>
      </c>
      <c r="G443" s="14">
        <f>IF(ISNUMBER(SEARCH("World",'RawData'!C487)),"",'RawData'!G487)</f>
        <v>15000</v>
      </c>
      <c r="H443" s="14">
        <f>IF(ISNUMBER(SEARCH("World",'RawData'!C487)),"",SUMIFS('RawData'!G:G,'RawData'!B:B,'RawData'!B487,'RawData'!C:C,"*World*"))</f>
        <v>190000</v>
      </c>
      <c r="I443" s="15">
        <f>IF(ISNUMBER(SEARCH("World",'RawData'!C487)),"",IFERROR(G443/H443,"-"))</f>
        <v>7.8947368421052627E-2</v>
      </c>
      <c r="J443" s="7">
        <f>IF(ISNUMBER(SEARCH("World",'RawData'!C487)),"",IF(ISNUMBER(SEARCH("Other",C443)),COUNTIFS('RawData'!B:B,B443,'RawData'!C:C,"&lt;&gt;*World*"),IF(OR(G443="",G443=0),"-",SUMPRODUCT(('RawData'!B$2:B$822=B443)*('RawData'!G$2:G$822&gt;G443)*(ISERROR(SEARCH("World",'RawData'!C$2:C$822)))*(ISERROR(SEARCH("Other",'RawData'!C$2:C$822))))+1)))</f>
        <v>4</v>
      </c>
      <c r="K443" s="14">
        <f>IF(ISNUMBER(SEARCH("World",'RawData'!C487)),"",'RawData'!H487)</f>
        <v>1300000</v>
      </c>
      <c r="L443" s="14">
        <f>IF(ISNUMBER(SEARCH("World",'RawData'!C487)),"",SUMIFS('RawData'!H:H,'RawData'!B:B,'RawData'!B487,'RawData'!C:C,"*World*"))</f>
        <v>76000000</v>
      </c>
      <c r="M443" s="15">
        <f>IF(ISNUMBER(SEARCH("World",'RawData'!C487)),"",IFERROR(K443/L443,"-"))</f>
        <v>1.7105263157894738E-2</v>
      </c>
      <c r="N443" s="7">
        <f>IF(ISNUMBER(SEARCH("World",'RawData'!C487)),"",IF(ISNUMBER(SEARCH("Other",C443)),COUNTIFS('RawData'!B:B,B443,'RawData'!C:C,"&lt;&gt;*World*"),IF(OR(K443="",K443=0),"-",SUMPRODUCT(('RawData'!B$2:B$822=B443)*('RawData'!H$2:H$822&gt;K443)*(ISERROR(SEARCH("World",'RawData'!C$2:C$822)))*(ISERROR(SEARCH("Other",'RawData'!C$2:C$822))))+1)))</f>
        <v>3</v>
      </c>
    </row>
    <row r="444" spans="1:14" x14ac:dyDescent="0.3">
      <c r="A444" s="4" t="str">
        <f>IF(ISNUMBER(SEARCH("World",'RawData'!C488)),"",'RawData'!A488)</f>
        <v>MCS2026</v>
      </c>
      <c r="B444" s="4" t="str">
        <f>IF(ISNUMBER(SEARCH("World",'RawData'!C488)),"",'RawData'!B488)</f>
        <v>Perlite</v>
      </c>
      <c r="C444" s="4" t="str">
        <f>IF(ISNUMBER(SEARCH("World",'RawData'!C488)),"",'RawData'!C488)</f>
        <v>Argentina</v>
      </c>
      <c r="D444" s="4" t="str">
        <f>IF(ISNUMBER(SEARCH("World",'RawData'!C488)),"",'RawData'!D488)</f>
        <v>Mine production, estimated</v>
      </c>
      <c r="E444" s="4" t="str">
        <f>IF(ISNUMBER(SEARCH("World",'RawData'!C488)),"",IF('RawData'!E488="WT001","kg",IF('RawData'!E488="WT002","ton",IF('RawData'!E488="WT003","k ton",""))))</f>
        <v>k ton</v>
      </c>
      <c r="F444" s="14">
        <f>IF(ISNUMBER(SEARCH("World",'RawData'!C488)),"",'RawData'!F488)</f>
        <v>32</v>
      </c>
      <c r="G444" s="14">
        <f>IF(ISNUMBER(SEARCH("World",'RawData'!C488)),"",'RawData'!G488)</f>
        <v>30</v>
      </c>
      <c r="H444" s="14">
        <f>IF(ISNUMBER(SEARCH("World",'RawData'!C488)),"",SUMIFS('RawData'!G:G,'RawData'!B:B,'RawData'!B488,'RawData'!C:C,"*World*"))</f>
        <v>4600</v>
      </c>
      <c r="I444" s="15">
        <f>IF(ISNUMBER(SEARCH("World",'RawData'!C488)),"",IFERROR(G444/H444,"-"))</f>
        <v>6.5217391304347823E-3</v>
      </c>
      <c r="J444" s="7">
        <f>IF(ISNUMBER(SEARCH("World",'RawData'!C488)),"",IF(ISNUMBER(SEARCH("Other",C444)),COUNTIFS('RawData'!B:B,B444,'RawData'!C:C,"&lt;&gt;*World*"),IF(OR(G444="",G444=0),"-",SUMPRODUCT(('RawData'!B$2:B$822=B444)*('RawData'!G$2:G$822&gt;G444)*(ISERROR(SEARCH("World",'RawData'!C$2:C$822)))*(ISERROR(SEARCH("Other",'RawData'!C$2:C$822))))+1)))</f>
        <v>9</v>
      </c>
      <c r="K444" s="14">
        <f>IF(ISNUMBER(SEARCH("World",'RawData'!C488)),"",'RawData'!H488)</f>
        <v>0</v>
      </c>
      <c r="L444" s="14">
        <f>IF(ISNUMBER(SEARCH("World",'RawData'!C488)),"",SUMIFS('RawData'!H:H,'RawData'!B:B,'RawData'!B488,'RawData'!C:C,"*World*"))</f>
        <v>0</v>
      </c>
      <c r="M444" s="15" t="str">
        <f>IF(ISNUMBER(SEARCH("World",'RawData'!C488)),"",IFERROR(K444/L444,"-"))</f>
        <v>-</v>
      </c>
      <c r="N444" s="7" t="str">
        <f>IF(ISNUMBER(SEARCH("World",'RawData'!C488)),"",IF(ISNUMBER(SEARCH("Other",C444)),COUNTIFS('RawData'!B:B,B444,'RawData'!C:C,"&lt;&gt;*World*"),IF(OR(K444="",K444=0),"-",SUMPRODUCT(('RawData'!B$2:B$822=B444)*('RawData'!H$2:H$822&gt;K444)*(ISERROR(SEARCH("World",'RawData'!C$2:C$822)))*(ISERROR(SEARCH("Other",'RawData'!C$2:C$822))))+1)))</f>
        <v>-</v>
      </c>
    </row>
    <row r="445" spans="1:14" x14ac:dyDescent="0.3">
      <c r="A445" s="4" t="str">
        <f>IF(ISNUMBER(SEARCH("World",'RawData'!C489)),"",'RawData'!A489)</f>
        <v>MCS2026</v>
      </c>
      <c r="B445" s="4" t="str">
        <f>IF(ISNUMBER(SEARCH("World",'RawData'!C489)),"",'RawData'!B489)</f>
        <v>Perlite</v>
      </c>
      <c r="C445" s="4" t="str">
        <f>IF(ISNUMBER(SEARCH("World",'RawData'!C489)),"",'RawData'!C489)</f>
        <v>Armenia</v>
      </c>
      <c r="D445" s="4" t="str">
        <f>IF(ISNUMBER(SEARCH("World",'RawData'!C489)),"",'RawData'!D489)</f>
        <v>Mine production, estimated</v>
      </c>
      <c r="E445" s="4" t="str">
        <f>IF(ISNUMBER(SEARCH("World",'RawData'!C489)),"",IF('RawData'!E489="WT001","kg",IF('RawData'!E489="WT002","ton",IF('RawData'!E489="WT003","k ton",""))))</f>
        <v>k ton</v>
      </c>
      <c r="F445" s="14">
        <f>IF(ISNUMBER(SEARCH("World",'RawData'!C489)),"",'RawData'!F489)</f>
        <v>29</v>
      </c>
      <c r="G445" s="14">
        <f>IF(ISNUMBER(SEARCH("World",'RawData'!C489)),"",'RawData'!G489)</f>
        <v>30</v>
      </c>
      <c r="H445" s="14">
        <f>IF(ISNUMBER(SEARCH("World",'RawData'!C489)),"",SUMIFS('RawData'!G:G,'RawData'!B:B,'RawData'!B489,'RawData'!C:C,"*World*"))</f>
        <v>4600</v>
      </c>
      <c r="I445" s="15">
        <f>IF(ISNUMBER(SEARCH("World",'RawData'!C489)),"",IFERROR(G445/H445,"-"))</f>
        <v>6.5217391304347823E-3</v>
      </c>
      <c r="J445" s="7">
        <f>IF(ISNUMBER(SEARCH("World",'RawData'!C489)),"",IF(ISNUMBER(SEARCH("Other",C445)),COUNTIFS('RawData'!B:B,B445,'RawData'!C:C,"&lt;&gt;*World*"),IF(OR(G445="",G445=0),"-",SUMPRODUCT(('RawData'!B$2:B$822=B445)*('RawData'!G$2:G$822&gt;G445)*(ISERROR(SEARCH("World",'RawData'!C$2:C$822)))*(ISERROR(SEARCH("Other",'RawData'!C$2:C$822))))+1)))</f>
        <v>9</v>
      </c>
      <c r="K445" s="14">
        <f>IF(ISNUMBER(SEARCH("World",'RawData'!C489)),"",'RawData'!H489)</f>
        <v>0</v>
      </c>
      <c r="L445" s="14">
        <f>IF(ISNUMBER(SEARCH("World",'RawData'!C489)),"",SUMIFS('RawData'!H:H,'RawData'!B:B,'RawData'!B489,'RawData'!C:C,"*World*"))</f>
        <v>0</v>
      </c>
      <c r="M445" s="15" t="str">
        <f>IF(ISNUMBER(SEARCH("World",'RawData'!C489)),"",IFERROR(K445/L445,"-"))</f>
        <v>-</v>
      </c>
      <c r="N445" s="7" t="str">
        <f>IF(ISNUMBER(SEARCH("World",'RawData'!C489)),"",IF(ISNUMBER(SEARCH("Other",C445)),COUNTIFS('RawData'!B:B,B445,'RawData'!C:C,"&lt;&gt;*World*"),IF(OR(K445="",K445=0),"-",SUMPRODUCT(('RawData'!B$2:B$822=B445)*('RawData'!H$2:H$822&gt;K445)*(ISERROR(SEARCH("World",'RawData'!C$2:C$822)))*(ISERROR(SEARCH("Other",'RawData'!C$2:C$822))))+1)))</f>
        <v>-</v>
      </c>
    </row>
    <row r="446" spans="1:14" x14ac:dyDescent="0.3">
      <c r="A446" s="4" t="str">
        <f>IF(ISNUMBER(SEARCH("World",'RawData'!C490)),"",'RawData'!A490)</f>
        <v>MCS2026</v>
      </c>
      <c r="B446" s="4" t="str">
        <f>IF(ISNUMBER(SEARCH("World",'RawData'!C490)),"",'RawData'!B490)</f>
        <v>Perlite</v>
      </c>
      <c r="C446" s="4" t="str">
        <f>IF(ISNUMBER(SEARCH("World",'RawData'!C490)),"",'RawData'!C490)</f>
        <v>China</v>
      </c>
      <c r="D446" s="4" t="str">
        <f>IF(ISNUMBER(SEARCH("World",'RawData'!C490)),"",'RawData'!D490)</f>
        <v>Mine production, estimated</v>
      </c>
      <c r="E446" s="4" t="str">
        <f>IF(ISNUMBER(SEARCH("World",'RawData'!C490)),"",IF('RawData'!E490="WT001","kg",IF('RawData'!E490="WT002","ton",IF('RawData'!E490="WT003","k ton",""))))</f>
        <v>k ton</v>
      </c>
      <c r="F446" s="14">
        <f>IF(ISNUMBER(SEARCH("World",'RawData'!C490)),"",'RawData'!F490)</f>
        <v>1500</v>
      </c>
      <c r="G446" s="14">
        <f>IF(ISNUMBER(SEARCH("World",'RawData'!C490)),"",'RawData'!G490)</f>
        <v>1500</v>
      </c>
      <c r="H446" s="14">
        <f>IF(ISNUMBER(SEARCH("World",'RawData'!C490)),"",SUMIFS('RawData'!G:G,'RawData'!B:B,'RawData'!B490,'RawData'!C:C,"*World*"))</f>
        <v>4600</v>
      </c>
      <c r="I446" s="15">
        <f>IF(ISNUMBER(SEARCH("World",'RawData'!C490)),"",IFERROR(G446/H446,"-"))</f>
        <v>0.32608695652173914</v>
      </c>
      <c r="J446" s="7">
        <f>IF(ISNUMBER(SEARCH("World",'RawData'!C490)),"",IF(ISNUMBER(SEARCH("Other",C446)),COUNTIFS('RawData'!B:B,B446,'RawData'!C:C,"&lt;&gt;*World*"),IF(OR(G446="",G446=0),"-",SUMPRODUCT(('RawData'!B$2:B$822=B446)*('RawData'!G$2:G$822&gt;G446)*(ISERROR(SEARCH("World",'RawData'!C$2:C$822)))*(ISERROR(SEARCH("Other",'RawData'!C$2:C$822))))+1)))</f>
        <v>1</v>
      </c>
      <c r="K446" s="14">
        <f>IF(ISNUMBER(SEARCH("World",'RawData'!C490)),"",'RawData'!H490)</f>
        <v>32000</v>
      </c>
      <c r="L446" s="14">
        <f>IF(ISNUMBER(SEARCH("World",'RawData'!C490)),"",SUMIFS('RawData'!H:H,'RawData'!B:B,'RawData'!B490,'RawData'!C:C,"*World*"))</f>
        <v>0</v>
      </c>
      <c r="M446" s="15" t="str">
        <f>IF(ISNUMBER(SEARCH("World",'RawData'!C490)),"",IFERROR(K446/L446,"-"))</f>
        <v>-</v>
      </c>
      <c r="N446" s="7">
        <f>IF(ISNUMBER(SEARCH("World",'RawData'!C490)),"",IF(ISNUMBER(SEARCH("Other",C446)),COUNTIFS('RawData'!B:B,B446,'RawData'!C:C,"&lt;&gt;*World*"),IF(OR(K446="",K446=0),"-",SUMPRODUCT(('RawData'!B$2:B$822=B446)*('RawData'!H$2:H$822&gt;K446)*(ISERROR(SEARCH("World",'RawData'!C$2:C$822)))*(ISERROR(SEARCH("Other",'RawData'!C$2:C$822))))+1)))</f>
        <v>3</v>
      </c>
    </row>
    <row r="447" spans="1:14" x14ac:dyDescent="0.3">
      <c r="A447" s="4" t="str">
        <f>IF(ISNUMBER(SEARCH("World",'RawData'!C491)),"",'RawData'!A491)</f>
        <v>MCS2026</v>
      </c>
      <c r="B447" s="4" t="str">
        <f>IF(ISNUMBER(SEARCH("World",'RawData'!C491)),"",'RawData'!B491)</f>
        <v>Perlite</v>
      </c>
      <c r="C447" s="4" t="str">
        <f>IF(ISNUMBER(SEARCH("World",'RawData'!C491)),"",'RawData'!C491)</f>
        <v>Georgia</v>
      </c>
      <c r="D447" s="4" t="str">
        <f>IF(ISNUMBER(SEARCH("World",'RawData'!C491)),"",'RawData'!D491)</f>
        <v>Mine production, estimated</v>
      </c>
      <c r="E447" s="4" t="str">
        <f>IF(ISNUMBER(SEARCH("World",'RawData'!C491)),"",IF('RawData'!E491="WT001","kg",IF('RawData'!E491="WT002","ton",IF('RawData'!E491="WT003","k ton",""))))</f>
        <v>k ton</v>
      </c>
      <c r="F447" s="14">
        <f>IF(ISNUMBER(SEARCH("World",'RawData'!C491)),"",'RawData'!F491)</f>
        <v>39</v>
      </c>
      <c r="G447" s="14">
        <f>IF(ISNUMBER(SEARCH("World",'RawData'!C491)),"",'RawData'!G491)</f>
        <v>40</v>
      </c>
      <c r="H447" s="14">
        <f>IF(ISNUMBER(SEARCH("World",'RawData'!C491)),"",SUMIFS('RawData'!G:G,'RawData'!B:B,'RawData'!B491,'RawData'!C:C,"*World*"))</f>
        <v>4600</v>
      </c>
      <c r="I447" s="15">
        <f>IF(ISNUMBER(SEARCH("World",'RawData'!C491)),"",IFERROR(G447/H447,"-"))</f>
        <v>8.6956521739130436E-3</v>
      </c>
      <c r="J447" s="7">
        <f>IF(ISNUMBER(SEARCH("World",'RawData'!C491)),"",IF(ISNUMBER(SEARCH("Other",C447)),COUNTIFS('RawData'!B:B,B447,'RawData'!C:C,"&lt;&gt;*World*"),IF(OR(G447="",G447=0),"-",SUMPRODUCT(('RawData'!B$2:B$822=B447)*('RawData'!G$2:G$822&gt;G447)*(ISERROR(SEARCH("World",'RawData'!C$2:C$822)))*(ISERROR(SEARCH("Other",'RawData'!C$2:C$822))))+1)))</f>
        <v>7</v>
      </c>
      <c r="K447" s="14">
        <f>IF(ISNUMBER(SEARCH("World",'RawData'!C491)),"",'RawData'!H491)</f>
        <v>0</v>
      </c>
      <c r="L447" s="14">
        <f>IF(ISNUMBER(SEARCH("World",'RawData'!C491)),"",SUMIFS('RawData'!H:H,'RawData'!B:B,'RawData'!B491,'RawData'!C:C,"*World*"))</f>
        <v>0</v>
      </c>
      <c r="M447" s="15" t="str">
        <f>IF(ISNUMBER(SEARCH("World",'RawData'!C491)),"",IFERROR(K447/L447,"-"))</f>
        <v>-</v>
      </c>
      <c r="N447" s="7" t="str">
        <f>IF(ISNUMBER(SEARCH("World",'RawData'!C491)),"",IF(ISNUMBER(SEARCH("Other",C447)),COUNTIFS('RawData'!B:B,B447,'RawData'!C:C,"&lt;&gt;*World*"),IF(OR(K447="",K447=0),"-",SUMPRODUCT(('RawData'!B$2:B$822=B447)*('RawData'!H$2:H$822&gt;K447)*(ISERROR(SEARCH("World",'RawData'!C$2:C$822)))*(ISERROR(SEARCH("Other",'RawData'!C$2:C$822))))+1)))</f>
        <v>-</v>
      </c>
    </row>
    <row r="448" spans="1:14" x14ac:dyDescent="0.3">
      <c r="A448" s="4" t="str">
        <f>IF(ISNUMBER(SEARCH("World",'RawData'!C492)),"",'RawData'!A492)</f>
        <v>MCS2026</v>
      </c>
      <c r="B448" s="4" t="str">
        <f>IF(ISNUMBER(SEARCH("World",'RawData'!C492)),"",'RawData'!B492)</f>
        <v>Perlite</v>
      </c>
      <c r="C448" s="4" t="str">
        <f>IF(ISNUMBER(SEARCH("World",'RawData'!C492)),"",'RawData'!C492)</f>
        <v>Greece</v>
      </c>
      <c r="D448" s="4" t="str">
        <f>IF(ISNUMBER(SEARCH("World",'RawData'!C492)),"",'RawData'!D492)</f>
        <v>Mine production, estimated</v>
      </c>
      <c r="E448" s="4" t="str">
        <f>IF(ISNUMBER(SEARCH("World",'RawData'!C492)),"",IF('RawData'!E492="WT001","kg",IF('RawData'!E492="WT002","ton",IF('RawData'!E492="WT003","k ton",""))))</f>
        <v>k ton</v>
      </c>
      <c r="F448" s="14">
        <f>IF(ISNUMBER(SEARCH("World",'RawData'!C492)),"",'RawData'!F492)</f>
        <v>840</v>
      </c>
      <c r="G448" s="14">
        <f>IF(ISNUMBER(SEARCH("World",'RawData'!C492)),"",'RawData'!G492)</f>
        <v>840</v>
      </c>
      <c r="H448" s="14">
        <f>IF(ISNUMBER(SEARCH("World",'RawData'!C492)),"",SUMIFS('RawData'!G:G,'RawData'!B:B,'RawData'!B492,'RawData'!C:C,"*World*"))</f>
        <v>4600</v>
      </c>
      <c r="I448" s="15">
        <f>IF(ISNUMBER(SEARCH("World",'RawData'!C492)),"",IFERROR(G448/H448,"-"))</f>
        <v>0.18260869565217391</v>
      </c>
      <c r="J448" s="7">
        <f>IF(ISNUMBER(SEARCH("World",'RawData'!C492)),"",IF(ISNUMBER(SEARCH("Other",C448)),COUNTIFS('RawData'!B:B,B448,'RawData'!C:C,"&lt;&gt;*World*"),IF(OR(G448="",G448=0),"-",SUMPRODUCT(('RawData'!B$2:B$822=B448)*('RawData'!G$2:G$822&gt;G448)*(ISERROR(SEARCH("World",'RawData'!C$2:C$822)))*(ISERROR(SEARCH("Other",'RawData'!C$2:C$822))))+1)))</f>
        <v>3</v>
      </c>
      <c r="K448" s="14">
        <f>IF(ISNUMBER(SEARCH("World",'RawData'!C492)),"",'RawData'!H492)</f>
        <v>180000</v>
      </c>
      <c r="L448" s="14">
        <f>IF(ISNUMBER(SEARCH("World",'RawData'!C492)),"",SUMIFS('RawData'!H:H,'RawData'!B:B,'RawData'!B492,'RawData'!C:C,"*World*"))</f>
        <v>0</v>
      </c>
      <c r="M448" s="15" t="str">
        <f>IF(ISNUMBER(SEARCH("World",'RawData'!C492)),"",IFERROR(K448/L448,"-"))</f>
        <v>-</v>
      </c>
      <c r="N448" s="7">
        <f>IF(ISNUMBER(SEARCH("World",'RawData'!C492)),"",IF(ISNUMBER(SEARCH("Other",C448)),COUNTIFS('RawData'!B:B,B448,'RawData'!C:C,"&lt;&gt;*World*"),IF(OR(K448="",K448=0),"-",SUMPRODUCT(('RawData'!B$2:B$822=B448)*('RawData'!H$2:H$822&gt;K448)*(ISERROR(SEARCH("World",'RawData'!C$2:C$822)))*(ISERROR(SEARCH("Other",'RawData'!C$2:C$822))))+1)))</f>
        <v>1</v>
      </c>
    </row>
    <row r="449" spans="1:14" x14ac:dyDescent="0.3">
      <c r="A449" s="4" t="str">
        <f>IF(ISNUMBER(SEARCH("World",'RawData'!C493)),"",'RawData'!A493)</f>
        <v>MCS2026</v>
      </c>
      <c r="B449" s="4" t="str">
        <f>IF(ISNUMBER(SEARCH("World",'RawData'!C493)),"",'RawData'!B493)</f>
        <v>Perlite</v>
      </c>
      <c r="C449" s="4" t="str">
        <f>IF(ISNUMBER(SEARCH("World",'RawData'!C493)),"",'RawData'!C493)</f>
        <v>Hungary</v>
      </c>
      <c r="D449" s="4" t="str">
        <f>IF(ISNUMBER(SEARCH("World",'RawData'!C493)),"",'RawData'!D493)</f>
        <v>Mine production, estimated</v>
      </c>
      <c r="E449" s="4" t="str">
        <f>IF(ISNUMBER(SEARCH("World",'RawData'!C493)),"",IF('RawData'!E493="WT001","kg",IF('RawData'!E493="WT002","ton",IF('RawData'!E493="WT003","k ton",""))))</f>
        <v>k ton</v>
      </c>
      <c r="F449" s="14">
        <f>IF(ISNUMBER(SEARCH("World",'RawData'!C493)),"",'RawData'!F493)</f>
        <v>77</v>
      </c>
      <c r="G449" s="14">
        <f>IF(ISNUMBER(SEARCH("World",'RawData'!C493)),"",'RawData'!G493)</f>
        <v>80</v>
      </c>
      <c r="H449" s="14">
        <f>IF(ISNUMBER(SEARCH("World",'RawData'!C493)),"",SUMIFS('RawData'!G:G,'RawData'!B:B,'RawData'!B493,'RawData'!C:C,"*World*"))</f>
        <v>4600</v>
      </c>
      <c r="I449" s="15">
        <f>IF(ISNUMBER(SEARCH("World",'RawData'!C493)),"",IFERROR(G449/H449,"-"))</f>
        <v>1.7391304347826087E-2</v>
      </c>
      <c r="J449" s="7">
        <f>IF(ISNUMBER(SEARCH("World",'RawData'!C493)),"",IF(ISNUMBER(SEARCH("Other",C449)),COUNTIFS('RawData'!B:B,B449,'RawData'!C:C,"&lt;&gt;*World*"),IF(OR(G449="",G449=0),"-",SUMPRODUCT(('RawData'!B$2:B$822=B449)*('RawData'!G$2:G$822&gt;G449)*(ISERROR(SEARCH("World",'RawData'!C$2:C$822)))*(ISERROR(SEARCH("Other",'RawData'!C$2:C$822))))+1)))</f>
        <v>5</v>
      </c>
      <c r="K449" s="14">
        <f>IF(ISNUMBER(SEARCH("World",'RawData'!C493)),"",'RawData'!H493)</f>
        <v>0</v>
      </c>
      <c r="L449" s="14">
        <f>IF(ISNUMBER(SEARCH("World",'RawData'!C493)),"",SUMIFS('RawData'!H:H,'RawData'!B:B,'RawData'!B493,'RawData'!C:C,"*World*"))</f>
        <v>0</v>
      </c>
      <c r="M449" s="15" t="str">
        <f>IF(ISNUMBER(SEARCH("World",'RawData'!C493)),"",IFERROR(K449/L449,"-"))</f>
        <v>-</v>
      </c>
      <c r="N449" s="7" t="str">
        <f>IF(ISNUMBER(SEARCH("World",'RawData'!C493)),"",IF(ISNUMBER(SEARCH("Other",C449)),COUNTIFS('RawData'!B:B,B449,'RawData'!C:C,"&lt;&gt;*World*"),IF(OR(K449="",K449=0),"-",SUMPRODUCT(('RawData'!B$2:B$822=B449)*('RawData'!H$2:H$822&gt;K449)*(ISERROR(SEARCH("World",'RawData'!C$2:C$822)))*(ISERROR(SEARCH("Other",'RawData'!C$2:C$822))))+1)))</f>
        <v>-</v>
      </c>
    </row>
    <row r="450" spans="1:14" x14ac:dyDescent="0.3">
      <c r="A450" s="4" t="str">
        <f>IF(ISNUMBER(SEARCH("World",'RawData'!C494)),"",'RawData'!A494)</f>
        <v>MCS2026</v>
      </c>
      <c r="B450" s="4" t="str">
        <f>IF(ISNUMBER(SEARCH("World",'RawData'!C494)),"",'RawData'!B494)</f>
        <v>Perlite</v>
      </c>
      <c r="C450" s="4" t="str">
        <f>IF(ISNUMBER(SEARCH("World",'RawData'!C494)),"",'RawData'!C494)</f>
        <v>Iran</v>
      </c>
      <c r="D450" s="4" t="str">
        <f>IF(ISNUMBER(SEARCH("World",'RawData'!C494)),"",'RawData'!D494)</f>
        <v>Mine production, estimated</v>
      </c>
      <c r="E450" s="4" t="str">
        <f>IF(ISNUMBER(SEARCH("World",'RawData'!C494)),"",IF('RawData'!E494="WT001","kg",IF('RawData'!E494="WT002","ton",IF('RawData'!E494="WT003","k ton",""))))</f>
        <v>k ton</v>
      </c>
      <c r="F450" s="14">
        <f>IF(ISNUMBER(SEARCH("World",'RawData'!C494)),"",'RawData'!F494)</f>
        <v>70</v>
      </c>
      <c r="G450" s="14">
        <f>IF(ISNUMBER(SEARCH("World",'RawData'!C494)),"",'RawData'!G494)</f>
        <v>70</v>
      </c>
      <c r="H450" s="14">
        <f>IF(ISNUMBER(SEARCH("World",'RawData'!C494)),"",SUMIFS('RawData'!G:G,'RawData'!B:B,'RawData'!B494,'RawData'!C:C,"*World*"))</f>
        <v>4600</v>
      </c>
      <c r="I450" s="15">
        <f>IF(ISNUMBER(SEARCH("World",'RawData'!C494)),"",IFERROR(G450/H450,"-"))</f>
        <v>1.5217391304347827E-2</v>
      </c>
      <c r="J450" s="7">
        <f>IF(ISNUMBER(SEARCH("World",'RawData'!C494)),"",IF(ISNUMBER(SEARCH("Other",C450)),COUNTIFS('RawData'!B:B,B450,'RawData'!C:C,"&lt;&gt;*World*"),IF(OR(G450="",G450=0),"-",SUMPRODUCT(('RawData'!B$2:B$822=B450)*('RawData'!G$2:G$822&gt;G450)*(ISERROR(SEARCH("World",'RawData'!C$2:C$822)))*(ISERROR(SEARCH("Other",'RawData'!C$2:C$822))))+1)))</f>
        <v>6</v>
      </c>
      <c r="K450" s="14">
        <f>IF(ISNUMBER(SEARCH("World",'RawData'!C494)),"",'RawData'!H494)</f>
        <v>15000</v>
      </c>
      <c r="L450" s="14">
        <f>IF(ISNUMBER(SEARCH("World",'RawData'!C494)),"",SUMIFS('RawData'!H:H,'RawData'!B:B,'RawData'!B494,'RawData'!C:C,"*World*"))</f>
        <v>0</v>
      </c>
      <c r="M450" s="15" t="str">
        <f>IF(ISNUMBER(SEARCH("World",'RawData'!C494)),"",IFERROR(K450/L450,"-"))</f>
        <v>-</v>
      </c>
      <c r="N450" s="7">
        <f>IF(ISNUMBER(SEARCH("World",'RawData'!C494)),"",IF(ISNUMBER(SEARCH("Other",C450)),COUNTIFS('RawData'!B:B,B450,'RawData'!C:C,"&lt;&gt;*World*"),IF(OR(K450="",K450=0),"-",SUMPRODUCT(('RawData'!B$2:B$822=B450)*('RawData'!H$2:H$822&gt;K450)*(ISERROR(SEARCH("World",'RawData'!C$2:C$822)))*(ISERROR(SEARCH("Other",'RawData'!C$2:C$822))))+1)))</f>
        <v>5</v>
      </c>
    </row>
    <row r="451" spans="1:14" x14ac:dyDescent="0.3">
      <c r="A451" s="4" t="str">
        <f>IF(ISNUMBER(SEARCH("World",'RawData'!C495)),"",'RawData'!A495)</f>
        <v>MCS2026</v>
      </c>
      <c r="B451" s="4" t="str">
        <f>IF(ISNUMBER(SEARCH("World",'RawData'!C495)),"",'RawData'!B495)</f>
        <v>Perlite</v>
      </c>
      <c r="C451" s="4" t="str">
        <f>IF(ISNUMBER(SEARCH("World",'RawData'!C495)),"",'RawData'!C495)</f>
        <v>Mexico</v>
      </c>
      <c r="D451" s="4" t="str">
        <f>IF(ISNUMBER(SEARCH("World",'RawData'!C495)),"",'RawData'!D495)</f>
        <v>Mine production, estimated</v>
      </c>
      <c r="E451" s="4" t="str">
        <f>IF(ISNUMBER(SEARCH("World",'RawData'!C495)),"",IF('RawData'!E495="WT001","kg",IF('RawData'!E495="WT002","ton",IF('RawData'!E495="WT003","k ton",""))))</f>
        <v>k ton</v>
      </c>
      <c r="F451" s="14">
        <f>IF(ISNUMBER(SEARCH("World",'RawData'!C495)),"",'RawData'!F495)</f>
        <v>29</v>
      </c>
      <c r="G451" s="14">
        <f>IF(ISNUMBER(SEARCH("World",'RawData'!C495)),"",'RawData'!G495)</f>
        <v>30</v>
      </c>
      <c r="H451" s="14">
        <f>IF(ISNUMBER(SEARCH("World",'RawData'!C495)),"",SUMIFS('RawData'!G:G,'RawData'!B:B,'RawData'!B495,'RawData'!C:C,"*World*"))</f>
        <v>4600</v>
      </c>
      <c r="I451" s="15">
        <f>IF(ISNUMBER(SEARCH("World",'RawData'!C495)),"",IFERROR(G451/H451,"-"))</f>
        <v>6.5217391304347823E-3</v>
      </c>
      <c r="J451" s="7">
        <f>IF(ISNUMBER(SEARCH("World",'RawData'!C495)),"",IF(ISNUMBER(SEARCH("Other",C451)),COUNTIFS('RawData'!B:B,B451,'RawData'!C:C,"&lt;&gt;*World*"),IF(OR(G451="",G451=0),"-",SUMPRODUCT(('RawData'!B$2:B$822=B451)*('RawData'!G$2:G$822&gt;G451)*(ISERROR(SEARCH("World",'RawData'!C$2:C$822)))*(ISERROR(SEARCH("Other",'RawData'!C$2:C$822))))+1)))</f>
        <v>9</v>
      </c>
      <c r="K451" s="14">
        <f>IF(ISNUMBER(SEARCH("World",'RawData'!C495)),"",'RawData'!H495)</f>
        <v>0</v>
      </c>
      <c r="L451" s="14">
        <f>IF(ISNUMBER(SEARCH("World",'RawData'!C495)),"",SUMIFS('RawData'!H:H,'RawData'!B:B,'RawData'!B495,'RawData'!C:C,"*World*"))</f>
        <v>0</v>
      </c>
      <c r="M451" s="15" t="str">
        <f>IF(ISNUMBER(SEARCH("World",'RawData'!C495)),"",IFERROR(K451/L451,"-"))</f>
        <v>-</v>
      </c>
      <c r="N451" s="7" t="str">
        <f>IF(ISNUMBER(SEARCH("World",'RawData'!C495)),"",IF(ISNUMBER(SEARCH("Other",C451)),COUNTIFS('RawData'!B:B,B451,'RawData'!C:C,"&lt;&gt;*World*"),IF(OR(K451="",K451=0),"-",SUMPRODUCT(('RawData'!B$2:B$822=B451)*('RawData'!H$2:H$822&gt;K451)*(ISERROR(SEARCH("World",'RawData'!C$2:C$822)))*(ISERROR(SEARCH("Other",'RawData'!C$2:C$822))))+1)))</f>
        <v>-</v>
      </c>
    </row>
    <row r="452" spans="1:14" x14ac:dyDescent="0.3">
      <c r="A452" s="4" t="str">
        <f>IF(ISNUMBER(SEARCH("World",'RawData'!C496)),"",'RawData'!A496)</f>
        <v>MCS2026</v>
      </c>
      <c r="B452" s="4" t="str">
        <f>IF(ISNUMBER(SEARCH("World",'RawData'!C496)),"",'RawData'!B496)</f>
        <v>Perlite</v>
      </c>
      <c r="C452" s="4" t="str">
        <f>IF(ISNUMBER(SEARCH("World",'RawData'!C496)),"",'RawData'!C496)</f>
        <v>New Zealand</v>
      </c>
      <c r="D452" s="4" t="str">
        <f>IF(ISNUMBER(SEARCH("World",'RawData'!C496)),"",'RawData'!D496)</f>
        <v>Mine production, estimated</v>
      </c>
      <c r="E452" s="4" t="str">
        <f>IF(ISNUMBER(SEARCH("World",'RawData'!C496)),"",IF('RawData'!E496="WT001","kg",IF('RawData'!E496="WT002","ton",IF('RawData'!E496="WT003","k ton",""))))</f>
        <v>k ton</v>
      </c>
      <c r="F452" s="14">
        <f>IF(ISNUMBER(SEARCH("World",'RawData'!C496)),"",'RawData'!F496)</f>
        <v>18</v>
      </c>
      <c r="G452" s="14">
        <f>IF(ISNUMBER(SEARCH("World",'RawData'!C496)),"",'RawData'!G496)</f>
        <v>20</v>
      </c>
      <c r="H452" s="14">
        <f>IF(ISNUMBER(SEARCH("World",'RawData'!C496)),"",SUMIFS('RawData'!G:G,'RawData'!B:B,'RawData'!B496,'RawData'!C:C,"*World*"))</f>
        <v>4600</v>
      </c>
      <c r="I452" s="15">
        <f>IF(ISNUMBER(SEARCH("World",'RawData'!C496)),"",IFERROR(G452/H452,"-"))</f>
        <v>4.3478260869565218E-3</v>
      </c>
      <c r="J452" s="7">
        <f>IF(ISNUMBER(SEARCH("World",'RawData'!C496)),"",IF(ISNUMBER(SEARCH("Other",C452)),COUNTIFS('RawData'!B:B,B452,'RawData'!C:C,"&lt;&gt;*World*"),IF(OR(G452="",G452=0),"-",SUMPRODUCT(('RawData'!B$2:B$822=B452)*('RawData'!G$2:G$822&gt;G452)*(ISERROR(SEARCH("World",'RawData'!C$2:C$822)))*(ISERROR(SEARCH("Other",'RawData'!C$2:C$822))))+1)))</f>
        <v>12</v>
      </c>
      <c r="K452" s="14">
        <f>IF(ISNUMBER(SEARCH("World",'RawData'!C496)),"",'RawData'!H496)</f>
        <v>0</v>
      </c>
      <c r="L452" s="14">
        <f>IF(ISNUMBER(SEARCH("World",'RawData'!C496)),"",SUMIFS('RawData'!H:H,'RawData'!B:B,'RawData'!B496,'RawData'!C:C,"*World*"))</f>
        <v>0</v>
      </c>
      <c r="M452" s="15" t="str">
        <f>IF(ISNUMBER(SEARCH("World",'RawData'!C496)),"",IFERROR(K452/L452,"-"))</f>
        <v>-</v>
      </c>
      <c r="N452" s="7" t="str">
        <f>IF(ISNUMBER(SEARCH("World",'RawData'!C496)),"",IF(ISNUMBER(SEARCH("Other",C452)),COUNTIFS('RawData'!B:B,B452,'RawData'!C:C,"&lt;&gt;*World*"),IF(OR(K452="",K452=0),"-",SUMPRODUCT(('RawData'!B$2:B$822=B452)*('RawData'!H$2:H$822&gt;K452)*(ISERROR(SEARCH("World",'RawData'!C$2:C$822)))*(ISERROR(SEARCH("Other",'RawData'!C$2:C$822))))+1)))</f>
        <v>-</v>
      </c>
    </row>
    <row r="453" spans="1:14" x14ac:dyDescent="0.3">
      <c r="A453" s="4" t="str">
        <f>IF(ISNUMBER(SEARCH("World",'RawData'!C497)),"",'RawData'!A497)</f>
        <v>MCS2026</v>
      </c>
      <c r="B453" s="4" t="str">
        <f>IF(ISNUMBER(SEARCH("World",'RawData'!C497)),"",'RawData'!B497)</f>
        <v>Perlite</v>
      </c>
      <c r="C453" s="4" t="str">
        <f>IF(ISNUMBER(SEARCH("World",'RawData'!C497)),"",'RawData'!C497)</f>
        <v>Other Countries</v>
      </c>
      <c r="D453" s="4" t="str">
        <f>IF(ISNUMBER(SEARCH("World",'RawData'!C497)),"",'RawData'!D497)</f>
        <v>Mine production, estimated</v>
      </c>
      <c r="E453" s="4" t="str">
        <f>IF(ISNUMBER(SEARCH("World",'RawData'!C497)),"",IF('RawData'!E497="WT001","kg",IF('RawData'!E497="WT002","ton",IF('RawData'!E497="WT003","k ton",""))))</f>
        <v>k ton</v>
      </c>
      <c r="F453" s="14">
        <f>IF(ISNUMBER(SEARCH("World",'RawData'!C497)),"",'RawData'!F497)</f>
        <v>12</v>
      </c>
      <c r="G453" s="14">
        <f>IF(ISNUMBER(SEARCH("World",'RawData'!C497)),"",'RawData'!G497)</f>
        <v>10</v>
      </c>
      <c r="H453" s="14">
        <f>IF(ISNUMBER(SEARCH("World",'RawData'!C497)),"",SUMIFS('RawData'!G:G,'RawData'!B:B,'RawData'!B497,'RawData'!C:C,"*World*"))</f>
        <v>4600</v>
      </c>
      <c r="I453" s="15">
        <f>IF(ISNUMBER(SEARCH("World",'RawData'!C497)),"",IFERROR(G453/H453,"-"))</f>
        <v>2.1739130434782609E-3</v>
      </c>
      <c r="J453" s="7">
        <f>IF(ISNUMBER(SEARCH("World",'RawData'!C497)),"",IF(ISNUMBER(SEARCH("Other",C453)),COUNTIFS('RawData'!B:B,B453,'RawData'!C:C,"&lt;&gt;*World*"),IF(OR(G453="",G453=0),"-",SUMPRODUCT(('RawData'!B$2:B$822=B453)*('RawData'!G$2:G$822&gt;G453)*(ISERROR(SEARCH("World",'RawData'!C$2:C$822)))*(ISERROR(SEARCH("Other",'RawData'!C$2:C$822))))+1)))</f>
        <v>15</v>
      </c>
      <c r="K453" s="14">
        <f>IF(ISNUMBER(SEARCH("World",'RawData'!C497)),"",'RawData'!H497)</f>
        <v>0</v>
      </c>
      <c r="L453" s="14">
        <f>IF(ISNUMBER(SEARCH("World",'RawData'!C497)),"",SUMIFS('RawData'!H:H,'RawData'!B:B,'RawData'!B497,'RawData'!C:C,"*World*"))</f>
        <v>0</v>
      </c>
      <c r="M453" s="15" t="str">
        <f>IF(ISNUMBER(SEARCH("World",'RawData'!C497)),"",IFERROR(K453/L453,"-"))</f>
        <v>-</v>
      </c>
      <c r="N453" s="7">
        <f>IF(ISNUMBER(SEARCH("World",'RawData'!C497)),"",IF(ISNUMBER(SEARCH("Other",C453)),COUNTIFS('RawData'!B:B,B453,'RawData'!C:C,"&lt;&gt;*World*"),IF(OR(K453="",K453=0),"-",SUMPRODUCT(('RawData'!B$2:B$822=B453)*('RawData'!H$2:H$822&gt;K453)*(ISERROR(SEARCH("World",'RawData'!C$2:C$822)))*(ISERROR(SEARCH("Other",'RawData'!C$2:C$822))))+1)))</f>
        <v>15</v>
      </c>
    </row>
    <row r="454" spans="1:14" x14ac:dyDescent="0.3">
      <c r="A454" s="4" t="str">
        <f>IF(ISNUMBER(SEARCH("World",'RawData'!C498)),"",'RawData'!A498)</f>
        <v>MCS2026</v>
      </c>
      <c r="B454" s="4" t="str">
        <f>IF(ISNUMBER(SEARCH("World",'RawData'!C498)),"",'RawData'!B498)</f>
        <v>Perlite</v>
      </c>
      <c r="C454" s="4" t="str">
        <f>IF(ISNUMBER(SEARCH("World",'RawData'!C498)),"",'RawData'!C498)</f>
        <v>Philippines</v>
      </c>
      <c r="D454" s="4" t="str">
        <f>IF(ISNUMBER(SEARCH("World",'RawData'!C498)),"",'RawData'!D498)</f>
        <v>Mine production, estimated</v>
      </c>
      <c r="E454" s="4" t="str">
        <f>IF(ISNUMBER(SEARCH("World",'RawData'!C498)),"",IF('RawData'!E498="WT001","kg",IF('RawData'!E498="WT002","ton",IF('RawData'!E498="WT003","k ton",""))))</f>
        <v>k ton</v>
      </c>
      <c r="F454" s="14">
        <f>IF(ISNUMBER(SEARCH("World",'RawData'!C498)),"",'RawData'!F498)</f>
        <v>15</v>
      </c>
      <c r="G454" s="14">
        <f>IF(ISNUMBER(SEARCH("World",'RawData'!C498)),"",'RawData'!G498)</f>
        <v>20</v>
      </c>
      <c r="H454" s="14">
        <f>IF(ISNUMBER(SEARCH("World",'RawData'!C498)),"",SUMIFS('RawData'!G:G,'RawData'!B:B,'RawData'!B498,'RawData'!C:C,"*World*"))</f>
        <v>4600</v>
      </c>
      <c r="I454" s="15">
        <f>IF(ISNUMBER(SEARCH("World",'RawData'!C498)),"",IFERROR(G454/H454,"-"))</f>
        <v>4.3478260869565218E-3</v>
      </c>
      <c r="J454" s="7">
        <f>IF(ISNUMBER(SEARCH("World",'RawData'!C498)),"",IF(ISNUMBER(SEARCH("Other",C454)),COUNTIFS('RawData'!B:B,B454,'RawData'!C:C,"&lt;&gt;*World*"),IF(OR(G454="",G454=0),"-",SUMPRODUCT(('RawData'!B$2:B$822=B454)*('RawData'!G$2:G$822&gt;G454)*(ISERROR(SEARCH("World",'RawData'!C$2:C$822)))*(ISERROR(SEARCH("Other",'RawData'!C$2:C$822))))+1)))</f>
        <v>12</v>
      </c>
      <c r="K454" s="14">
        <f>IF(ISNUMBER(SEARCH("World",'RawData'!C498)),"",'RawData'!H498)</f>
        <v>0</v>
      </c>
      <c r="L454" s="14">
        <f>IF(ISNUMBER(SEARCH("World",'RawData'!C498)),"",SUMIFS('RawData'!H:H,'RawData'!B:B,'RawData'!B498,'RawData'!C:C,"*World*"))</f>
        <v>0</v>
      </c>
      <c r="M454" s="15" t="str">
        <f>IF(ISNUMBER(SEARCH("World",'RawData'!C498)),"",IFERROR(K454/L454,"-"))</f>
        <v>-</v>
      </c>
      <c r="N454" s="7" t="str">
        <f>IF(ISNUMBER(SEARCH("World",'RawData'!C498)),"",IF(ISNUMBER(SEARCH("Other",C454)),COUNTIFS('RawData'!B:B,B454,'RawData'!C:C,"&lt;&gt;*World*"),IF(OR(K454="",K454=0),"-",SUMPRODUCT(('RawData'!B$2:B$822=B454)*('RawData'!H$2:H$822&gt;K454)*(ISERROR(SEARCH("World",'RawData'!C$2:C$822)))*(ISERROR(SEARCH("Other",'RawData'!C$2:C$822))))+1)))</f>
        <v>-</v>
      </c>
    </row>
    <row r="455" spans="1:14" x14ac:dyDescent="0.3">
      <c r="A455" s="4" t="str">
        <f>IF(ISNUMBER(SEARCH("World",'RawData'!C499)),"",'RawData'!A499)</f>
        <v>MCS2026</v>
      </c>
      <c r="B455" s="4" t="str">
        <f>IF(ISNUMBER(SEARCH("World",'RawData'!C499)),"",'RawData'!B499)</f>
        <v>Perlite</v>
      </c>
      <c r="C455" s="4" t="str">
        <f>IF(ISNUMBER(SEARCH("World",'RawData'!C499)),"",'RawData'!C499)</f>
        <v>Turkiye</v>
      </c>
      <c r="D455" s="4" t="str">
        <f>IF(ISNUMBER(SEARCH("World",'RawData'!C499)),"",'RawData'!D499)</f>
        <v>Mine production, estimated</v>
      </c>
      <c r="E455" s="4" t="str">
        <f>IF(ISNUMBER(SEARCH("World",'RawData'!C499)),"",IF('RawData'!E499="WT001","kg",IF('RawData'!E499="WT002","ton",IF('RawData'!E499="WT003","k ton",""))))</f>
        <v>k ton</v>
      </c>
      <c r="F455" s="14">
        <f>IF(ISNUMBER(SEARCH("World",'RawData'!C499)),"",'RawData'!F499)</f>
        <v>1360</v>
      </c>
      <c r="G455" s="14">
        <f>IF(ISNUMBER(SEARCH("World",'RawData'!C499)),"",'RawData'!G499)</f>
        <v>1400</v>
      </c>
      <c r="H455" s="14">
        <f>IF(ISNUMBER(SEARCH("World",'RawData'!C499)),"",SUMIFS('RawData'!G:G,'RawData'!B:B,'RawData'!B499,'RawData'!C:C,"*World*"))</f>
        <v>4600</v>
      </c>
      <c r="I455" s="15">
        <f>IF(ISNUMBER(SEARCH("World",'RawData'!C499)),"",IFERROR(G455/H455,"-"))</f>
        <v>0.30434782608695654</v>
      </c>
      <c r="J455" s="7">
        <f>IF(ISNUMBER(SEARCH("World",'RawData'!C499)),"",IF(ISNUMBER(SEARCH("Other",C455)),COUNTIFS('RawData'!B:B,B455,'RawData'!C:C,"&lt;&gt;*World*"),IF(OR(G455="",G455=0),"-",SUMPRODUCT(('RawData'!B$2:B$822=B455)*('RawData'!G$2:G$822&gt;G455)*(ISERROR(SEARCH("World",'RawData'!C$2:C$822)))*(ISERROR(SEARCH("Other",'RawData'!C$2:C$822))))+1)))</f>
        <v>2</v>
      </c>
      <c r="K455" s="14">
        <f>IF(ISNUMBER(SEARCH("World",'RawData'!C499)),"",'RawData'!H499)</f>
        <v>0</v>
      </c>
      <c r="L455" s="14">
        <f>IF(ISNUMBER(SEARCH("World",'RawData'!C499)),"",SUMIFS('RawData'!H:H,'RawData'!B:B,'RawData'!B499,'RawData'!C:C,"*World*"))</f>
        <v>0</v>
      </c>
      <c r="M455" s="15" t="str">
        <f>IF(ISNUMBER(SEARCH("World",'RawData'!C499)),"",IFERROR(K455/L455,"-"))</f>
        <v>-</v>
      </c>
      <c r="N455" s="7" t="str">
        <f>IF(ISNUMBER(SEARCH("World",'RawData'!C499)),"",IF(ISNUMBER(SEARCH("Other",C455)),COUNTIFS('RawData'!B:B,B455,'RawData'!C:C,"&lt;&gt;*World*"),IF(OR(K455="",K455=0),"-",SUMPRODUCT(('RawData'!B$2:B$822=B455)*('RawData'!H$2:H$822&gt;K455)*(ISERROR(SEARCH("World",'RawData'!C$2:C$822)))*(ISERROR(SEARCH("Other",'RawData'!C$2:C$822))))+1)))</f>
        <v>-</v>
      </c>
    </row>
    <row r="456" spans="1:14" x14ac:dyDescent="0.3">
      <c r="A456" s="4" t="str">
        <f>IF(ISNUMBER(SEARCH("World",'RawData'!C500)),"",'RawData'!A500)</f>
        <v>MCS2026</v>
      </c>
      <c r="B456" s="4" t="str">
        <f>IF(ISNUMBER(SEARCH("World",'RawData'!C500)),"",'RawData'!B500)</f>
        <v>Perlite</v>
      </c>
      <c r="C456" s="4" t="str">
        <f>IF(ISNUMBER(SEARCH("World",'RawData'!C500)),"",'RawData'!C500)</f>
        <v>Slovakia</v>
      </c>
      <c r="D456" s="4" t="str">
        <f>IF(ISNUMBER(SEARCH("World",'RawData'!C500)),"",'RawData'!D500)</f>
        <v>Mine production, estimated</v>
      </c>
      <c r="E456" s="4" t="str">
        <f>IF(ISNUMBER(SEARCH("World",'RawData'!C500)),"",IF('RawData'!E500="WT001","kg",IF('RawData'!E500="WT002","ton",IF('RawData'!E500="WT003","k ton",""))))</f>
        <v>k ton</v>
      </c>
      <c r="F456" s="14">
        <f>IF(ISNUMBER(SEARCH("World",'RawData'!C500)),"",'RawData'!F500)</f>
        <v>42</v>
      </c>
      <c r="G456" s="14">
        <f>IF(ISNUMBER(SEARCH("World",'RawData'!C500)),"",'RawData'!G500)</f>
        <v>40</v>
      </c>
      <c r="H456" s="14">
        <f>IF(ISNUMBER(SEARCH("World",'RawData'!C500)),"",SUMIFS('RawData'!G:G,'RawData'!B:B,'RawData'!B500,'RawData'!C:C,"*World*"))</f>
        <v>4600</v>
      </c>
      <c r="I456" s="15">
        <f>IF(ISNUMBER(SEARCH("World",'RawData'!C500)),"",IFERROR(G456/H456,"-"))</f>
        <v>8.6956521739130436E-3</v>
      </c>
      <c r="J456" s="7">
        <f>IF(ISNUMBER(SEARCH("World",'RawData'!C500)),"",IF(ISNUMBER(SEARCH("Other",C456)),COUNTIFS('RawData'!B:B,B456,'RawData'!C:C,"&lt;&gt;*World*"),IF(OR(G456="",G456=0),"-",SUMPRODUCT(('RawData'!B$2:B$822=B456)*('RawData'!G$2:G$822&gt;G456)*(ISERROR(SEARCH("World",'RawData'!C$2:C$822)))*(ISERROR(SEARCH("Other",'RawData'!C$2:C$822))))+1)))</f>
        <v>7</v>
      </c>
      <c r="K456" s="14">
        <f>IF(ISNUMBER(SEARCH("World",'RawData'!C500)),"",'RawData'!H500)</f>
        <v>30000</v>
      </c>
      <c r="L456" s="14">
        <f>IF(ISNUMBER(SEARCH("World",'RawData'!C500)),"",SUMIFS('RawData'!H:H,'RawData'!B:B,'RawData'!B500,'RawData'!C:C,"*World*"))</f>
        <v>0</v>
      </c>
      <c r="M456" s="15" t="str">
        <f>IF(ISNUMBER(SEARCH("World",'RawData'!C500)),"",IFERROR(K456/L456,"-"))</f>
        <v>-</v>
      </c>
      <c r="N456" s="7">
        <f>IF(ISNUMBER(SEARCH("World",'RawData'!C500)),"",IF(ISNUMBER(SEARCH("Other",C456)),COUNTIFS('RawData'!B:B,B456,'RawData'!C:C,"&lt;&gt;*World*"),IF(OR(K456="",K456=0),"-",SUMPRODUCT(('RawData'!B$2:B$822=B456)*('RawData'!H$2:H$822&gt;K456)*(ISERROR(SEARCH("World",'RawData'!C$2:C$822)))*(ISERROR(SEARCH("Other",'RawData'!C$2:C$822))))+1)))</f>
        <v>4</v>
      </c>
    </row>
    <row r="457" spans="1:14" x14ac:dyDescent="0.3">
      <c r="A457" s="4" t="str">
        <f>IF(ISNUMBER(SEARCH("World",'RawData'!C501)),"",'RawData'!A501)</f>
        <v>MCS2026</v>
      </c>
      <c r="B457" s="4" t="str">
        <f>IF(ISNUMBER(SEARCH("World",'RawData'!C501)),"",'RawData'!B501)</f>
        <v>Perlite</v>
      </c>
      <c r="C457" s="4" t="str">
        <f>IF(ISNUMBER(SEARCH("World",'RawData'!C501)),"",'RawData'!C501)</f>
        <v xml:space="preserve">South Africa </v>
      </c>
      <c r="D457" s="4" t="str">
        <f>IF(ISNUMBER(SEARCH("World",'RawData'!C501)),"",'RawData'!D501)</f>
        <v>Mine production, estimated</v>
      </c>
      <c r="E457" s="4" t="str">
        <f>IF(ISNUMBER(SEARCH("World",'RawData'!C501)),"",IF('RawData'!E501="WT001","kg",IF('RawData'!E501="WT002","ton",IF('RawData'!E501="WT003","k ton",""))))</f>
        <v>k ton</v>
      </c>
      <c r="F457" s="14">
        <f>IF(ISNUMBER(SEARCH("World",'RawData'!C501)),"",'RawData'!F501)</f>
        <v>11</v>
      </c>
      <c r="G457" s="14">
        <f>IF(ISNUMBER(SEARCH("World",'RawData'!C501)),"",'RawData'!G501)</f>
        <v>10</v>
      </c>
      <c r="H457" s="14">
        <f>IF(ISNUMBER(SEARCH("World",'RawData'!C501)),"",SUMIFS('RawData'!G:G,'RawData'!B:B,'RawData'!B501,'RawData'!C:C,"*World*"))</f>
        <v>4600</v>
      </c>
      <c r="I457" s="15">
        <f>IF(ISNUMBER(SEARCH("World",'RawData'!C501)),"",IFERROR(G457/H457,"-"))</f>
        <v>2.1739130434782609E-3</v>
      </c>
      <c r="J457" s="7">
        <f>IF(ISNUMBER(SEARCH("World",'RawData'!C501)),"",IF(ISNUMBER(SEARCH("Other",C457)),COUNTIFS('RawData'!B:B,B457,'RawData'!C:C,"&lt;&gt;*World*"),IF(OR(G457="",G457=0),"-",SUMPRODUCT(('RawData'!B$2:B$822=B457)*('RawData'!G$2:G$822&gt;G457)*(ISERROR(SEARCH("World",'RawData'!C$2:C$822)))*(ISERROR(SEARCH("Other",'RawData'!C$2:C$822))))+1)))</f>
        <v>14</v>
      </c>
      <c r="K457" s="14">
        <f>IF(ISNUMBER(SEARCH("World",'RawData'!C501)),"",'RawData'!H501)</f>
        <v>0</v>
      </c>
      <c r="L457" s="14">
        <f>IF(ISNUMBER(SEARCH("World",'RawData'!C501)),"",SUMIFS('RawData'!H:H,'RawData'!B:B,'RawData'!B501,'RawData'!C:C,"*World*"))</f>
        <v>0</v>
      </c>
      <c r="M457" s="15" t="str">
        <f>IF(ISNUMBER(SEARCH("World",'RawData'!C501)),"",IFERROR(K457/L457,"-"))</f>
        <v>-</v>
      </c>
      <c r="N457" s="7" t="str">
        <f>IF(ISNUMBER(SEARCH("World",'RawData'!C501)),"",IF(ISNUMBER(SEARCH("Other",C457)),COUNTIFS('RawData'!B:B,B457,'RawData'!C:C,"&lt;&gt;*World*"),IF(OR(K457="",K457=0),"-",SUMPRODUCT(('RawData'!B$2:B$822=B457)*('RawData'!H$2:H$822&gt;K457)*(ISERROR(SEARCH("World",'RawData'!C$2:C$822)))*(ISERROR(SEARCH("Other",'RawData'!C$2:C$822))))+1)))</f>
        <v>-</v>
      </c>
    </row>
    <row r="458" spans="1:14" x14ac:dyDescent="0.3">
      <c r="A458" s="4" t="str">
        <f>IF(ISNUMBER(SEARCH("World",'RawData'!C502)),"",'RawData'!A502)</f>
        <v>MCS2026</v>
      </c>
      <c r="B458" s="4" t="str">
        <f>IF(ISNUMBER(SEARCH("World",'RawData'!C502)),"",'RawData'!B502)</f>
        <v>Perlite</v>
      </c>
      <c r="C458" s="4" t="str">
        <f>IF(ISNUMBER(SEARCH("World",'RawData'!C502)),"",'RawData'!C502)</f>
        <v>United States</v>
      </c>
      <c r="D458" s="4" t="str">
        <f>IF(ISNUMBER(SEARCH("World",'RawData'!C502)),"",'RawData'!D502)</f>
        <v>Mine production, estimated</v>
      </c>
      <c r="E458" s="4" t="str">
        <f>IF(ISNUMBER(SEARCH("World",'RawData'!C502)),"",IF('RawData'!E502="WT001","kg",IF('RawData'!E502="WT002","ton",IF('RawData'!E502="WT003","k ton",""))))</f>
        <v>k ton</v>
      </c>
      <c r="F458" s="14">
        <f>IF(ISNUMBER(SEARCH("World",'RawData'!C502)),"",'RawData'!F502)</f>
        <v>452</v>
      </c>
      <c r="G458" s="14">
        <f>IF(ISNUMBER(SEARCH("World",'RawData'!C502)),"",'RawData'!G502)</f>
        <v>460</v>
      </c>
      <c r="H458" s="14">
        <f>IF(ISNUMBER(SEARCH("World",'RawData'!C502)),"",SUMIFS('RawData'!G:G,'RawData'!B:B,'RawData'!B502,'RawData'!C:C,"*World*"))</f>
        <v>4600</v>
      </c>
      <c r="I458" s="15">
        <f>IF(ISNUMBER(SEARCH("World",'RawData'!C502)),"",IFERROR(G458/H458,"-"))</f>
        <v>0.1</v>
      </c>
      <c r="J458" s="7">
        <f>IF(ISNUMBER(SEARCH("World",'RawData'!C502)),"",IF(ISNUMBER(SEARCH("Other",C458)),COUNTIFS('RawData'!B:B,B458,'RawData'!C:C,"&lt;&gt;*World*"),IF(OR(G458="",G458=0),"-",SUMPRODUCT(('RawData'!B$2:B$822=B458)*('RawData'!G$2:G$822&gt;G458)*(ISERROR(SEARCH("World",'RawData'!C$2:C$822)))*(ISERROR(SEARCH("Other",'RawData'!C$2:C$822))))+1)))</f>
        <v>4</v>
      </c>
      <c r="K458" s="14">
        <f>IF(ISNUMBER(SEARCH("World",'RawData'!C502)),"",'RawData'!H502)</f>
        <v>50000</v>
      </c>
      <c r="L458" s="14">
        <f>IF(ISNUMBER(SEARCH("World",'RawData'!C502)),"",SUMIFS('RawData'!H:H,'RawData'!B:B,'RawData'!B502,'RawData'!C:C,"*World*"))</f>
        <v>0</v>
      </c>
      <c r="M458" s="15" t="str">
        <f>IF(ISNUMBER(SEARCH("World",'RawData'!C502)),"",IFERROR(K458/L458,"-"))</f>
        <v>-</v>
      </c>
      <c r="N458" s="7">
        <f>IF(ISNUMBER(SEARCH("World",'RawData'!C502)),"",IF(ISNUMBER(SEARCH("Other",C458)),COUNTIFS('RawData'!B:B,B458,'RawData'!C:C,"&lt;&gt;*World*"),IF(OR(K458="",K458=0),"-",SUMPRODUCT(('RawData'!B$2:B$822=B458)*('RawData'!H$2:H$822&gt;K458)*(ISERROR(SEARCH("World",'RawData'!C$2:C$822)))*(ISERROR(SEARCH("Other",'RawData'!C$2:C$822))))+1)))</f>
        <v>2</v>
      </c>
    </row>
    <row r="459" spans="1:14" x14ac:dyDescent="0.3">
      <c r="A459" s="4" t="str">
        <f>IF(ISNUMBER(SEARCH("World",'RawData'!C504)),"",'RawData'!A504)</f>
        <v>MCS2026</v>
      </c>
      <c r="B459" s="4" t="str">
        <f>IF(ISNUMBER(SEARCH("World",'RawData'!C504)),"",'RawData'!B504)</f>
        <v>Phosphorus</v>
      </c>
      <c r="C459" s="4" t="str">
        <f>IF(ISNUMBER(SEARCH("World",'RawData'!C504)),"",'RawData'!C504)</f>
        <v>Algeria</v>
      </c>
      <c r="D459" s="4" t="str">
        <f>IF(ISNUMBER(SEARCH("World",'RawData'!C504)),"",'RawData'!D504)</f>
        <v>Mine production, marketable phosphate rock</v>
      </c>
      <c r="E459" s="4" t="str">
        <f>IF(ISNUMBER(SEARCH("World",'RawData'!C504)),"",IF('RawData'!E504="WT001","kg",IF('RawData'!E504="WT002","ton",IF('RawData'!E504="WT003","k ton",""))))</f>
        <v>k ton</v>
      </c>
      <c r="F459" s="14">
        <f>IF(ISNUMBER(SEARCH("World",'RawData'!C504)),"",'RawData'!F504)</f>
        <v>2000</v>
      </c>
      <c r="G459" s="14">
        <f>IF(ISNUMBER(SEARCH("World",'RawData'!C504)),"",'RawData'!G504)</f>
        <v>2000</v>
      </c>
      <c r="H459" s="14">
        <f>IF(ISNUMBER(SEARCH("World",'RawData'!C504)),"",SUMIFS('RawData'!G:G,'RawData'!B:B,'RawData'!B504,'RawData'!C:C,"*World*"))</f>
        <v>250000</v>
      </c>
      <c r="I459" s="15">
        <f>IF(ISNUMBER(SEARCH("World",'RawData'!C504)),"",IFERROR(G459/H459,"-"))</f>
        <v>8.0000000000000002E-3</v>
      </c>
      <c r="J459" s="7">
        <f>IF(ISNUMBER(SEARCH("World",'RawData'!C504)),"",IF(ISNUMBER(SEARCH("Other",C459)),COUNTIFS('RawData'!B:B,B459,'RawData'!C:C,"&lt;&gt;*World*"),IF(OR(G459="",G459=0),"-",SUMPRODUCT(('RawData'!B$2:B$822=B459)*('RawData'!G$2:G$822&gt;G459)*(ISERROR(SEARCH("World",'RawData'!C$2:C$822)))*(ISERROR(SEARCH("Other",'RawData'!C$2:C$822))))+1)))</f>
        <v>16</v>
      </c>
      <c r="K459" s="14">
        <f>IF(ISNUMBER(SEARCH("World",'RawData'!C504)),"",'RawData'!H504)</f>
        <v>2200000</v>
      </c>
      <c r="L459" s="14">
        <f>IF(ISNUMBER(SEARCH("World",'RawData'!C504)),"",SUMIFS('RawData'!H:H,'RawData'!B:B,'RawData'!B504,'RawData'!C:C,"*World*"))</f>
        <v>73000000</v>
      </c>
      <c r="M459" s="15">
        <f>IF(ISNUMBER(SEARCH("World",'RawData'!C504)),"",IFERROR(K459/L459,"-"))</f>
        <v>3.0136986301369864E-2</v>
      </c>
      <c r="N459" s="7">
        <f>IF(ISNUMBER(SEARCH("World",'RawData'!C504)),"",IF(ISNUMBER(SEARCH("Other",C459)),COUNTIFS('RawData'!B:B,B459,'RawData'!C:C,"&lt;&gt;*World*"),IF(OR(K459="",K459=0),"-",SUMPRODUCT(('RawData'!B$2:B$822=B459)*('RawData'!H$2:H$822&gt;K459)*(ISERROR(SEARCH("World",'RawData'!C$2:C$822)))*(ISERROR(SEARCH("Other",'RawData'!C$2:C$822))))+1)))</f>
        <v>6</v>
      </c>
    </row>
    <row r="460" spans="1:14" x14ac:dyDescent="0.3">
      <c r="A460" s="4" t="str">
        <f>IF(ISNUMBER(SEARCH("World",'RawData'!C505)),"",'RawData'!A505)</f>
        <v>MCS2026</v>
      </c>
      <c r="B460" s="4" t="str">
        <f>IF(ISNUMBER(SEARCH("World",'RawData'!C505)),"",'RawData'!B505)</f>
        <v>Phosphorus</v>
      </c>
      <c r="C460" s="4" t="str">
        <f>IF(ISNUMBER(SEARCH("World",'RawData'!C505)),"",'RawData'!C505)</f>
        <v>Australia</v>
      </c>
      <c r="D460" s="4" t="str">
        <f>IF(ISNUMBER(SEARCH("World",'RawData'!C505)),"",'RawData'!D505)</f>
        <v>Mine production, marketable phosphate rock</v>
      </c>
      <c r="E460" s="4" t="str">
        <f>IF(ISNUMBER(SEARCH("World",'RawData'!C505)),"",IF('RawData'!E505="WT001","kg",IF('RawData'!E505="WT002","ton",IF('RawData'!E505="WT003","k ton",""))))</f>
        <v>k ton</v>
      </c>
      <c r="F460" s="14">
        <f>IF(ISNUMBER(SEARCH("World",'RawData'!C505)),"",'RawData'!F505)</f>
        <v>2500</v>
      </c>
      <c r="G460" s="14">
        <f>IF(ISNUMBER(SEARCH("World",'RawData'!C505)),"",'RawData'!G505)</f>
        <v>2500</v>
      </c>
      <c r="H460" s="14">
        <f>IF(ISNUMBER(SEARCH("World",'RawData'!C505)),"",SUMIFS('RawData'!G:G,'RawData'!B:B,'RawData'!B505,'RawData'!C:C,"*World*"))</f>
        <v>250000</v>
      </c>
      <c r="I460" s="15">
        <f>IF(ISNUMBER(SEARCH("World",'RawData'!C505)),"",IFERROR(G460/H460,"-"))</f>
        <v>0.01</v>
      </c>
      <c r="J460" s="7">
        <f>IF(ISNUMBER(SEARCH("World",'RawData'!C505)),"",IF(ISNUMBER(SEARCH("Other",C460)),COUNTIFS('RawData'!B:B,B460,'RawData'!C:C,"&lt;&gt;*World*"),IF(OR(G460="",G460=0),"-",SUMPRODUCT(('RawData'!B$2:B$822=B460)*('RawData'!G$2:G$822&gt;G460)*(ISERROR(SEARCH("World",'RawData'!C$2:C$822)))*(ISERROR(SEARCH("Other",'RawData'!C$2:C$822))))+1)))</f>
        <v>13</v>
      </c>
      <c r="K460" s="14">
        <f>IF(ISNUMBER(SEARCH("World",'RawData'!C505)),"",'RawData'!H505)</f>
        <v>800000</v>
      </c>
      <c r="L460" s="14">
        <f>IF(ISNUMBER(SEARCH("World",'RawData'!C505)),"",SUMIFS('RawData'!H:H,'RawData'!B:B,'RawData'!B505,'RawData'!C:C,"*World*"))</f>
        <v>73000000</v>
      </c>
      <c r="M460" s="15">
        <f>IF(ISNUMBER(SEARCH("World",'RawData'!C505)),"",IFERROR(K460/L460,"-"))</f>
        <v>1.0958904109589041E-2</v>
      </c>
      <c r="N460" s="7">
        <f>IF(ISNUMBER(SEARCH("World",'RawData'!C505)),"",IF(ISNUMBER(SEARCH("Other",C460)),COUNTIFS('RawData'!B:B,B460,'RawData'!C:C,"&lt;&gt;*World*"),IF(OR(K460="",K460=0),"-",SUMPRODUCT(('RawData'!B$2:B$822=B460)*('RawData'!H$2:H$822&gt;K460)*(ISERROR(SEARCH("World",'RawData'!C$2:C$822)))*(ISERROR(SEARCH("Other",'RawData'!C$2:C$822))))+1)))</f>
        <v>13</v>
      </c>
    </row>
    <row r="461" spans="1:14" x14ac:dyDescent="0.3">
      <c r="A461" s="4" t="str">
        <f>IF(ISNUMBER(SEARCH("World",'RawData'!C506)),"",'RawData'!A506)</f>
        <v>MCS2026</v>
      </c>
      <c r="B461" s="4" t="str">
        <f>IF(ISNUMBER(SEARCH("World",'RawData'!C506)),"",'RawData'!B506)</f>
        <v>Phosphorus</v>
      </c>
      <c r="C461" s="4" t="str">
        <f>IF(ISNUMBER(SEARCH("World",'RawData'!C506)),"",'RawData'!C506)</f>
        <v>Brazil</v>
      </c>
      <c r="D461" s="4" t="str">
        <f>IF(ISNUMBER(SEARCH("World",'RawData'!C506)),"",'RawData'!D506)</f>
        <v>Mine production, marketable phosphate rock</v>
      </c>
      <c r="E461" s="4" t="str">
        <f>IF(ISNUMBER(SEARCH("World",'RawData'!C506)),"",IF('RawData'!E506="WT001","kg",IF('RawData'!E506="WT002","ton",IF('RawData'!E506="WT003","k ton",""))))</f>
        <v>k ton</v>
      </c>
      <c r="F461" s="14">
        <f>IF(ISNUMBER(SEARCH("World",'RawData'!C506)),"",'RawData'!F506)</f>
        <v>5300</v>
      </c>
      <c r="G461" s="14">
        <f>IF(ISNUMBER(SEARCH("World",'RawData'!C506)),"",'RawData'!G506)</f>
        <v>5000</v>
      </c>
      <c r="H461" s="14">
        <f>IF(ISNUMBER(SEARCH("World",'RawData'!C506)),"",SUMIFS('RawData'!G:G,'RawData'!B:B,'RawData'!B506,'RawData'!C:C,"*World*"))</f>
        <v>250000</v>
      </c>
      <c r="I461" s="15">
        <f>IF(ISNUMBER(SEARCH("World",'RawData'!C506)),"",IFERROR(G461/H461,"-"))</f>
        <v>0.02</v>
      </c>
      <c r="J461" s="7">
        <f>IF(ISNUMBER(SEARCH("World",'RawData'!C506)),"",IF(ISNUMBER(SEARCH("Other",C461)),COUNTIFS('RawData'!B:B,B461,'RawData'!C:C,"&lt;&gt;*World*"),IF(OR(G461="",G461=0),"-",SUMPRODUCT(('RawData'!B$2:B$822=B461)*('RawData'!G$2:G$822&gt;G461)*(ISERROR(SEARCH("World",'RawData'!C$2:C$822)))*(ISERROR(SEARCH("Other",'RawData'!C$2:C$822))))+1)))</f>
        <v>8</v>
      </c>
      <c r="K461" s="14">
        <f>IF(ISNUMBER(SEARCH("World",'RawData'!C506)),"",'RawData'!H506)</f>
        <v>1600000</v>
      </c>
      <c r="L461" s="14">
        <f>IF(ISNUMBER(SEARCH("World",'RawData'!C506)),"",SUMIFS('RawData'!H:H,'RawData'!B:B,'RawData'!B506,'RawData'!C:C,"*World*"))</f>
        <v>73000000</v>
      </c>
      <c r="M461" s="15">
        <f>IF(ISNUMBER(SEARCH("World",'RawData'!C506)),"",IFERROR(K461/L461,"-"))</f>
        <v>2.1917808219178082E-2</v>
      </c>
      <c r="N461" s="7">
        <f>IF(ISNUMBER(SEARCH("World",'RawData'!C506)),"",IF(ISNUMBER(SEARCH("Other",C461)),COUNTIFS('RawData'!B:B,B461,'RawData'!C:C,"&lt;&gt;*World*"),IF(OR(K461="",K461=0),"-",SUMPRODUCT(('RawData'!B$2:B$822=B461)*('RawData'!H$2:H$822&gt;K461)*(ISERROR(SEARCH("World",'RawData'!C$2:C$822)))*(ISERROR(SEARCH("Other",'RawData'!C$2:C$822))))+1)))</f>
        <v>7</v>
      </c>
    </row>
    <row r="462" spans="1:14" x14ac:dyDescent="0.3">
      <c r="A462" s="4" t="str">
        <f>IF(ISNUMBER(SEARCH("World",'RawData'!C507)),"",'RawData'!A507)</f>
        <v>MCS2026</v>
      </c>
      <c r="B462" s="4" t="str">
        <f>IF(ISNUMBER(SEARCH("World",'RawData'!C507)),"",'RawData'!B507)</f>
        <v>Phosphorus</v>
      </c>
      <c r="C462" s="4" t="str">
        <f>IF(ISNUMBER(SEARCH("World",'RawData'!C507)),"",'RawData'!C507)</f>
        <v>China</v>
      </c>
      <c r="D462" s="4" t="str">
        <f>IF(ISNUMBER(SEARCH("World",'RawData'!C507)),"",'RawData'!D507)</f>
        <v>Mine production, marketable phosphate rock</v>
      </c>
      <c r="E462" s="4" t="str">
        <f>IF(ISNUMBER(SEARCH("World",'RawData'!C507)),"",IF('RawData'!E507="WT001","kg",IF('RawData'!E507="WT002","ton",IF('RawData'!E507="WT003","k ton",""))))</f>
        <v>k ton</v>
      </c>
      <c r="F462" s="14">
        <f>IF(ISNUMBER(SEARCH("World",'RawData'!C507)),"",'RawData'!F507)</f>
        <v>105000</v>
      </c>
      <c r="G462" s="14">
        <f>IF(ISNUMBER(SEARCH("World",'RawData'!C507)),"",'RawData'!G507)</f>
        <v>110000</v>
      </c>
      <c r="H462" s="14">
        <f>IF(ISNUMBER(SEARCH("World",'RawData'!C507)),"",SUMIFS('RawData'!G:G,'RawData'!B:B,'RawData'!B507,'RawData'!C:C,"*World*"))</f>
        <v>250000</v>
      </c>
      <c r="I462" s="15">
        <f>IF(ISNUMBER(SEARCH("World",'RawData'!C507)),"",IFERROR(G462/H462,"-"))</f>
        <v>0.44</v>
      </c>
      <c r="J462" s="7">
        <f>IF(ISNUMBER(SEARCH("World",'RawData'!C507)),"",IF(ISNUMBER(SEARCH("Other",C462)),COUNTIFS('RawData'!B:B,B462,'RawData'!C:C,"&lt;&gt;*World*"),IF(OR(G462="",G462=0),"-",SUMPRODUCT(('RawData'!B$2:B$822=B462)*('RawData'!G$2:G$822&gt;G462)*(ISERROR(SEARCH("World",'RawData'!C$2:C$822)))*(ISERROR(SEARCH("Other",'RawData'!C$2:C$822))))+1)))</f>
        <v>1</v>
      </c>
      <c r="K462" s="14">
        <f>IF(ISNUMBER(SEARCH("World",'RawData'!C507)),"",'RawData'!H507)</f>
        <v>3400000</v>
      </c>
      <c r="L462" s="14">
        <f>IF(ISNUMBER(SEARCH("World",'RawData'!C507)),"",SUMIFS('RawData'!H:H,'RawData'!B:B,'RawData'!B507,'RawData'!C:C,"*World*"))</f>
        <v>73000000</v>
      </c>
      <c r="M462" s="15">
        <f>IF(ISNUMBER(SEARCH("World",'RawData'!C507)),"",IFERROR(K462/L462,"-"))</f>
        <v>4.6575342465753428E-2</v>
      </c>
      <c r="N462" s="7">
        <f>IF(ISNUMBER(SEARCH("World",'RawData'!C507)),"",IF(ISNUMBER(SEARCH("Other",C462)),COUNTIFS('RawData'!B:B,B462,'RawData'!C:C,"&lt;&gt;*World*"),IF(OR(K462="",K462=0),"-",SUMPRODUCT(('RawData'!B$2:B$822=B462)*('RawData'!H$2:H$822&gt;K462)*(ISERROR(SEARCH("World",'RawData'!C$2:C$822)))*(ISERROR(SEARCH("Other",'RawData'!C$2:C$822))))+1)))</f>
        <v>2</v>
      </c>
    </row>
    <row r="463" spans="1:14" x14ac:dyDescent="0.3">
      <c r="A463" s="4" t="str">
        <f>IF(ISNUMBER(SEARCH("World",'RawData'!C508)),"",'RawData'!A508)</f>
        <v>MCS2026</v>
      </c>
      <c r="B463" s="4" t="str">
        <f>IF(ISNUMBER(SEARCH("World",'RawData'!C508)),"",'RawData'!B508)</f>
        <v>Phosphorus</v>
      </c>
      <c r="C463" s="4" t="str">
        <f>IF(ISNUMBER(SEARCH("World",'RawData'!C508)),"",'RawData'!C508)</f>
        <v>Egypt</v>
      </c>
      <c r="D463" s="4" t="str">
        <f>IF(ISNUMBER(SEARCH("World",'RawData'!C508)),"",'RawData'!D508)</f>
        <v>Mine production, marketable phosphate rock</v>
      </c>
      <c r="E463" s="4" t="str">
        <f>IF(ISNUMBER(SEARCH("World",'RawData'!C508)),"",IF('RawData'!E508="WT001","kg",IF('RawData'!E508="WT002","ton",IF('RawData'!E508="WT003","k ton",""))))</f>
        <v>k ton</v>
      </c>
      <c r="F463" s="14">
        <f>IF(ISNUMBER(SEARCH("World",'RawData'!C508)),"",'RawData'!F508)</f>
        <v>5300</v>
      </c>
      <c r="G463" s="14">
        <f>IF(ISNUMBER(SEARCH("World",'RawData'!C508)),"",'RawData'!G508)</f>
        <v>5500</v>
      </c>
      <c r="H463" s="14">
        <f>IF(ISNUMBER(SEARCH("World",'RawData'!C508)),"",SUMIFS('RawData'!G:G,'RawData'!B:B,'RawData'!B508,'RawData'!C:C,"*World*"))</f>
        <v>250000</v>
      </c>
      <c r="I463" s="15">
        <f>IF(ISNUMBER(SEARCH("World",'RawData'!C508)),"",IFERROR(G463/H463,"-"))</f>
        <v>2.1999999999999999E-2</v>
      </c>
      <c r="J463" s="7">
        <f>IF(ISNUMBER(SEARCH("World",'RawData'!C508)),"",IF(ISNUMBER(SEARCH("Other",C463)),COUNTIFS('RawData'!B:B,B463,'RawData'!C:C,"&lt;&gt;*World*"),IF(OR(G463="",G463=0),"-",SUMPRODUCT(('RawData'!B$2:B$822=B463)*('RawData'!G$2:G$822&gt;G463)*(ISERROR(SEARCH("World",'RawData'!C$2:C$822)))*(ISERROR(SEARCH("Other",'RawData'!C$2:C$822))))+1)))</f>
        <v>7</v>
      </c>
      <c r="K463" s="14">
        <f>IF(ISNUMBER(SEARCH("World",'RawData'!C508)),"",'RawData'!H508)</f>
        <v>2800000</v>
      </c>
      <c r="L463" s="14">
        <f>IF(ISNUMBER(SEARCH("World",'RawData'!C508)),"",SUMIFS('RawData'!H:H,'RawData'!B:B,'RawData'!B508,'RawData'!C:C,"*World*"))</f>
        <v>73000000</v>
      </c>
      <c r="M463" s="15">
        <f>IF(ISNUMBER(SEARCH("World",'RawData'!C508)),"",IFERROR(K463/L463,"-"))</f>
        <v>3.8356164383561646E-2</v>
      </c>
      <c r="N463" s="7">
        <f>IF(ISNUMBER(SEARCH("World",'RawData'!C508)),"",IF(ISNUMBER(SEARCH("Other",C463)),COUNTIFS('RawData'!B:B,B463,'RawData'!C:C,"&lt;&gt;*World*"),IF(OR(K463="",K463=0),"-",SUMPRODUCT(('RawData'!B$2:B$822=B463)*('RawData'!H$2:H$822&gt;K463)*(ISERROR(SEARCH("World",'RawData'!C$2:C$822)))*(ISERROR(SEARCH("Other",'RawData'!C$2:C$822))))+1)))</f>
        <v>3</v>
      </c>
    </row>
    <row r="464" spans="1:14" x14ac:dyDescent="0.3">
      <c r="A464" s="4" t="str">
        <f>IF(ISNUMBER(SEARCH("World",'RawData'!C509)),"",'RawData'!A509)</f>
        <v>MCS2026</v>
      </c>
      <c r="B464" s="4" t="str">
        <f>IF(ISNUMBER(SEARCH("World",'RawData'!C509)),"",'RawData'!B509)</f>
        <v>Phosphorus</v>
      </c>
      <c r="C464" s="4" t="str">
        <f>IF(ISNUMBER(SEARCH("World",'RawData'!C509)),"",'RawData'!C509)</f>
        <v>Finland</v>
      </c>
      <c r="D464" s="4" t="str">
        <f>IF(ISNUMBER(SEARCH("World",'RawData'!C509)),"",'RawData'!D509)</f>
        <v>Mine production, marketable phosphate rock</v>
      </c>
      <c r="E464" s="4" t="str">
        <f>IF(ISNUMBER(SEARCH("World",'RawData'!C509)),"",IF('RawData'!E509="WT001","kg",IF('RawData'!E509="WT002","ton",IF('RawData'!E509="WT003","k ton",""))))</f>
        <v>k ton</v>
      </c>
      <c r="F464" s="14">
        <f>IF(ISNUMBER(SEARCH("World",'RawData'!C509)),"",'RawData'!F509)</f>
        <v>974</v>
      </c>
      <c r="G464" s="14">
        <f>IF(ISNUMBER(SEARCH("World",'RawData'!C509)),"",'RawData'!G509)</f>
        <v>980</v>
      </c>
      <c r="H464" s="14">
        <f>IF(ISNUMBER(SEARCH("World",'RawData'!C509)),"",SUMIFS('RawData'!G:G,'RawData'!B:B,'RawData'!B509,'RawData'!C:C,"*World*"))</f>
        <v>250000</v>
      </c>
      <c r="I464" s="15">
        <f>IF(ISNUMBER(SEARCH("World",'RawData'!C509)),"",IFERROR(G464/H464,"-"))</f>
        <v>3.9199999999999999E-3</v>
      </c>
      <c r="J464" s="7">
        <f>IF(ISNUMBER(SEARCH("World",'RawData'!C509)),"",IF(ISNUMBER(SEARCH("Other",C464)),COUNTIFS('RawData'!B:B,B464,'RawData'!C:C,"&lt;&gt;*World*"),IF(OR(G464="",G464=0),"-",SUMPRODUCT(('RawData'!B$2:B$822=B464)*('RawData'!G$2:G$822&gt;G464)*(ISERROR(SEARCH("World",'RawData'!C$2:C$822)))*(ISERROR(SEARCH("Other",'RawData'!C$2:C$822))))+1)))</f>
        <v>21</v>
      </c>
      <c r="K464" s="14">
        <f>IF(ISNUMBER(SEARCH("World",'RawData'!C509)),"",'RawData'!H509)</f>
        <v>1000000</v>
      </c>
      <c r="L464" s="14">
        <f>IF(ISNUMBER(SEARCH("World",'RawData'!C509)),"",SUMIFS('RawData'!H:H,'RawData'!B:B,'RawData'!B509,'RawData'!C:C,"*World*"))</f>
        <v>73000000</v>
      </c>
      <c r="M464" s="15">
        <f>IF(ISNUMBER(SEARCH("World",'RawData'!C509)),"",IFERROR(K464/L464,"-"))</f>
        <v>1.3698630136986301E-2</v>
      </c>
      <c r="N464" s="7">
        <f>IF(ISNUMBER(SEARCH("World",'RawData'!C509)),"",IF(ISNUMBER(SEARCH("Other",C464)),COUNTIFS('RawData'!B:B,B464,'RawData'!C:C,"&lt;&gt;*World*"),IF(OR(K464="",K464=0),"-",SUMPRODUCT(('RawData'!B$2:B$822=B464)*('RawData'!H$2:H$822&gt;K464)*(ISERROR(SEARCH("World",'RawData'!C$2:C$822)))*(ISERROR(SEARCH("Other",'RawData'!C$2:C$822))))+1)))</f>
        <v>9</v>
      </c>
    </row>
    <row r="465" spans="1:14" x14ac:dyDescent="0.3">
      <c r="A465" s="4" t="str">
        <f>IF(ISNUMBER(SEARCH("World",'RawData'!C510)),"",'RawData'!A510)</f>
        <v>MCS2026</v>
      </c>
      <c r="B465" s="4" t="str">
        <f>IF(ISNUMBER(SEARCH("World",'RawData'!C510)),"",'RawData'!B510)</f>
        <v>Phosphorus</v>
      </c>
      <c r="C465" s="4" t="str">
        <f>IF(ISNUMBER(SEARCH("World",'RawData'!C510)),"",'RawData'!C510)</f>
        <v>India</v>
      </c>
      <c r="D465" s="4" t="str">
        <f>IF(ISNUMBER(SEARCH("World",'RawData'!C510)),"",'RawData'!D510)</f>
        <v>Mine production, marketable phosphate rock</v>
      </c>
      <c r="E465" s="4" t="str">
        <f>IF(ISNUMBER(SEARCH("World",'RawData'!C510)),"",IF('RawData'!E510="WT001","kg",IF('RawData'!E510="WT002","ton",IF('RawData'!E510="WT003","k ton",""))))</f>
        <v>k ton</v>
      </c>
      <c r="F465" s="14">
        <f>IF(ISNUMBER(SEARCH("World",'RawData'!C510)),"",'RawData'!F510)</f>
        <v>1700</v>
      </c>
      <c r="G465" s="14">
        <f>IF(ISNUMBER(SEARCH("World",'RawData'!C510)),"",'RawData'!G510)</f>
        <v>1500</v>
      </c>
      <c r="H465" s="14">
        <f>IF(ISNUMBER(SEARCH("World",'RawData'!C510)),"",SUMIFS('RawData'!G:G,'RawData'!B:B,'RawData'!B510,'RawData'!C:C,"*World*"))</f>
        <v>250000</v>
      </c>
      <c r="I465" s="15">
        <f>IF(ISNUMBER(SEARCH("World",'RawData'!C510)),"",IFERROR(G465/H465,"-"))</f>
        <v>6.0000000000000001E-3</v>
      </c>
      <c r="J465" s="7">
        <f>IF(ISNUMBER(SEARCH("World",'RawData'!C510)),"",IF(ISNUMBER(SEARCH("Other",C465)),COUNTIFS('RawData'!B:B,B465,'RawData'!C:C,"&lt;&gt;*World*"),IF(OR(G465="",G465=0),"-",SUMPRODUCT(('RawData'!B$2:B$822=B465)*('RawData'!G$2:G$822&gt;G465)*(ISERROR(SEARCH("World",'RawData'!C$2:C$822)))*(ISERROR(SEARCH("Other",'RawData'!C$2:C$822))))+1)))</f>
        <v>19</v>
      </c>
      <c r="K465" s="14">
        <f>IF(ISNUMBER(SEARCH("World",'RawData'!C510)),"",'RawData'!H510)</f>
        <v>31000</v>
      </c>
      <c r="L465" s="14">
        <f>IF(ISNUMBER(SEARCH("World",'RawData'!C510)),"",SUMIFS('RawData'!H:H,'RawData'!B:B,'RawData'!B510,'RawData'!C:C,"*World*"))</f>
        <v>73000000</v>
      </c>
      <c r="M465" s="15">
        <f>IF(ISNUMBER(SEARCH("World",'RawData'!C510)),"",IFERROR(K465/L465,"-"))</f>
        <v>4.2465753424657536E-4</v>
      </c>
      <c r="N465" s="7">
        <f>IF(ISNUMBER(SEARCH("World",'RawData'!C510)),"",IF(ISNUMBER(SEARCH("Other",C465)),COUNTIFS('RawData'!B:B,B465,'RawData'!C:C,"&lt;&gt;*World*"),IF(OR(K465="",K465=0),"-",SUMPRODUCT(('RawData'!B$2:B$822=B465)*('RawData'!H$2:H$822&gt;K465)*(ISERROR(SEARCH("World",'RawData'!C$2:C$822)))*(ISERROR(SEARCH("Other",'RawData'!C$2:C$822))))+1)))</f>
        <v>21</v>
      </c>
    </row>
    <row r="466" spans="1:14" x14ac:dyDescent="0.3">
      <c r="A466" s="4" t="str">
        <f>IF(ISNUMBER(SEARCH("World",'RawData'!C511)),"",'RawData'!A511)</f>
        <v>MCS2026</v>
      </c>
      <c r="B466" s="4" t="str">
        <f>IF(ISNUMBER(SEARCH("World",'RawData'!C511)),"",'RawData'!B511)</f>
        <v>Phosphorus</v>
      </c>
      <c r="C466" s="4" t="str">
        <f>IF(ISNUMBER(SEARCH("World",'RawData'!C511)),"",'RawData'!C511)</f>
        <v>Israel</v>
      </c>
      <c r="D466" s="4" t="str">
        <f>IF(ISNUMBER(SEARCH("World",'RawData'!C511)),"",'RawData'!D511)</f>
        <v>Mine production, marketable phosphate rock</v>
      </c>
      <c r="E466" s="4" t="str">
        <f>IF(ISNUMBER(SEARCH("World",'RawData'!C511)),"",IF('RawData'!E511="WT001","kg",IF('RawData'!E511="WT002","ton",IF('RawData'!E511="WT003","k ton",""))))</f>
        <v>k ton</v>
      </c>
      <c r="F466" s="14">
        <f>IF(ISNUMBER(SEARCH("World",'RawData'!C511)),"",'RawData'!F511)</f>
        <v>2380</v>
      </c>
      <c r="G466" s="14">
        <f>IF(ISNUMBER(SEARCH("World",'RawData'!C511)),"",'RawData'!G511)</f>
        <v>2400</v>
      </c>
      <c r="H466" s="14">
        <f>IF(ISNUMBER(SEARCH("World",'RawData'!C511)),"",SUMIFS('RawData'!G:G,'RawData'!B:B,'RawData'!B511,'RawData'!C:C,"*World*"))</f>
        <v>250000</v>
      </c>
      <c r="I466" s="15">
        <f>IF(ISNUMBER(SEARCH("World",'RawData'!C511)),"",IFERROR(G466/H466,"-"))</f>
        <v>9.5999999999999992E-3</v>
      </c>
      <c r="J466" s="7">
        <f>IF(ISNUMBER(SEARCH("World",'RawData'!C511)),"",IF(ISNUMBER(SEARCH("Other",C466)),COUNTIFS('RawData'!B:B,B466,'RawData'!C:C,"&lt;&gt;*World*"),IF(OR(G466="",G466=0),"-",SUMPRODUCT(('RawData'!B$2:B$822=B466)*('RawData'!G$2:G$822&gt;G466)*(ISERROR(SEARCH("World",'RawData'!C$2:C$822)))*(ISERROR(SEARCH("Other",'RawData'!C$2:C$822))))+1)))</f>
        <v>14</v>
      </c>
      <c r="K466" s="14">
        <f>IF(ISNUMBER(SEARCH("World",'RawData'!C511)),"",'RawData'!H511)</f>
        <v>60000</v>
      </c>
      <c r="L466" s="14">
        <f>IF(ISNUMBER(SEARCH("World",'RawData'!C511)),"",SUMIFS('RawData'!H:H,'RawData'!B:B,'RawData'!B511,'RawData'!C:C,"*World*"))</f>
        <v>73000000</v>
      </c>
      <c r="M466" s="15">
        <f>IF(ISNUMBER(SEARCH("World",'RawData'!C511)),"",IFERROR(K466/L466,"-"))</f>
        <v>8.2191780821917813E-4</v>
      </c>
      <c r="N466" s="7">
        <f>IF(ISNUMBER(SEARCH("World",'RawData'!C511)),"",IF(ISNUMBER(SEARCH("Other",C466)),COUNTIFS('RawData'!B:B,B466,'RawData'!C:C,"&lt;&gt;*World*"),IF(OR(K466="",K466=0),"-",SUMPRODUCT(('RawData'!B$2:B$822=B466)*('RawData'!H$2:H$822&gt;K466)*(ISERROR(SEARCH("World",'RawData'!C$2:C$822)))*(ISERROR(SEARCH("Other",'RawData'!C$2:C$822))))+1)))</f>
        <v>19</v>
      </c>
    </row>
    <row r="467" spans="1:14" x14ac:dyDescent="0.3">
      <c r="A467" s="4" t="str">
        <f>IF(ISNUMBER(SEARCH("World",'RawData'!C512)),"",'RawData'!A512)</f>
        <v>MCS2026</v>
      </c>
      <c r="B467" s="4" t="str">
        <f>IF(ISNUMBER(SEARCH("World",'RawData'!C512)),"",'RawData'!B512)</f>
        <v>Phosphorus</v>
      </c>
      <c r="C467" s="4" t="str">
        <f>IF(ISNUMBER(SEARCH("World",'RawData'!C512)),"",'RawData'!C512)</f>
        <v>Jordan</v>
      </c>
      <c r="D467" s="4" t="str">
        <f>IF(ISNUMBER(SEARCH("World",'RawData'!C512)),"",'RawData'!D512)</f>
        <v>Mine production, marketable phosphate rock</v>
      </c>
      <c r="E467" s="4" t="str">
        <f>IF(ISNUMBER(SEARCH("World",'RawData'!C512)),"",IF('RawData'!E512="WT001","kg",IF('RawData'!E512="WT002","ton",IF('RawData'!E512="WT003","k ton",""))))</f>
        <v>k ton</v>
      </c>
      <c r="F467" s="14">
        <f>IF(ISNUMBER(SEARCH("World",'RawData'!C512)),"",'RawData'!F512)</f>
        <v>11500</v>
      </c>
      <c r="G467" s="14">
        <f>IF(ISNUMBER(SEARCH("World",'RawData'!C512)),"",'RawData'!G512)</f>
        <v>12000</v>
      </c>
      <c r="H467" s="14">
        <f>IF(ISNUMBER(SEARCH("World",'RawData'!C512)),"",SUMIFS('RawData'!G:G,'RawData'!B:B,'RawData'!B512,'RawData'!C:C,"*World*"))</f>
        <v>250000</v>
      </c>
      <c r="I467" s="15">
        <f>IF(ISNUMBER(SEARCH("World",'RawData'!C512)),"",IFERROR(G467/H467,"-"))</f>
        <v>4.8000000000000001E-2</v>
      </c>
      <c r="J467" s="7">
        <f>IF(ISNUMBER(SEARCH("World",'RawData'!C512)),"",IF(ISNUMBER(SEARCH("Other",C467)),COUNTIFS('RawData'!B:B,B467,'RawData'!C:C,"&lt;&gt;*World*"),IF(OR(G467="",G467=0),"-",SUMPRODUCT(('RawData'!B$2:B$822=B467)*('RawData'!G$2:G$822&gt;G467)*(ISERROR(SEARCH("World",'RawData'!C$2:C$822)))*(ISERROR(SEARCH("Other",'RawData'!C$2:C$822))))+1)))</f>
        <v>5</v>
      </c>
      <c r="K467" s="14">
        <f>IF(ISNUMBER(SEARCH("World",'RawData'!C512)),"",'RawData'!H512)</f>
        <v>820000</v>
      </c>
      <c r="L467" s="14">
        <f>IF(ISNUMBER(SEARCH("World",'RawData'!C512)),"",SUMIFS('RawData'!H:H,'RawData'!B:B,'RawData'!B512,'RawData'!C:C,"*World*"))</f>
        <v>73000000</v>
      </c>
      <c r="M467" s="15">
        <f>IF(ISNUMBER(SEARCH("World",'RawData'!C512)),"",IFERROR(K467/L467,"-"))</f>
        <v>1.1232876712328766E-2</v>
      </c>
      <c r="N467" s="7">
        <f>IF(ISNUMBER(SEARCH("World",'RawData'!C512)),"",IF(ISNUMBER(SEARCH("Other",C467)),COUNTIFS('RawData'!B:B,B467,'RawData'!C:C,"&lt;&gt;*World*"),IF(OR(K467="",K467=0),"-",SUMPRODUCT(('RawData'!B$2:B$822=B467)*('RawData'!H$2:H$822&gt;K467)*(ISERROR(SEARCH("World",'RawData'!C$2:C$822)))*(ISERROR(SEARCH("Other",'RawData'!C$2:C$822))))+1)))</f>
        <v>12</v>
      </c>
    </row>
    <row r="468" spans="1:14" x14ac:dyDescent="0.3">
      <c r="A468" s="4" t="str">
        <f>IF(ISNUMBER(SEARCH("World",'RawData'!C513)),"",'RawData'!A513)</f>
        <v>MCS2026</v>
      </c>
      <c r="B468" s="4" t="str">
        <f>IF(ISNUMBER(SEARCH("World",'RawData'!C513)),"",'RawData'!B513)</f>
        <v>Phosphorus</v>
      </c>
      <c r="C468" s="4" t="str">
        <f>IF(ISNUMBER(SEARCH("World",'RawData'!C513)),"",'RawData'!C513)</f>
        <v>Kazakhstan</v>
      </c>
      <c r="D468" s="4" t="str">
        <f>IF(ISNUMBER(SEARCH("World",'RawData'!C513)),"",'RawData'!D513)</f>
        <v>Mine production, marketable phosphate rock</v>
      </c>
      <c r="E468" s="4" t="str">
        <f>IF(ISNUMBER(SEARCH("World",'RawData'!C513)),"",IF('RawData'!E513="WT001","kg",IF('RawData'!E513="WT002","ton",IF('RawData'!E513="WT003","k ton",""))))</f>
        <v>k ton</v>
      </c>
      <c r="F468" s="14">
        <f>IF(ISNUMBER(SEARCH("World",'RawData'!C513)),"",'RawData'!F513)</f>
        <v>1700</v>
      </c>
      <c r="G468" s="14">
        <f>IF(ISNUMBER(SEARCH("World",'RawData'!C513)),"",'RawData'!G513)</f>
        <v>1900</v>
      </c>
      <c r="H468" s="14">
        <f>IF(ISNUMBER(SEARCH("World",'RawData'!C513)),"",SUMIFS('RawData'!G:G,'RawData'!B:B,'RawData'!B513,'RawData'!C:C,"*World*"))</f>
        <v>250000</v>
      </c>
      <c r="I468" s="15">
        <f>IF(ISNUMBER(SEARCH("World",'RawData'!C513)),"",IFERROR(G468/H468,"-"))</f>
        <v>7.6E-3</v>
      </c>
      <c r="J468" s="7">
        <f>IF(ISNUMBER(SEARCH("World",'RawData'!C513)),"",IF(ISNUMBER(SEARCH("Other",C468)),COUNTIFS('RawData'!B:B,B468,'RawData'!C:C,"&lt;&gt;*World*"),IF(OR(G468="",G468=0),"-",SUMPRODUCT(('RawData'!B$2:B$822=B468)*('RawData'!G$2:G$822&gt;G468)*(ISERROR(SEARCH("World",'RawData'!C$2:C$822)))*(ISERROR(SEARCH("Other",'RawData'!C$2:C$822))))+1)))</f>
        <v>17</v>
      </c>
      <c r="K468" s="14">
        <f>IF(ISNUMBER(SEARCH("World",'RawData'!C513)),"",'RawData'!H513)</f>
        <v>260000</v>
      </c>
      <c r="L468" s="14">
        <f>IF(ISNUMBER(SEARCH("World",'RawData'!C513)),"",SUMIFS('RawData'!H:H,'RawData'!B:B,'RawData'!B513,'RawData'!C:C,"*World*"))</f>
        <v>73000000</v>
      </c>
      <c r="M468" s="15">
        <f>IF(ISNUMBER(SEARCH("World",'RawData'!C513)),"",IFERROR(K468/L468,"-"))</f>
        <v>3.5616438356164382E-3</v>
      </c>
      <c r="N468" s="7">
        <f>IF(ISNUMBER(SEARCH("World",'RawData'!C513)),"",IF(ISNUMBER(SEARCH("Other",C468)),COUNTIFS('RawData'!B:B,B468,'RawData'!C:C,"&lt;&gt;*World*"),IF(OR(K468="",K468=0),"-",SUMPRODUCT(('RawData'!B$2:B$822=B468)*('RawData'!H$2:H$822&gt;K468)*(ISERROR(SEARCH("World",'RawData'!C$2:C$822)))*(ISERROR(SEARCH("Other",'RawData'!C$2:C$822))))+1)))</f>
        <v>14</v>
      </c>
    </row>
    <row r="469" spans="1:14" x14ac:dyDescent="0.3">
      <c r="A469" s="4" t="str">
        <f>IF(ISNUMBER(SEARCH("World",'RawData'!C514)),"",'RawData'!A514)</f>
        <v>MCS2026</v>
      </c>
      <c r="B469" s="4" t="str">
        <f>IF(ISNUMBER(SEARCH("World",'RawData'!C514)),"",'RawData'!B514)</f>
        <v>Phosphorus</v>
      </c>
      <c r="C469" s="4" t="str">
        <f>IF(ISNUMBER(SEARCH("World",'RawData'!C514)),"",'RawData'!C514)</f>
        <v>Mexico</v>
      </c>
      <c r="D469" s="4" t="str">
        <f>IF(ISNUMBER(SEARCH("World",'RawData'!C514)),"",'RawData'!D514)</f>
        <v>Mine production, marketable phosphate rock</v>
      </c>
      <c r="E469" s="4" t="str">
        <f>IF(ISNUMBER(SEARCH("World",'RawData'!C514)),"",IF('RawData'!E514="WT001","kg",IF('RawData'!E514="WT002","ton",IF('RawData'!E514="WT003","k ton",""))))</f>
        <v>k ton</v>
      </c>
      <c r="F469" s="14">
        <f>IF(ISNUMBER(SEARCH("World",'RawData'!C514)),"",'RawData'!F514)</f>
        <v>365</v>
      </c>
      <c r="G469" s="14">
        <f>IF(ISNUMBER(SEARCH("World",'RawData'!C514)),"",'RawData'!G514)</f>
        <v>450</v>
      </c>
      <c r="H469" s="14">
        <f>IF(ISNUMBER(SEARCH("World",'RawData'!C514)),"",SUMIFS('RawData'!G:G,'RawData'!B:B,'RawData'!B514,'RawData'!C:C,"*World*"))</f>
        <v>250000</v>
      </c>
      <c r="I469" s="15">
        <f>IF(ISNUMBER(SEARCH("World",'RawData'!C514)),"",IFERROR(G469/H469,"-"))</f>
        <v>1.8E-3</v>
      </c>
      <c r="J469" s="7">
        <f>IF(ISNUMBER(SEARCH("World",'RawData'!C514)),"",IF(ISNUMBER(SEARCH("Other",C469)),COUNTIFS('RawData'!B:B,B469,'RawData'!C:C,"&lt;&gt;*World*"),IF(OR(G469="",G469=0),"-",SUMPRODUCT(('RawData'!B$2:B$822=B469)*('RawData'!G$2:G$822&gt;G469)*(ISERROR(SEARCH("World",'RawData'!C$2:C$822)))*(ISERROR(SEARCH("Other",'RawData'!C$2:C$822))))+1)))</f>
        <v>24</v>
      </c>
      <c r="K469" s="14">
        <f>IF(ISNUMBER(SEARCH("World",'RawData'!C514)),"",'RawData'!H514)</f>
        <v>30000</v>
      </c>
      <c r="L469" s="14">
        <f>IF(ISNUMBER(SEARCH("World",'RawData'!C514)),"",SUMIFS('RawData'!H:H,'RawData'!B:B,'RawData'!B514,'RawData'!C:C,"*World*"))</f>
        <v>73000000</v>
      </c>
      <c r="M469" s="15">
        <f>IF(ISNUMBER(SEARCH("World",'RawData'!C514)),"",IFERROR(K469/L469,"-"))</f>
        <v>4.1095890410958907E-4</v>
      </c>
      <c r="N469" s="7">
        <f>IF(ISNUMBER(SEARCH("World",'RawData'!C514)),"",IF(ISNUMBER(SEARCH("Other",C469)),COUNTIFS('RawData'!B:B,B469,'RawData'!C:C,"&lt;&gt;*World*"),IF(OR(K469="",K469=0),"-",SUMPRODUCT(('RawData'!B$2:B$822=B469)*('RawData'!H$2:H$822&gt;K469)*(ISERROR(SEARCH("World",'RawData'!C$2:C$822)))*(ISERROR(SEARCH("Other",'RawData'!C$2:C$822))))+1)))</f>
        <v>22</v>
      </c>
    </row>
    <row r="470" spans="1:14" x14ac:dyDescent="0.3">
      <c r="A470" s="4" t="str">
        <f>IF(ISNUMBER(SEARCH("World",'RawData'!C515)),"",'RawData'!A515)</f>
        <v>MCS2026</v>
      </c>
      <c r="B470" s="4" t="str">
        <f>IF(ISNUMBER(SEARCH("World",'RawData'!C515)),"",'RawData'!B515)</f>
        <v>Phosphorus</v>
      </c>
      <c r="C470" s="4" t="str">
        <f>IF(ISNUMBER(SEARCH("World",'RawData'!C515)),"",'RawData'!C515)</f>
        <v>Morocco</v>
      </c>
      <c r="D470" s="4" t="str">
        <f>IF(ISNUMBER(SEARCH("World",'RawData'!C515)),"",'RawData'!D515)</f>
        <v>Mine production, marketable phosphate rock</v>
      </c>
      <c r="E470" s="4" t="str">
        <f>IF(ISNUMBER(SEARCH("World",'RawData'!C515)),"",IF('RawData'!E515="WT001","kg",IF('RawData'!E515="WT002","ton",IF('RawData'!E515="WT003","k ton",""))))</f>
        <v>k ton</v>
      </c>
      <c r="F470" s="14">
        <f>IF(ISNUMBER(SEARCH("World",'RawData'!C515)),"",'RawData'!F515)</f>
        <v>35300</v>
      </c>
      <c r="G470" s="14">
        <f>IF(ISNUMBER(SEARCH("World",'RawData'!C515)),"",'RawData'!G515)</f>
        <v>36000</v>
      </c>
      <c r="H470" s="14">
        <f>IF(ISNUMBER(SEARCH("World",'RawData'!C515)),"",SUMIFS('RawData'!G:G,'RawData'!B:B,'RawData'!B515,'RawData'!C:C,"*World*"))</f>
        <v>250000</v>
      </c>
      <c r="I470" s="15">
        <f>IF(ISNUMBER(SEARCH("World",'RawData'!C515)),"",IFERROR(G470/H470,"-"))</f>
        <v>0.14399999999999999</v>
      </c>
      <c r="J470" s="7">
        <f>IF(ISNUMBER(SEARCH("World",'RawData'!C515)),"",IF(ISNUMBER(SEARCH("Other",C470)),COUNTIFS('RawData'!B:B,B470,'RawData'!C:C,"&lt;&gt;*World*"),IF(OR(G470="",G470=0),"-",SUMPRODUCT(('RawData'!B$2:B$822=B470)*('RawData'!G$2:G$822&gt;G470)*(ISERROR(SEARCH("World",'RawData'!C$2:C$822)))*(ISERROR(SEARCH("Other",'RawData'!C$2:C$822))))+1)))</f>
        <v>2</v>
      </c>
      <c r="K470" s="14">
        <f>IF(ISNUMBER(SEARCH("World",'RawData'!C515)),"",'RawData'!H515)</f>
        <v>50000000</v>
      </c>
      <c r="L470" s="14">
        <f>IF(ISNUMBER(SEARCH("World",'RawData'!C515)),"",SUMIFS('RawData'!H:H,'RawData'!B:B,'RawData'!B515,'RawData'!C:C,"*World*"))</f>
        <v>73000000</v>
      </c>
      <c r="M470" s="15">
        <f>IF(ISNUMBER(SEARCH("World",'RawData'!C515)),"",IFERROR(K470/L470,"-"))</f>
        <v>0.68493150684931503</v>
      </c>
      <c r="N470" s="7">
        <f>IF(ISNUMBER(SEARCH("World",'RawData'!C515)),"",IF(ISNUMBER(SEARCH("Other",C470)),COUNTIFS('RawData'!B:B,B470,'RawData'!C:C,"&lt;&gt;*World*"),IF(OR(K470="",K470=0),"-",SUMPRODUCT(('RawData'!B$2:B$822=B470)*('RawData'!H$2:H$822&gt;K470)*(ISERROR(SEARCH("World",'RawData'!C$2:C$822)))*(ISERROR(SEARCH("Other",'RawData'!C$2:C$822))))+1)))</f>
        <v>1</v>
      </c>
    </row>
    <row r="471" spans="1:14" x14ac:dyDescent="0.3">
      <c r="A471" s="4" t="str">
        <f>IF(ISNUMBER(SEARCH("World",'RawData'!C516)),"",'RawData'!A516)</f>
        <v>MCS2026</v>
      </c>
      <c r="B471" s="4" t="str">
        <f>IF(ISNUMBER(SEARCH("World",'RawData'!C516)),"",'RawData'!B516)</f>
        <v>Phosphorus</v>
      </c>
      <c r="C471" s="4" t="str">
        <f>IF(ISNUMBER(SEARCH("World",'RawData'!C516)),"",'RawData'!C516)</f>
        <v>Other Countries</v>
      </c>
      <c r="D471" s="4" t="str">
        <f>IF(ISNUMBER(SEARCH("World",'RawData'!C516)),"",'RawData'!D516)</f>
        <v>Mine production, marketable phosphate rock</v>
      </c>
      <c r="E471" s="4" t="str">
        <f>IF(ISNUMBER(SEARCH("World",'RawData'!C516)),"",IF('RawData'!E516="WT001","kg",IF('RawData'!E516="WT002","ton",IF('RawData'!E516="WT003","k ton",""))))</f>
        <v>k ton</v>
      </c>
      <c r="F471" s="14">
        <f>IF(ISNUMBER(SEARCH("World",'RawData'!C516)),"",'RawData'!F516)</f>
        <v>769</v>
      </c>
      <c r="G471" s="14">
        <f>IF(ISNUMBER(SEARCH("World",'RawData'!C516)),"",'RawData'!G516)</f>
        <v>770</v>
      </c>
      <c r="H471" s="14">
        <f>IF(ISNUMBER(SEARCH("World",'RawData'!C516)),"",SUMIFS('RawData'!G:G,'RawData'!B:B,'RawData'!B516,'RawData'!C:C,"*World*"))</f>
        <v>250000</v>
      </c>
      <c r="I471" s="15">
        <f>IF(ISNUMBER(SEARCH("World",'RawData'!C516)),"",IFERROR(G471/H471,"-"))</f>
        <v>3.0799999999999998E-3</v>
      </c>
      <c r="J471" s="7">
        <f>IF(ISNUMBER(SEARCH("World",'RawData'!C516)),"",IF(ISNUMBER(SEARCH("Other",C471)),COUNTIFS('RawData'!B:B,B471,'RawData'!C:C,"&lt;&gt;*World*"),IF(OR(G471="",G471=0),"-",SUMPRODUCT(('RawData'!B$2:B$822=B471)*('RawData'!G$2:G$822&gt;G471)*(ISERROR(SEARCH("World",'RawData'!C$2:C$822)))*(ISERROR(SEARCH("Other",'RawData'!C$2:C$822))))+1)))</f>
        <v>25</v>
      </c>
      <c r="K471" s="14">
        <f>IF(ISNUMBER(SEARCH("World",'RawData'!C516)),"",'RawData'!H516)</f>
        <v>800000</v>
      </c>
      <c r="L471" s="14">
        <f>IF(ISNUMBER(SEARCH("World",'RawData'!C516)),"",SUMIFS('RawData'!H:H,'RawData'!B:B,'RawData'!B516,'RawData'!C:C,"*World*"))</f>
        <v>73000000</v>
      </c>
      <c r="M471" s="15">
        <f>IF(ISNUMBER(SEARCH("World",'RawData'!C516)),"",IFERROR(K471/L471,"-"))</f>
        <v>1.0958904109589041E-2</v>
      </c>
      <c r="N471" s="7">
        <f>IF(ISNUMBER(SEARCH("World",'RawData'!C516)),"",IF(ISNUMBER(SEARCH("Other",C471)),COUNTIFS('RawData'!B:B,B471,'RawData'!C:C,"&lt;&gt;*World*"),IF(OR(K471="",K471=0),"-",SUMPRODUCT(('RawData'!B$2:B$822=B471)*('RawData'!H$2:H$822&gt;K471)*(ISERROR(SEARCH("World",'RawData'!C$2:C$822)))*(ISERROR(SEARCH("Other",'RawData'!C$2:C$822))))+1)))</f>
        <v>25</v>
      </c>
    </row>
    <row r="472" spans="1:14" x14ac:dyDescent="0.3">
      <c r="A472" s="4" t="str">
        <f>IF(ISNUMBER(SEARCH("World",'RawData'!C517)),"",'RawData'!A517)</f>
        <v>MCS2026</v>
      </c>
      <c r="B472" s="4" t="str">
        <f>IF(ISNUMBER(SEARCH("World",'RawData'!C517)),"",'RawData'!B517)</f>
        <v>Phosphorus</v>
      </c>
      <c r="C472" s="4" t="str">
        <f>IF(ISNUMBER(SEARCH("World",'RawData'!C517)),"",'RawData'!C517)</f>
        <v>Peru</v>
      </c>
      <c r="D472" s="4" t="str">
        <f>IF(ISNUMBER(SEARCH("World",'RawData'!C517)),"",'RawData'!D517)</f>
        <v>Mine production, marketable phosphate rock</v>
      </c>
      <c r="E472" s="4" t="str">
        <f>IF(ISNUMBER(SEARCH("World",'RawData'!C517)),"",IF('RawData'!E517="WT001","kg",IF('RawData'!E517="WT002","ton",IF('RawData'!E517="WT003","k ton",""))))</f>
        <v>k ton</v>
      </c>
      <c r="F472" s="14">
        <f>IF(ISNUMBER(SEARCH("World",'RawData'!C517)),"",'RawData'!F517)</f>
        <v>4800</v>
      </c>
      <c r="G472" s="14">
        <f>IF(ISNUMBER(SEARCH("World",'RawData'!C517)),"",'RawData'!G517)</f>
        <v>4800</v>
      </c>
      <c r="H472" s="14">
        <f>IF(ISNUMBER(SEARCH("World",'RawData'!C517)),"",SUMIFS('RawData'!G:G,'RawData'!B:B,'RawData'!B517,'RawData'!C:C,"*World*"))</f>
        <v>250000</v>
      </c>
      <c r="I472" s="15">
        <f>IF(ISNUMBER(SEARCH("World",'RawData'!C517)),"",IFERROR(G472/H472,"-"))</f>
        <v>1.9199999999999998E-2</v>
      </c>
      <c r="J472" s="7">
        <f>IF(ISNUMBER(SEARCH("World",'RawData'!C517)),"",IF(ISNUMBER(SEARCH("Other",C472)),COUNTIFS('RawData'!B:B,B472,'RawData'!C:C,"&lt;&gt;*World*"),IF(OR(G472="",G472=0),"-",SUMPRODUCT(('RawData'!B$2:B$822=B472)*('RawData'!G$2:G$822&gt;G472)*(ISERROR(SEARCH("World",'RawData'!C$2:C$822)))*(ISERROR(SEARCH("Other",'RawData'!C$2:C$822))))+1)))</f>
        <v>9</v>
      </c>
      <c r="K472" s="14">
        <f>IF(ISNUMBER(SEARCH("World",'RawData'!C517)),"",'RawData'!H517)</f>
        <v>210000</v>
      </c>
      <c r="L472" s="14">
        <f>IF(ISNUMBER(SEARCH("World",'RawData'!C517)),"",SUMIFS('RawData'!H:H,'RawData'!B:B,'RawData'!B517,'RawData'!C:C,"*World*"))</f>
        <v>73000000</v>
      </c>
      <c r="M472" s="15">
        <f>IF(ISNUMBER(SEARCH("World",'RawData'!C517)),"",IFERROR(K472/L472,"-"))</f>
        <v>2.8767123287671234E-3</v>
      </c>
      <c r="N472" s="7">
        <f>IF(ISNUMBER(SEARCH("World",'RawData'!C517)),"",IF(ISNUMBER(SEARCH("Other",C472)),COUNTIFS('RawData'!B:B,B472,'RawData'!C:C,"&lt;&gt;*World*"),IF(OR(K472="",K472=0),"-",SUMPRODUCT(('RawData'!B$2:B$822=B472)*('RawData'!H$2:H$822&gt;K472)*(ISERROR(SEARCH("World",'RawData'!C$2:C$822)))*(ISERROR(SEARCH("Other",'RawData'!C$2:C$822))))+1)))</f>
        <v>16</v>
      </c>
    </row>
    <row r="473" spans="1:14" x14ac:dyDescent="0.3">
      <c r="A473" s="4" t="str">
        <f>IF(ISNUMBER(SEARCH("World",'RawData'!C518)),"",'RawData'!A518)</f>
        <v>MCS2026</v>
      </c>
      <c r="B473" s="4" t="str">
        <f>IF(ISNUMBER(SEARCH("World",'RawData'!C518)),"",'RawData'!B518)</f>
        <v>Phosphorus</v>
      </c>
      <c r="C473" s="4" t="str">
        <f>IF(ISNUMBER(SEARCH("World",'RawData'!C518)),"",'RawData'!C518)</f>
        <v>Turkiye</v>
      </c>
      <c r="D473" s="4" t="str">
        <f>IF(ISNUMBER(SEARCH("World",'RawData'!C518)),"",'RawData'!D518)</f>
        <v>Mine production, marketable phosphate rock</v>
      </c>
      <c r="E473" s="4" t="str">
        <f>IF(ISNUMBER(SEARCH("World",'RawData'!C518)),"",IF('RawData'!E518="WT001","kg",IF('RawData'!E518="WT002","ton",IF('RawData'!E518="WT003","k ton",""))))</f>
        <v>k ton</v>
      </c>
      <c r="F473" s="14">
        <f>IF(ISNUMBER(SEARCH("World",'RawData'!C518)),"",'RawData'!F518)</f>
        <v>1220</v>
      </c>
      <c r="G473" s="14">
        <f>IF(ISNUMBER(SEARCH("World",'RawData'!C518)),"",'RawData'!G518)</f>
        <v>1200</v>
      </c>
      <c r="H473" s="14">
        <f>IF(ISNUMBER(SEARCH("World",'RawData'!C518)),"",SUMIFS('RawData'!G:G,'RawData'!B:B,'RawData'!B518,'RawData'!C:C,"*World*"))</f>
        <v>250000</v>
      </c>
      <c r="I473" s="15">
        <f>IF(ISNUMBER(SEARCH("World",'RawData'!C518)),"",IFERROR(G473/H473,"-"))</f>
        <v>4.7999999999999996E-3</v>
      </c>
      <c r="J473" s="7">
        <f>IF(ISNUMBER(SEARCH("World",'RawData'!C518)),"",IF(ISNUMBER(SEARCH("Other",C473)),COUNTIFS('RawData'!B:B,B473,'RawData'!C:C,"&lt;&gt;*World*"),IF(OR(G473="",G473=0),"-",SUMPRODUCT(('RawData'!B$2:B$822=B473)*('RawData'!G$2:G$822&gt;G473)*(ISERROR(SEARCH("World",'RawData'!C$2:C$822)))*(ISERROR(SEARCH("Other",'RawData'!C$2:C$822))))+1)))</f>
        <v>20</v>
      </c>
      <c r="K473" s="14">
        <f>IF(ISNUMBER(SEARCH("World",'RawData'!C518)),"",'RawData'!H518)</f>
        <v>71000</v>
      </c>
      <c r="L473" s="14">
        <f>IF(ISNUMBER(SEARCH("World",'RawData'!C518)),"",SUMIFS('RawData'!H:H,'RawData'!B:B,'RawData'!B518,'RawData'!C:C,"*World*"))</f>
        <v>73000000</v>
      </c>
      <c r="M473" s="15">
        <f>IF(ISNUMBER(SEARCH("World",'RawData'!C518)),"",IFERROR(K473/L473,"-"))</f>
        <v>9.7260273972602743E-4</v>
      </c>
      <c r="N473" s="7">
        <f>IF(ISNUMBER(SEARCH("World",'RawData'!C518)),"",IF(ISNUMBER(SEARCH("Other",C473)),COUNTIFS('RawData'!B:B,B473,'RawData'!C:C,"&lt;&gt;*World*"),IF(OR(K473="",K473=0),"-",SUMPRODUCT(('RawData'!B$2:B$822=B473)*('RawData'!H$2:H$822&gt;K473)*(ISERROR(SEARCH("World",'RawData'!C$2:C$822)))*(ISERROR(SEARCH("Other",'RawData'!C$2:C$822))))+1)))</f>
        <v>18</v>
      </c>
    </row>
    <row r="474" spans="1:14" x14ac:dyDescent="0.3">
      <c r="A474" s="4" t="str">
        <f>IF(ISNUMBER(SEARCH("World",'RawData'!C519)),"",'RawData'!A519)</f>
        <v>MCS2026</v>
      </c>
      <c r="B474" s="4" t="str">
        <f>IF(ISNUMBER(SEARCH("World",'RawData'!C519)),"",'RawData'!B519)</f>
        <v>Phosphorus</v>
      </c>
      <c r="C474" s="4" t="str">
        <f>IF(ISNUMBER(SEARCH("World",'RawData'!C519)),"",'RawData'!C519)</f>
        <v xml:space="preserve">Russia </v>
      </c>
      <c r="D474" s="4" t="str">
        <f>IF(ISNUMBER(SEARCH("World",'RawData'!C519)),"",'RawData'!D519)</f>
        <v>Mine production, marketable phosphate rock</v>
      </c>
      <c r="E474" s="4" t="str">
        <f>IF(ISNUMBER(SEARCH("World",'RawData'!C519)),"",IF('RawData'!E519="WT001","kg",IF('RawData'!E519="WT002","ton",IF('RawData'!E519="WT003","k ton",""))))</f>
        <v>k ton</v>
      </c>
      <c r="F474" s="14">
        <f>IF(ISNUMBER(SEARCH("World",'RawData'!C519)),"",'RawData'!F519)</f>
        <v>14400</v>
      </c>
      <c r="G474" s="14">
        <f>IF(ISNUMBER(SEARCH("World",'RawData'!C519)),"",'RawData'!G519)</f>
        <v>14000</v>
      </c>
      <c r="H474" s="14">
        <f>IF(ISNUMBER(SEARCH("World",'RawData'!C519)),"",SUMIFS('RawData'!G:G,'RawData'!B:B,'RawData'!B519,'RawData'!C:C,"*World*"))</f>
        <v>250000</v>
      </c>
      <c r="I474" s="15">
        <f>IF(ISNUMBER(SEARCH("World",'RawData'!C519)),"",IFERROR(G474/H474,"-"))</f>
        <v>5.6000000000000001E-2</v>
      </c>
      <c r="J474" s="7">
        <f>IF(ISNUMBER(SEARCH("World",'RawData'!C519)),"",IF(ISNUMBER(SEARCH("Other",C474)),COUNTIFS('RawData'!B:B,B474,'RawData'!C:C,"&lt;&gt;*World*"),IF(OR(G474="",G474=0),"-",SUMPRODUCT(('RawData'!B$2:B$822=B474)*('RawData'!G$2:G$822&gt;G474)*(ISERROR(SEARCH("World",'RawData'!C$2:C$822)))*(ISERROR(SEARCH("Other",'RawData'!C$2:C$822))))+1)))</f>
        <v>4</v>
      </c>
      <c r="K474" s="14">
        <f>IF(ISNUMBER(SEARCH("World",'RawData'!C519)),"",'RawData'!H519)</f>
        <v>2400000</v>
      </c>
      <c r="L474" s="14">
        <f>IF(ISNUMBER(SEARCH("World",'RawData'!C519)),"",SUMIFS('RawData'!H:H,'RawData'!B:B,'RawData'!B519,'RawData'!C:C,"*World*"))</f>
        <v>73000000</v>
      </c>
      <c r="M474" s="15">
        <f>IF(ISNUMBER(SEARCH("World",'RawData'!C519)),"",IFERROR(K474/L474,"-"))</f>
        <v>3.287671232876712E-2</v>
      </c>
      <c r="N474" s="7">
        <f>IF(ISNUMBER(SEARCH("World",'RawData'!C519)),"",IF(ISNUMBER(SEARCH("Other",C474)),COUNTIFS('RawData'!B:B,B474,'RawData'!C:C,"&lt;&gt;*World*"),IF(OR(K474="",K474=0),"-",SUMPRODUCT(('RawData'!B$2:B$822=B474)*('RawData'!H$2:H$822&gt;K474)*(ISERROR(SEARCH("World",'RawData'!C$2:C$822)))*(ISERROR(SEARCH("Other",'RawData'!C$2:C$822))))+1)))</f>
        <v>5</v>
      </c>
    </row>
    <row r="475" spans="1:14" x14ac:dyDescent="0.3">
      <c r="A475" s="4" t="str">
        <f>IF(ISNUMBER(SEARCH("World",'RawData'!C520)),"",'RawData'!A520)</f>
        <v>MCS2026</v>
      </c>
      <c r="B475" s="4" t="str">
        <f>IF(ISNUMBER(SEARCH("World",'RawData'!C520)),"",'RawData'!B520)</f>
        <v>Phosphorus</v>
      </c>
      <c r="C475" s="4" t="str">
        <f>IF(ISNUMBER(SEARCH("World",'RawData'!C520)),"",'RawData'!C520)</f>
        <v>Saudi Arabia</v>
      </c>
      <c r="D475" s="4" t="str">
        <f>IF(ISNUMBER(SEARCH("World",'RawData'!C520)),"",'RawData'!D520)</f>
        <v>Mine production, marketable phosphate rock</v>
      </c>
      <c r="E475" s="4" t="str">
        <f>IF(ISNUMBER(SEARCH("World",'RawData'!C520)),"",IF('RawData'!E520="WT001","kg",IF('RawData'!E520="WT002","ton",IF('RawData'!E520="WT003","k ton",""))))</f>
        <v>k ton</v>
      </c>
      <c r="F475" s="14">
        <f>IF(ISNUMBER(SEARCH("World",'RawData'!C520)),"",'RawData'!F520)</f>
        <v>10000</v>
      </c>
      <c r="G475" s="14">
        <f>IF(ISNUMBER(SEARCH("World",'RawData'!C520)),"",'RawData'!G520)</f>
        <v>10000</v>
      </c>
      <c r="H475" s="14">
        <f>IF(ISNUMBER(SEARCH("World",'RawData'!C520)),"",SUMIFS('RawData'!G:G,'RawData'!B:B,'RawData'!B520,'RawData'!C:C,"*World*"))</f>
        <v>250000</v>
      </c>
      <c r="I475" s="15">
        <f>IF(ISNUMBER(SEARCH("World",'RawData'!C520)),"",IFERROR(G475/H475,"-"))</f>
        <v>0.04</v>
      </c>
      <c r="J475" s="7">
        <f>IF(ISNUMBER(SEARCH("World",'RawData'!C520)),"",IF(ISNUMBER(SEARCH("Other",C475)),COUNTIFS('RawData'!B:B,B475,'RawData'!C:C,"&lt;&gt;*World*"),IF(OR(G475="",G475=0),"-",SUMPRODUCT(('RawData'!B$2:B$822=B475)*('RawData'!G$2:G$822&gt;G475)*(ISERROR(SEARCH("World",'RawData'!C$2:C$822)))*(ISERROR(SEARCH("Other",'RawData'!C$2:C$822))))+1)))</f>
        <v>6</v>
      </c>
      <c r="K475" s="14">
        <f>IF(ISNUMBER(SEARCH("World",'RawData'!C520)),"",'RawData'!H520)</f>
        <v>1000000</v>
      </c>
      <c r="L475" s="14">
        <f>IF(ISNUMBER(SEARCH("World",'RawData'!C520)),"",SUMIFS('RawData'!H:H,'RawData'!B:B,'RawData'!B520,'RawData'!C:C,"*World*"))</f>
        <v>73000000</v>
      </c>
      <c r="M475" s="15">
        <f>IF(ISNUMBER(SEARCH("World",'RawData'!C520)),"",IFERROR(K475/L475,"-"))</f>
        <v>1.3698630136986301E-2</v>
      </c>
      <c r="N475" s="7">
        <f>IF(ISNUMBER(SEARCH("World",'RawData'!C520)),"",IF(ISNUMBER(SEARCH("Other",C475)),COUNTIFS('RawData'!B:B,B475,'RawData'!C:C,"&lt;&gt;*World*"),IF(OR(K475="",K475=0),"-",SUMPRODUCT(('RawData'!B$2:B$822=B475)*('RawData'!H$2:H$822&gt;K475)*(ISERROR(SEARCH("World",'RawData'!C$2:C$822)))*(ISERROR(SEARCH("Other",'RawData'!C$2:C$822))))+1)))</f>
        <v>9</v>
      </c>
    </row>
    <row r="476" spans="1:14" x14ac:dyDescent="0.3">
      <c r="A476" s="4" t="str">
        <f>IF(ISNUMBER(SEARCH("World",'RawData'!C521)),"",'RawData'!A521)</f>
        <v>MCS2026</v>
      </c>
      <c r="B476" s="4" t="str">
        <f>IF(ISNUMBER(SEARCH("World",'RawData'!C521)),"",'RawData'!B521)</f>
        <v>Phosphorus</v>
      </c>
      <c r="C476" s="4" t="str">
        <f>IF(ISNUMBER(SEARCH("World",'RawData'!C521)),"",'RawData'!C521)</f>
        <v>Senegal</v>
      </c>
      <c r="D476" s="4" t="str">
        <f>IF(ISNUMBER(SEARCH("World",'RawData'!C521)),"",'RawData'!D521)</f>
        <v>Mine production, marketable phosphate rock</v>
      </c>
      <c r="E476" s="4" t="str">
        <f>IF(ISNUMBER(SEARCH("World",'RawData'!C521)),"",IF('RawData'!E521="WT001","kg",IF('RawData'!E521="WT002","ton",IF('RawData'!E521="WT003","k ton",""))))</f>
        <v>k ton</v>
      </c>
      <c r="F476" s="14">
        <f>IF(ISNUMBER(SEARCH("World",'RawData'!C521)),"",'RawData'!F521)</f>
        <v>2800</v>
      </c>
      <c r="G476" s="14">
        <f>IF(ISNUMBER(SEARCH("World",'RawData'!C521)),"",'RawData'!G521)</f>
        <v>2800</v>
      </c>
      <c r="H476" s="14">
        <f>IF(ISNUMBER(SEARCH("World",'RawData'!C521)),"",SUMIFS('RawData'!G:G,'RawData'!B:B,'RawData'!B521,'RawData'!C:C,"*World*"))</f>
        <v>250000</v>
      </c>
      <c r="I476" s="15">
        <f>IF(ISNUMBER(SEARCH("World",'RawData'!C521)),"",IFERROR(G476/H476,"-"))</f>
        <v>1.12E-2</v>
      </c>
      <c r="J476" s="7">
        <f>IF(ISNUMBER(SEARCH("World",'RawData'!C521)),"",IF(ISNUMBER(SEARCH("Other",C476)),COUNTIFS('RawData'!B:B,B476,'RawData'!C:C,"&lt;&gt;*World*"),IF(OR(G476="",G476=0),"-",SUMPRODUCT(('RawData'!B$2:B$822=B476)*('RawData'!G$2:G$822&gt;G476)*(ISERROR(SEARCH("World",'RawData'!C$2:C$822)))*(ISERROR(SEARCH("Other",'RawData'!C$2:C$822))))+1)))</f>
        <v>12</v>
      </c>
      <c r="K476" s="14">
        <f>IF(ISNUMBER(SEARCH("World",'RawData'!C521)),"",'RawData'!H521)</f>
        <v>50000</v>
      </c>
      <c r="L476" s="14">
        <f>IF(ISNUMBER(SEARCH("World",'RawData'!C521)),"",SUMIFS('RawData'!H:H,'RawData'!B:B,'RawData'!B521,'RawData'!C:C,"*World*"))</f>
        <v>73000000</v>
      </c>
      <c r="M476" s="15">
        <f>IF(ISNUMBER(SEARCH("World",'RawData'!C521)),"",IFERROR(K476/L476,"-"))</f>
        <v>6.8493150684931507E-4</v>
      </c>
      <c r="N476" s="7">
        <f>IF(ISNUMBER(SEARCH("World",'RawData'!C521)),"",IF(ISNUMBER(SEARCH("Other",C476)),COUNTIFS('RawData'!B:B,B476,'RawData'!C:C,"&lt;&gt;*World*"),IF(OR(K476="",K476=0),"-",SUMPRODUCT(('RawData'!B$2:B$822=B476)*('RawData'!H$2:H$822&gt;K476)*(ISERROR(SEARCH("World",'RawData'!C$2:C$822)))*(ISERROR(SEARCH("Other",'RawData'!C$2:C$822))))+1)))</f>
        <v>20</v>
      </c>
    </row>
    <row r="477" spans="1:14" x14ac:dyDescent="0.3">
      <c r="A477" s="4" t="str">
        <f>IF(ISNUMBER(SEARCH("World",'RawData'!C522)),"",'RawData'!A522)</f>
        <v>MCS2026</v>
      </c>
      <c r="B477" s="4" t="str">
        <f>IF(ISNUMBER(SEARCH("World",'RawData'!C522)),"",'RawData'!B522)</f>
        <v>Phosphorus</v>
      </c>
      <c r="C477" s="4" t="str">
        <f>IF(ISNUMBER(SEARCH("World",'RawData'!C522)),"",'RawData'!C522)</f>
        <v xml:space="preserve">South Africa </v>
      </c>
      <c r="D477" s="4" t="str">
        <f>IF(ISNUMBER(SEARCH("World",'RawData'!C522)),"",'RawData'!D522)</f>
        <v>Mine production, marketable phosphate rock</v>
      </c>
      <c r="E477" s="4" t="str">
        <f>IF(ISNUMBER(SEARCH("World",'RawData'!C522)),"",IF('RawData'!E522="WT001","kg",IF('RawData'!E522="WT002","ton",IF('RawData'!E522="WT003","k ton",""))))</f>
        <v>k ton</v>
      </c>
      <c r="F477" s="14">
        <f>IF(ISNUMBER(SEARCH("World",'RawData'!C522)),"",'RawData'!F522)</f>
        <v>2220</v>
      </c>
      <c r="G477" s="14">
        <f>IF(ISNUMBER(SEARCH("World",'RawData'!C522)),"",'RawData'!G522)</f>
        <v>2200</v>
      </c>
      <c r="H477" s="14">
        <f>IF(ISNUMBER(SEARCH("World",'RawData'!C522)),"",SUMIFS('RawData'!G:G,'RawData'!B:B,'RawData'!B522,'RawData'!C:C,"*World*"))</f>
        <v>250000</v>
      </c>
      <c r="I477" s="15">
        <f>IF(ISNUMBER(SEARCH("World",'RawData'!C522)),"",IFERROR(G477/H477,"-"))</f>
        <v>8.8000000000000005E-3</v>
      </c>
      <c r="J477" s="7">
        <f>IF(ISNUMBER(SEARCH("World",'RawData'!C522)),"",IF(ISNUMBER(SEARCH("Other",C477)),COUNTIFS('RawData'!B:B,B477,'RawData'!C:C,"&lt;&gt;*World*"),IF(OR(G477="",G477=0),"-",SUMPRODUCT(('RawData'!B$2:B$822=B477)*('RawData'!G$2:G$822&gt;G477)*(ISERROR(SEARCH("World",'RawData'!C$2:C$822)))*(ISERROR(SEARCH("Other",'RawData'!C$2:C$822))))+1)))</f>
        <v>15</v>
      </c>
      <c r="K477" s="14">
        <f>IF(ISNUMBER(SEARCH("World",'RawData'!C522)),"",'RawData'!H522)</f>
        <v>1500000</v>
      </c>
      <c r="L477" s="14">
        <f>IF(ISNUMBER(SEARCH("World",'RawData'!C522)),"",SUMIFS('RawData'!H:H,'RawData'!B:B,'RawData'!B522,'RawData'!C:C,"*World*"))</f>
        <v>73000000</v>
      </c>
      <c r="M477" s="15">
        <f>IF(ISNUMBER(SEARCH("World",'RawData'!C522)),"",IFERROR(K477/L477,"-"))</f>
        <v>2.0547945205479451E-2</v>
      </c>
      <c r="N477" s="7">
        <f>IF(ISNUMBER(SEARCH("World",'RawData'!C522)),"",IF(ISNUMBER(SEARCH("Other",C477)),COUNTIFS('RawData'!B:B,B477,'RawData'!C:C,"&lt;&gt;*World*"),IF(OR(K477="",K477=0),"-",SUMPRODUCT(('RawData'!B$2:B$822=B477)*('RawData'!H$2:H$822&gt;K477)*(ISERROR(SEARCH("World",'RawData'!C$2:C$822)))*(ISERROR(SEARCH("Other",'RawData'!C$2:C$822))))+1)))</f>
        <v>8</v>
      </c>
    </row>
    <row r="478" spans="1:14" x14ac:dyDescent="0.3">
      <c r="A478" s="4" t="str">
        <f>IF(ISNUMBER(SEARCH("World",'RawData'!C523)),"",'RawData'!A523)</f>
        <v>MCS2026</v>
      </c>
      <c r="B478" s="4" t="str">
        <f>IF(ISNUMBER(SEARCH("World",'RawData'!C523)),"",'RawData'!B523)</f>
        <v>Phosphorus</v>
      </c>
      <c r="C478" s="4" t="str">
        <f>IF(ISNUMBER(SEARCH("World",'RawData'!C523)),"",'RawData'!C523)</f>
        <v>Syria</v>
      </c>
      <c r="D478" s="4" t="str">
        <f>IF(ISNUMBER(SEARCH("World",'RawData'!C523)),"",'RawData'!D523)</f>
        <v>Mine production, marketable phosphate rock</v>
      </c>
      <c r="E478" s="4" t="str">
        <f>IF(ISNUMBER(SEARCH("World",'RawData'!C523)),"",IF('RawData'!E523="WT001","kg",IF('RawData'!E523="WT002","ton",IF('RawData'!E523="WT003","k ton",""))))</f>
        <v>k ton</v>
      </c>
      <c r="F478" s="14">
        <f>IF(ISNUMBER(SEARCH("World",'RawData'!C523)),"",'RawData'!F523)</f>
        <v>800</v>
      </c>
      <c r="G478" s="14">
        <f>IF(ISNUMBER(SEARCH("World",'RawData'!C523)),"",'RawData'!G523)</f>
        <v>800</v>
      </c>
      <c r="H478" s="14">
        <f>IF(ISNUMBER(SEARCH("World",'RawData'!C523)),"",SUMIFS('RawData'!G:G,'RawData'!B:B,'RawData'!B523,'RawData'!C:C,"*World*"))</f>
        <v>250000</v>
      </c>
      <c r="I478" s="15">
        <f>IF(ISNUMBER(SEARCH("World",'RawData'!C523)),"",IFERROR(G478/H478,"-"))</f>
        <v>3.2000000000000002E-3</v>
      </c>
      <c r="J478" s="7">
        <f>IF(ISNUMBER(SEARCH("World",'RawData'!C523)),"",IF(ISNUMBER(SEARCH("Other",C478)),COUNTIFS('RawData'!B:B,B478,'RawData'!C:C,"&lt;&gt;*World*"),IF(OR(G478="",G478=0),"-",SUMPRODUCT(('RawData'!B$2:B$822=B478)*('RawData'!G$2:G$822&gt;G478)*(ISERROR(SEARCH("World",'RawData'!C$2:C$822)))*(ISERROR(SEARCH("Other",'RawData'!C$2:C$822))))+1)))</f>
        <v>23</v>
      </c>
      <c r="K478" s="14">
        <f>IF(ISNUMBER(SEARCH("World",'RawData'!C523)),"",'RawData'!H523)</f>
        <v>250000</v>
      </c>
      <c r="L478" s="14">
        <f>IF(ISNUMBER(SEARCH("World",'RawData'!C523)),"",SUMIFS('RawData'!H:H,'RawData'!B:B,'RawData'!B523,'RawData'!C:C,"*World*"))</f>
        <v>73000000</v>
      </c>
      <c r="M478" s="15">
        <f>IF(ISNUMBER(SEARCH("World",'RawData'!C523)),"",IFERROR(K478/L478,"-"))</f>
        <v>3.4246575342465752E-3</v>
      </c>
      <c r="N478" s="7">
        <f>IF(ISNUMBER(SEARCH("World",'RawData'!C523)),"",IF(ISNUMBER(SEARCH("Other",C478)),COUNTIFS('RawData'!B:B,B478,'RawData'!C:C,"&lt;&gt;*World*"),IF(OR(K478="",K478=0),"-",SUMPRODUCT(('RawData'!B$2:B$822=B478)*('RawData'!H$2:H$822&gt;K478)*(ISERROR(SEARCH("World",'RawData'!C$2:C$822)))*(ISERROR(SEARCH("Other",'RawData'!C$2:C$822))))+1)))</f>
        <v>15</v>
      </c>
    </row>
    <row r="479" spans="1:14" x14ac:dyDescent="0.3">
      <c r="A479" s="4" t="str">
        <f>IF(ISNUMBER(SEARCH("World",'RawData'!C524)),"",'RawData'!A524)</f>
        <v>MCS2026</v>
      </c>
      <c r="B479" s="4" t="str">
        <f>IF(ISNUMBER(SEARCH("World",'RawData'!C524)),"",'RawData'!B524)</f>
        <v>Phosphorus</v>
      </c>
      <c r="C479" s="4" t="str">
        <f>IF(ISNUMBER(SEARCH("World",'RawData'!C524)),"",'RawData'!C524)</f>
        <v>Togo</v>
      </c>
      <c r="D479" s="4" t="str">
        <f>IF(ISNUMBER(SEARCH("World",'RawData'!C524)),"",'RawData'!D524)</f>
        <v>Mine production, marketable phosphate rock</v>
      </c>
      <c r="E479" s="4" t="str">
        <f>IF(ISNUMBER(SEARCH("World",'RawData'!C524)),"",IF('RawData'!E524="WT001","kg",IF('RawData'!E524="WT002","ton",IF('RawData'!E524="WT003","k ton",""))))</f>
        <v>k ton</v>
      </c>
      <c r="F479" s="14">
        <f>IF(ISNUMBER(SEARCH("World",'RawData'!C524)),"",'RawData'!F524)</f>
        <v>1560</v>
      </c>
      <c r="G479" s="14">
        <f>IF(ISNUMBER(SEARCH("World",'RawData'!C524)),"",'RawData'!G524)</f>
        <v>1600</v>
      </c>
      <c r="H479" s="14">
        <f>IF(ISNUMBER(SEARCH("World",'RawData'!C524)),"",SUMIFS('RawData'!G:G,'RawData'!B:B,'RawData'!B524,'RawData'!C:C,"*World*"))</f>
        <v>250000</v>
      </c>
      <c r="I479" s="15">
        <f>IF(ISNUMBER(SEARCH("World",'RawData'!C524)),"",IFERROR(G479/H479,"-"))</f>
        <v>6.4000000000000003E-3</v>
      </c>
      <c r="J479" s="7">
        <f>IF(ISNUMBER(SEARCH("World",'RawData'!C524)),"",IF(ISNUMBER(SEARCH("Other",C479)),COUNTIFS('RawData'!B:B,B479,'RawData'!C:C,"&lt;&gt;*World*"),IF(OR(G479="",G479=0),"-",SUMPRODUCT(('RawData'!B$2:B$822=B479)*('RawData'!G$2:G$822&gt;G479)*(ISERROR(SEARCH("World",'RawData'!C$2:C$822)))*(ISERROR(SEARCH("Other",'RawData'!C$2:C$822))))+1)))</f>
        <v>18</v>
      </c>
      <c r="K479" s="14">
        <f>IF(ISNUMBER(SEARCH("World",'RawData'!C524)),"",'RawData'!H524)</f>
        <v>30000</v>
      </c>
      <c r="L479" s="14">
        <f>IF(ISNUMBER(SEARCH("World",'RawData'!C524)),"",SUMIFS('RawData'!H:H,'RawData'!B:B,'RawData'!B524,'RawData'!C:C,"*World*"))</f>
        <v>73000000</v>
      </c>
      <c r="M479" s="15">
        <f>IF(ISNUMBER(SEARCH("World",'RawData'!C524)),"",IFERROR(K479/L479,"-"))</f>
        <v>4.1095890410958907E-4</v>
      </c>
      <c r="N479" s="7">
        <f>IF(ISNUMBER(SEARCH("World",'RawData'!C524)),"",IF(ISNUMBER(SEARCH("Other",C479)),COUNTIFS('RawData'!B:B,B479,'RawData'!C:C,"&lt;&gt;*World*"),IF(OR(K479="",K479=0),"-",SUMPRODUCT(('RawData'!B$2:B$822=B479)*('RawData'!H$2:H$822&gt;K479)*(ISERROR(SEARCH("World",'RawData'!C$2:C$822)))*(ISERROR(SEARCH("Other",'RawData'!C$2:C$822))))+1)))</f>
        <v>22</v>
      </c>
    </row>
    <row r="480" spans="1:14" x14ac:dyDescent="0.3">
      <c r="A480" s="4" t="str">
        <f>IF(ISNUMBER(SEARCH("World",'RawData'!C525)),"",'RawData'!A525)</f>
        <v>MCS2026</v>
      </c>
      <c r="B480" s="4" t="str">
        <f>IF(ISNUMBER(SEARCH("World",'RawData'!C525)),"",'RawData'!B525)</f>
        <v>Phosphorus</v>
      </c>
      <c r="C480" s="4" t="str">
        <f>IF(ISNUMBER(SEARCH("World",'RawData'!C525)),"",'RawData'!C525)</f>
        <v>Tunisia</v>
      </c>
      <c r="D480" s="4" t="str">
        <f>IF(ISNUMBER(SEARCH("World",'RawData'!C525)),"",'RawData'!D525)</f>
        <v>Mine production, marketable phosphate rock</v>
      </c>
      <c r="E480" s="4" t="str">
        <f>IF(ISNUMBER(SEARCH("World",'RawData'!C525)),"",IF('RawData'!E525="WT001","kg",IF('RawData'!E525="WT002","ton",IF('RawData'!E525="WT003","k ton",""))))</f>
        <v>k ton</v>
      </c>
      <c r="F480" s="14">
        <f>IF(ISNUMBER(SEARCH("World",'RawData'!C525)),"",'RawData'!F525)</f>
        <v>3280</v>
      </c>
      <c r="G480" s="14">
        <f>IF(ISNUMBER(SEARCH("World",'RawData'!C525)),"",'RawData'!G525)</f>
        <v>3300</v>
      </c>
      <c r="H480" s="14">
        <f>IF(ISNUMBER(SEARCH("World",'RawData'!C525)),"",SUMIFS('RawData'!G:G,'RawData'!B:B,'RawData'!B525,'RawData'!C:C,"*World*"))</f>
        <v>250000</v>
      </c>
      <c r="I480" s="15">
        <f>IF(ISNUMBER(SEARCH("World",'RawData'!C525)),"",IFERROR(G480/H480,"-"))</f>
        <v>1.32E-2</v>
      </c>
      <c r="J480" s="7">
        <f>IF(ISNUMBER(SEARCH("World",'RawData'!C525)),"",IF(ISNUMBER(SEARCH("Other",C480)),COUNTIFS('RawData'!B:B,B480,'RawData'!C:C,"&lt;&gt;*World*"),IF(OR(G480="",G480=0),"-",SUMPRODUCT(('RawData'!B$2:B$822=B480)*('RawData'!G$2:G$822&gt;G480)*(ISERROR(SEARCH("World",'RawData'!C$2:C$822)))*(ISERROR(SEARCH("Other",'RawData'!C$2:C$822))))+1)))</f>
        <v>10</v>
      </c>
      <c r="K480" s="14">
        <f>IF(ISNUMBER(SEARCH("World",'RawData'!C525)),"",'RawData'!H525)</f>
        <v>2500000</v>
      </c>
      <c r="L480" s="14">
        <f>IF(ISNUMBER(SEARCH("World",'RawData'!C525)),"",SUMIFS('RawData'!H:H,'RawData'!B:B,'RawData'!B525,'RawData'!C:C,"*World*"))</f>
        <v>73000000</v>
      </c>
      <c r="M480" s="15">
        <f>IF(ISNUMBER(SEARCH("World",'RawData'!C525)),"",IFERROR(K480/L480,"-"))</f>
        <v>3.4246575342465752E-2</v>
      </c>
      <c r="N480" s="7">
        <f>IF(ISNUMBER(SEARCH("World",'RawData'!C525)),"",IF(ISNUMBER(SEARCH("Other",C480)),COUNTIFS('RawData'!B:B,B480,'RawData'!C:C,"&lt;&gt;*World*"),IF(OR(K480="",K480=0),"-",SUMPRODUCT(('RawData'!B$2:B$822=B480)*('RawData'!H$2:H$822&gt;K480)*(ISERROR(SEARCH("World",'RawData'!C$2:C$822)))*(ISERROR(SEARCH("Other",'RawData'!C$2:C$822))))+1)))</f>
        <v>4</v>
      </c>
    </row>
    <row r="481" spans="1:14" x14ac:dyDescent="0.3">
      <c r="A481" s="4" t="str">
        <f>IF(ISNUMBER(SEARCH("World",'RawData'!C526)),"",'RawData'!A526)</f>
        <v>MCS2026</v>
      </c>
      <c r="B481" s="4" t="str">
        <f>IF(ISNUMBER(SEARCH("World",'RawData'!C526)),"",'RawData'!B526)</f>
        <v>Phosphorus</v>
      </c>
      <c r="C481" s="4" t="str">
        <f>IF(ISNUMBER(SEARCH("World",'RawData'!C526)),"",'RawData'!C526)</f>
        <v>United States</v>
      </c>
      <c r="D481" s="4" t="str">
        <f>IF(ISNUMBER(SEARCH("World",'RawData'!C526)),"",'RawData'!D526)</f>
        <v>Mine production, marketable phosphate rock</v>
      </c>
      <c r="E481" s="4" t="str">
        <f>IF(ISNUMBER(SEARCH("World",'RawData'!C526)),"",IF('RawData'!E526="WT001","kg",IF('RawData'!E526="WT002","ton",IF('RawData'!E526="WT003","k ton",""))))</f>
        <v>k ton</v>
      </c>
      <c r="F481" s="14">
        <f>IF(ISNUMBER(SEARCH("World",'RawData'!C526)),"",'RawData'!F526)</f>
        <v>19400</v>
      </c>
      <c r="G481" s="14">
        <f>IF(ISNUMBER(SEARCH("World",'RawData'!C526)),"",'RawData'!G526)</f>
        <v>20000</v>
      </c>
      <c r="H481" s="14">
        <f>IF(ISNUMBER(SEARCH("World",'RawData'!C526)),"",SUMIFS('RawData'!G:G,'RawData'!B:B,'RawData'!B526,'RawData'!C:C,"*World*"))</f>
        <v>250000</v>
      </c>
      <c r="I481" s="15">
        <f>IF(ISNUMBER(SEARCH("World",'RawData'!C526)),"",IFERROR(G481/H481,"-"))</f>
        <v>0.08</v>
      </c>
      <c r="J481" s="7">
        <f>IF(ISNUMBER(SEARCH("World",'RawData'!C526)),"",IF(ISNUMBER(SEARCH("Other",C481)),COUNTIFS('RawData'!B:B,B481,'RawData'!C:C,"&lt;&gt;*World*"),IF(OR(G481="",G481=0),"-",SUMPRODUCT(('RawData'!B$2:B$822=B481)*('RawData'!G$2:G$822&gt;G481)*(ISERROR(SEARCH("World",'RawData'!C$2:C$822)))*(ISERROR(SEARCH("Other",'RawData'!C$2:C$822))))+1)))</f>
        <v>3</v>
      </c>
      <c r="K481" s="14">
        <f>IF(ISNUMBER(SEARCH("World",'RawData'!C526)),"",'RawData'!H526)</f>
        <v>1000000</v>
      </c>
      <c r="L481" s="14">
        <f>IF(ISNUMBER(SEARCH("World",'RawData'!C526)),"",SUMIFS('RawData'!H:H,'RawData'!B:B,'RawData'!B526,'RawData'!C:C,"*World*"))</f>
        <v>73000000</v>
      </c>
      <c r="M481" s="15">
        <f>IF(ISNUMBER(SEARCH("World",'RawData'!C526)),"",IFERROR(K481/L481,"-"))</f>
        <v>1.3698630136986301E-2</v>
      </c>
      <c r="N481" s="7">
        <f>IF(ISNUMBER(SEARCH("World",'RawData'!C526)),"",IF(ISNUMBER(SEARCH("Other",C481)),COUNTIFS('RawData'!B:B,B481,'RawData'!C:C,"&lt;&gt;*World*"),IF(OR(K481="",K481=0),"-",SUMPRODUCT(('RawData'!B$2:B$822=B481)*('RawData'!H$2:H$822&gt;K481)*(ISERROR(SEARCH("World",'RawData'!C$2:C$822)))*(ISERROR(SEARCH("Other",'RawData'!C$2:C$822))))+1)))</f>
        <v>9</v>
      </c>
    </row>
    <row r="482" spans="1:14" x14ac:dyDescent="0.3">
      <c r="A482" s="4" t="str">
        <f>IF(ISNUMBER(SEARCH("World",'RawData'!C527)),"",'RawData'!A527)</f>
        <v>MCS2026</v>
      </c>
      <c r="B482" s="4" t="str">
        <f>IF(ISNUMBER(SEARCH("World",'RawData'!C527)),"",'RawData'!B527)</f>
        <v>Phosphorus</v>
      </c>
      <c r="C482" s="4" t="str">
        <f>IF(ISNUMBER(SEARCH("World",'RawData'!C527)),"",'RawData'!C527)</f>
        <v>Uzbekistan</v>
      </c>
      <c r="D482" s="4" t="str">
        <f>IF(ISNUMBER(SEARCH("World",'RawData'!C527)),"",'RawData'!D527)</f>
        <v>Mine production, marketable phosphate rock</v>
      </c>
      <c r="E482" s="4" t="str">
        <f>IF(ISNUMBER(SEARCH("World",'RawData'!C527)),"",IF('RawData'!E527="WT001","kg",IF('RawData'!E527="WT002","ton",IF('RawData'!E527="WT003","k ton",""))))</f>
        <v>k ton</v>
      </c>
      <c r="F482" s="14">
        <f>IF(ISNUMBER(SEARCH("World",'RawData'!C527)),"",'RawData'!F527)</f>
        <v>950</v>
      </c>
      <c r="G482" s="14">
        <f>IF(ISNUMBER(SEARCH("World",'RawData'!C527)),"",'RawData'!G527)</f>
        <v>950</v>
      </c>
      <c r="H482" s="14">
        <f>IF(ISNUMBER(SEARCH("World",'RawData'!C527)),"",SUMIFS('RawData'!G:G,'RawData'!B:B,'RawData'!B527,'RawData'!C:C,"*World*"))</f>
        <v>250000</v>
      </c>
      <c r="I482" s="15">
        <f>IF(ISNUMBER(SEARCH("World",'RawData'!C527)),"",IFERROR(G482/H482,"-"))</f>
        <v>3.8E-3</v>
      </c>
      <c r="J482" s="7">
        <f>IF(ISNUMBER(SEARCH("World",'RawData'!C527)),"",IF(ISNUMBER(SEARCH("Other",C482)),COUNTIFS('RawData'!B:B,B482,'RawData'!C:C,"&lt;&gt;*World*"),IF(OR(G482="",G482=0),"-",SUMPRODUCT(('RawData'!B$2:B$822=B482)*('RawData'!G$2:G$822&gt;G482)*(ISERROR(SEARCH("World",'RawData'!C$2:C$822)))*(ISERROR(SEARCH("Other",'RawData'!C$2:C$822))))+1)))</f>
        <v>22</v>
      </c>
      <c r="K482" s="14">
        <f>IF(ISNUMBER(SEARCH("World",'RawData'!C527)),"",'RawData'!H527)</f>
        <v>100000</v>
      </c>
      <c r="L482" s="14">
        <f>IF(ISNUMBER(SEARCH("World",'RawData'!C527)),"",SUMIFS('RawData'!H:H,'RawData'!B:B,'RawData'!B527,'RawData'!C:C,"*World*"))</f>
        <v>73000000</v>
      </c>
      <c r="M482" s="15">
        <f>IF(ISNUMBER(SEARCH("World",'RawData'!C527)),"",IFERROR(K482/L482,"-"))</f>
        <v>1.3698630136986301E-3</v>
      </c>
      <c r="N482" s="7">
        <f>IF(ISNUMBER(SEARCH("World",'RawData'!C527)),"",IF(ISNUMBER(SEARCH("Other",C482)),COUNTIFS('RawData'!B:B,B482,'RawData'!C:C,"&lt;&gt;*World*"),IF(OR(K482="",K482=0),"-",SUMPRODUCT(('RawData'!B$2:B$822=B482)*('RawData'!H$2:H$822&gt;K482)*(ISERROR(SEARCH("World",'RawData'!C$2:C$822)))*(ISERROR(SEARCH("Other",'RawData'!C$2:C$822))))+1)))</f>
        <v>17</v>
      </c>
    </row>
    <row r="483" spans="1:14" x14ac:dyDescent="0.3">
      <c r="A483" s="4" t="str">
        <f>IF(ISNUMBER(SEARCH("World",'RawData'!C528)),"",'RawData'!A528)</f>
        <v>MCS2026</v>
      </c>
      <c r="B483" s="4" t="str">
        <f>IF(ISNUMBER(SEARCH("World",'RawData'!C528)),"",'RawData'!B528)</f>
        <v>Phosphorus</v>
      </c>
      <c r="C483" s="4" t="str">
        <f>IF(ISNUMBER(SEARCH("World",'RawData'!C528)),"",'RawData'!C528)</f>
        <v>Vietnam</v>
      </c>
      <c r="D483" s="4" t="str">
        <f>IF(ISNUMBER(SEARCH("World",'RawData'!C528)),"",'RawData'!D528)</f>
        <v>Mine production, marketable phosphate rock</v>
      </c>
      <c r="E483" s="4" t="str">
        <f>IF(ISNUMBER(SEARCH("World",'RawData'!C528)),"",IF('RawData'!E528="WT001","kg",IF('RawData'!E528="WT002","ton",IF('RawData'!E528="WT003","k ton",""))))</f>
        <v>k ton</v>
      </c>
      <c r="F483" s="14">
        <f>IF(ISNUMBER(SEARCH("World",'RawData'!C528)),"",'RawData'!F528)</f>
        <v>3000</v>
      </c>
      <c r="G483" s="14">
        <f>IF(ISNUMBER(SEARCH("World",'RawData'!C528)),"",'RawData'!G528)</f>
        <v>3000</v>
      </c>
      <c r="H483" s="14">
        <f>IF(ISNUMBER(SEARCH("World",'RawData'!C528)),"",SUMIFS('RawData'!G:G,'RawData'!B:B,'RawData'!B528,'RawData'!C:C,"*World*"))</f>
        <v>250000</v>
      </c>
      <c r="I483" s="15">
        <f>IF(ISNUMBER(SEARCH("World",'RawData'!C528)),"",IFERROR(G483/H483,"-"))</f>
        <v>1.2E-2</v>
      </c>
      <c r="J483" s="7">
        <f>IF(ISNUMBER(SEARCH("World",'RawData'!C528)),"",IF(ISNUMBER(SEARCH("Other",C483)),COUNTIFS('RawData'!B:B,B483,'RawData'!C:C,"&lt;&gt;*World*"),IF(OR(G483="",G483=0),"-",SUMPRODUCT(('RawData'!B$2:B$822=B483)*('RawData'!G$2:G$822&gt;G483)*(ISERROR(SEARCH("World",'RawData'!C$2:C$822)))*(ISERROR(SEARCH("Other",'RawData'!C$2:C$822))))+1)))</f>
        <v>11</v>
      </c>
      <c r="K483" s="14">
        <f>IF(ISNUMBER(SEARCH("World",'RawData'!C528)),"",'RawData'!H528)</f>
        <v>30000</v>
      </c>
      <c r="L483" s="14">
        <f>IF(ISNUMBER(SEARCH("World",'RawData'!C528)),"",SUMIFS('RawData'!H:H,'RawData'!B:B,'RawData'!B528,'RawData'!C:C,"*World*"))</f>
        <v>73000000</v>
      </c>
      <c r="M483" s="15">
        <f>IF(ISNUMBER(SEARCH("World",'RawData'!C528)),"",IFERROR(K483/L483,"-"))</f>
        <v>4.1095890410958907E-4</v>
      </c>
      <c r="N483" s="7">
        <f>IF(ISNUMBER(SEARCH("World",'RawData'!C528)),"",IF(ISNUMBER(SEARCH("Other",C483)),COUNTIFS('RawData'!B:B,B483,'RawData'!C:C,"&lt;&gt;*World*"),IF(OR(K483="",K483=0),"-",SUMPRODUCT(('RawData'!B$2:B$822=B483)*('RawData'!H$2:H$822&gt;K483)*(ISERROR(SEARCH("World",'RawData'!C$2:C$822)))*(ISERROR(SEARCH("Other",'RawData'!C$2:C$822))))+1)))</f>
        <v>22</v>
      </c>
    </row>
    <row r="484" spans="1:14" x14ac:dyDescent="0.3">
      <c r="A484" s="4" t="str">
        <f>IF(ISNUMBER(SEARCH("World",'RawData'!C530)),"",'RawData'!A530)</f>
        <v>MCS2026</v>
      </c>
      <c r="B484" s="4" t="str">
        <f>IF(ISNUMBER(SEARCH("World",'RawData'!C530)),"",'RawData'!B530)</f>
        <v>Platinum</v>
      </c>
      <c r="C484" s="4" t="str">
        <f>IF(ISNUMBER(SEARCH("World",'RawData'!C530)),"",'RawData'!C530)</f>
        <v xml:space="preserve">Canada </v>
      </c>
      <c r="D484" s="4" t="str">
        <f>IF(ISNUMBER(SEARCH("World",'RawData'!C530)),"",'RawData'!D530)</f>
        <v>Mine production, Platinum content</v>
      </c>
      <c r="E484" s="4" t="str">
        <f>IF(ISNUMBER(SEARCH("World",'RawData'!C530)),"",IF('RawData'!E530="WT001","kg",IF('RawData'!E530="WT002","ton",IF('RawData'!E530="WT003","k ton",""))))</f>
        <v>kg</v>
      </c>
      <c r="F484" s="14">
        <f>IF(ISNUMBER(SEARCH("World",'RawData'!C530)),"",'RawData'!F530)</f>
        <v>5700</v>
      </c>
      <c r="G484" s="14">
        <f>IF(ISNUMBER(SEARCH("World",'RawData'!C530)),"",'RawData'!G530)</f>
        <v>5000</v>
      </c>
      <c r="H484" s="14">
        <f>IF(ISNUMBER(SEARCH("World",'RawData'!C530)),"",SUMIFS('RawData'!G:G,'RawData'!B:B,'RawData'!B530,'RawData'!C:C,"*World*"))</f>
        <v>170000</v>
      </c>
      <c r="I484" s="15">
        <f>IF(ISNUMBER(SEARCH("World",'RawData'!C530)),"",IFERROR(G484/H484,"-"))</f>
        <v>2.9411764705882353E-2</v>
      </c>
      <c r="J484" s="7">
        <f>IF(ISNUMBER(SEARCH("World",'RawData'!C530)),"",IF(ISNUMBER(SEARCH("Other",C484)),COUNTIFS('RawData'!B:B,B484,'RawData'!C:C,"&lt;&gt;*World*"),IF(OR(G484="",G484=0),"-",SUMPRODUCT(('RawData'!B$2:B$822=B484)*('RawData'!G$2:G$822&gt;G484)*(ISERROR(SEARCH("World",'RawData'!C$2:C$822)))*(ISERROR(SEARCH("Other",'RawData'!C$2:C$822))))+1)))</f>
        <v>4</v>
      </c>
      <c r="K484" s="14">
        <f>IF(ISNUMBER(SEARCH("World",'RawData'!C530)),"",'RawData'!H530)</f>
        <v>310000</v>
      </c>
      <c r="L484" s="14">
        <f>IF(ISNUMBER(SEARCH("World",'RawData'!C530)),"",SUMIFS('RawData'!H:H,'RawData'!B:B,'RawData'!B530,'RawData'!C:C,"*World*"))</f>
        <v>76000000</v>
      </c>
      <c r="M484" s="15">
        <f>IF(ISNUMBER(SEARCH("World",'RawData'!C530)),"",IFERROR(K484/L484,"-"))</f>
        <v>4.0789473684210526E-3</v>
      </c>
      <c r="N484" s="7">
        <f>IF(ISNUMBER(SEARCH("World",'RawData'!C530)),"",IF(ISNUMBER(SEARCH("Other",C484)),COUNTIFS('RawData'!B:B,B484,'RawData'!C:C,"&lt;&gt;*World*"),IF(OR(K484="",K484=0),"-",SUMPRODUCT(('RawData'!B$2:B$822=B484)*('RawData'!H$2:H$822&gt;K484)*(ISERROR(SEARCH("World",'RawData'!C$2:C$822)))*(ISERROR(SEARCH("Other",'RawData'!C$2:C$822))))+1)))</f>
        <v>5</v>
      </c>
    </row>
    <row r="485" spans="1:14" x14ac:dyDescent="0.3">
      <c r="A485" s="4" t="str">
        <f>IF(ISNUMBER(SEARCH("World",'RawData'!C531)),"",'RawData'!A531)</f>
        <v>MCS2026</v>
      </c>
      <c r="B485" s="4" t="str">
        <f>IF(ISNUMBER(SEARCH("World",'RawData'!C531)),"",'RawData'!B531)</f>
        <v>Platinum</v>
      </c>
      <c r="C485" s="4" t="str">
        <f>IF(ISNUMBER(SEARCH("World",'RawData'!C531)),"",'RawData'!C531)</f>
        <v>Other Countries</v>
      </c>
      <c r="D485" s="4" t="str">
        <f>IF(ISNUMBER(SEARCH("World",'RawData'!C531)),"",'RawData'!D531)</f>
        <v>Mine production, Platinum content</v>
      </c>
      <c r="E485" s="4" t="str">
        <f>IF(ISNUMBER(SEARCH("World",'RawData'!C531)),"",IF('RawData'!E531="WT001","kg",IF('RawData'!E531="WT002","ton",IF('RawData'!E531="WT003","k ton",""))))</f>
        <v>kg</v>
      </c>
      <c r="F485" s="14">
        <f>IF(ISNUMBER(SEARCH("World",'RawData'!C531)),"",'RawData'!F531)</f>
        <v>3860</v>
      </c>
      <c r="G485" s="14">
        <f>IF(ISNUMBER(SEARCH("World",'RawData'!C531)),"",'RawData'!G531)</f>
        <v>3900</v>
      </c>
      <c r="H485" s="14">
        <f>IF(ISNUMBER(SEARCH("World",'RawData'!C531)),"",SUMIFS('RawData'!G:G,'RawData'!B:B,'RawData'!B531,'RawData'!C:C,"*World*"))</f>
        <v>170000</v>
      </c>
      <c r="I485" s="15">
        <f>IF(ISNUMBER(SEARCH("World",'RawData'!C531)),"",IFERROR(G485/H485,"-"))</f>
        <v>2.2941176470588236E-2</v>
      </c>
      <c r="J485" s="7">
        <f>IF(ISNUMBER(SEARCH("World",'RawData'!C531)),"",IF(ISNUMBER(SEARCH("Other",C485)),COUNTIFS('RawData'!B:B,B485,'RawData'!C:C,"&lt;&gt;*World*"),IF(OR(G485="",G485=0),"-",SUMPRODUCT(('RawData'!B$2:B$822=B485)*('RawData'!G$2:G$822&gt;G485)*(ISERROR(SEARCH("World",'RawData'!C$2:C$822)))*(ISERROR(SEARCH("Other",'RawData'!C$2:C$822))))+1)))</f>
        <v>6</v>
      </c>
      <c r="K485" s="14">
        <f>IF(ISNUMBER(SEARCH("World",'RawData'!C531)),"",'RawData'!H531)</f>
        <v>0</v>
      </c>
      <c r="L485" s="14">
        <f>IF(ISNUMBER(SEARCH("World",'RawData'!C531)),"",SUMIFS('RawData'!H:H,'RawData'!B:B,'RawData'!B531,'RawData'!C:C,"*World*"))</f>
        <v>76000000</v>
      </c>
      <c r="M485" s="15">
        <f>IF(ISNUMBER(SEARCH("World",'RawData'!C531)),"",IFERROR(K485/L485,"-"))</f>
        <v>0</v>
      </c>
      <c r="N485" s="7">
        <f>IF(ISNUMBER(SEARCH("World",'RawData'!C531)),"",IF(ISNUMBER(SEARCH("Other",C485)),COUNTIFS('RawData'!B:B,B485,'RawData'!C:C,"&lt;&gt;*World*"),IF(OR(K485="",K485=0),"-",SUMPRODUCT(('RawData'!B$2:B$822=B485)*('RawData'!H$2:H$822&gt;K485)*(ISERROR(SEARCH("World",'RawData'!C$2:C$822)))*(ISERROR(SEARCH("Other",'RawData'!C$2:C$822))))+1)))</f>
        <v>6</v>
      </c>
    </row>
    <row r="486" spans="1:14" x14ac:dyDescent="0.3">
      <c r="A486" s="4" t="str">
        <f>IF(ISNUMBER(SEARCH("World",'RawData'!C532)),"",'RawData'!A532)</f>
        <v>MCS2026</v>
      </c>
      <c r="B486" s="4" t="str">
        <f>IF(ISNUMBER(SEARCH("World",'RawData'!C532)),"",'RawData'!B532)</f>
        <v>Platinum</v>
      </c>
      <c r="C486" s="4" t="str">
        <f>IF(ISNUMBER(SEARCH("World",'RawData'!C532)),"",'RawData'!C532)</f>
        <v xml:space="preserve">Russia </v>
      </c>
      <c r="D486" s="4" t="str">
        <f>IF(ISNUMBER(SEARCH("World",'RawData'!C532)),"",'RawData'!D532)</f>
        <v>Mine production, Platinum content</v>
      </c>
      <c r="E486" s="4" t="str">
        <f>IF(ISNUMBER(SEARCH("World",'RawData'!C532)),"",IF('RawData'!E532="WT001","kg",IF('RawData'!E532="WT002","ton",IF('RawData'!E532="WT003","k ton",""))))</f>
        <v>kg</v>
      </c>
      <c r="F486" s="14">
        <f>IF(ISNUMBER(SEARCH("World",'RawData'!C532)),"",'RawData'!F532)</f>
        <v>22000</v>
      </c>
      <c r="G486" s="14">
        <f>IF(ISNUMBER(SEARCH("World",'RawData'!C532)),"",'RawData'!G532)</f>
        <v>20000</v>
      </c>
      <c r="H486" s="14">
        <f>IF(ISNUMBER(SEARCH("World",'RawData'!C532)),"",SUMIFS('RawData'!G:G,'RawData'!B:B,'RawData'!B532,'RawData'!C:C,"*World*"))</f>
        <v>170000</v>
      </c>
      <c r="I486" s="15">
        <f>IF(ISNUMBER(SEARCH("World",'RawData'!C532)),"",IFERROR(G486/H486,"-"))</f>
        <v>0.11764705882352941</v>
      </c>
      <c r="J486" s="7">
        <f>IF(ISNUMBER(SEARCH("World",'RawData'!C532)),"",IF(ISNUMBER(SEARCH("Other",C486)),COUNTIFS('RawData'!B:B,B486,'RawData'!C:C,"&lt;&gt;*World*"),IF(OR(G486="",G486=0),"-",SUMPRODUCT(('RawData'!B$2:B$822=B486)*('RawData'!G$2:G$822&gt;G486)*(ISERROR(SEARCH("World",'RawData'!C$2:C$822)))*(ISERROR(SEARCH("Other",'RawData'!C$2:C$822))))+1)))</f>
        <v>2</v>
      </c>
      <c r="K486" s="14">
        <f>IF(ISNUMBER(SEARCH("World",'RawData'!C532)),"",'RawData'!H532)</f>
        <v>11000000</v>
      </c>
      <c r="L486" s="14">
        <f>IF(ISNUMBER(SEARCH("World",'RawData'!C532)),"",SUMIFS('RawData'!H:H,'RawData'!B:B,'RawData'!B532,'RawData'!C:C,"*World*"))</f>
        <v>76000000</v>
      </c>
      <c r="M486" s="15">
        <f>IF(ISNUMBER(SEARCH("World",'RawData'!C532)),"",IFERROR(K486/L486,"-"))</f>
        <v>0.14473684210526316</v>
      </c>
      <c r="N486" s="7">
        <f>IF(ISNUMBER(SEARCH("World",'RawData'!C532)),"",IF(ISNUMBER(SEARCH("Other",C486)),COUNTIFS('RawData'!B:B,B486,'RawData'!C:C,"&lt;&gt;*World*"),IF(OR(K486="",K486=0),"-",SUMPRODUCT(('RawData'!B$2:B$822=B486)*('RawData'!H$2:H$822&gt;K486)*(ISERROR(SEARCH("World",'RawData'!C$2:C$822)))*(ISERROR(SEARCH("Other",'RawData'!C$2:C$822))))+1)))</f>
        <v>2</v>
      </c>
    </row>
    <row r="487" spans="1:14" x14ac:dyDescent="0.3">
      <c r="A487" s="4" t="str">
        <f>IF(ISNUMBER(SEARCH("World",'RawData'!C533)),"",'RawData'!A533)</f>
        <v>MCS2026</v>
      </c>
      <c r="B487" s="4" t="str">
        <f>IF(ISNUMBER(SEARCH("World",'RawData'!C533)),"",'RawData'!B533)</f>
        <v>Platinum</v>
      </c>
      <c r="C487" s="4" t="str">
        <f>IF(ISNUMBER(SEARCH("World",'RawData'!C533)),"",'RawData'!C533)</f>
        <v xml:space="preserve">South Africa </v>
      </c>
      <c r="D487" s="4" t="str">
        <f>IF(ISNUMBER(SEARCH("World",'RawData'!C533)),"",'RawData'!D533)</f>
        <v>Mine production, Platinum content</v>
      </c>
      <c r="E487" s="4" t="str">
        <f>IF(ISNUMBER(SEARCH("World",'RawData'!C533)),"",IF('RawData'!E533="WT001","kg",IF('RawData'!E533="WT002","ton",IF('RawData'!E533="WT003","k ton",""))))</f>
        <v>kg</v>
      </c>
      <c r="F487" s="14">
        <f>IF(ISNUMBER(SEARCH("World",'RawData'!C533)),"",'RawData'!F533)</f>
        <v>126000</v>
      </c>
      <c r="G487" s="14">
        <f>IF(ISNUMBER(SEARCH("World",'RawData'!C533)),"",'RawData'!G533)</f>
        <v>120000</v>
      </c>
      <c r="H487" s="14">
        <f>IF(ISNUMBER(SEARCH("World",'RawData'!C533)),"",SUMIFS('RawData'!G:G,'RawData'!B:B,'RawData'!B533,'RawData'!C:C,"*World*"))</f>
        <v>170000</v>
      </c>
      <c r="I487" s="15">
        <f>IF(ISNUMBER(SEARCH("World",'RawData'!C533)),"",IFERROR(G487/H487,"-"))</f>
        <v>0.70588235294117652</v>
      </c>
      <c r="J487" s="7">
        <f>IF(ISNUMBER(SEARCH("World",'RawData'!C533)),"",IF(ISNUMBER(SEARCH("Other",C487)),COUNTIFS('RawData'!B:B,B487,'RawData'!C:C,"&lt;&gt;*World*"),IF(OR(G487="",G487=0),"-",SUMPRODUCT(('RawData'!B$2:B$822=B487)*('RawData'!G$2:G$822&gt;G487)*(ISERROR(SEARCH("World",'RawData'!C$2:C$822)))*(ISERROR(SEARCH("Other",'RawData'!C$2:C$822))))+1)))</f>
        <v>1</v>
      </c>
      <c r="K487" s="14">
        <f>IF(ISNUMBER(SEARCH("World",'RawData'!C533)),"",'RawData'!H533)</f>
        <v>63000000</v>
      </c>
      <c r="L487" s="14">
        <f>IF(ISNUMBER(SEARCH("World",'RawData'!C533)),"",SUMIFS('RawData'!H:H,'RawData'!B:B,'RawData'!B533,'RawData'!C:C,"*World*"))</f>
        <v>76000000</v>
      </c>
      <c r="M487" s="15">
        <f>IF(ISNUMBER(SEARCH("World",'RawData'!C533)),"",IFERROR(K487/L487,"-"))</f>
        <v>0.82894736842105265</v>
      </c>
      <c r="N487" s="7">
        <f>IF(ISNUMBER(SEARCH("World",'RawData'!C533)),"",IF(ISNUMBER(SEARCH("Other",C487)),COUNTIFS('RawData'!B:B,B487,'RawData'!C:C,"&lt;&gt;*World*"),IF(OR(K487="",K487=0),"-",SUMPRODUCT(('RawData'!B$2:B$822=B487)*('RawData'!H$2:H$822&gt;K487)*(ISERROR(SEARCH("World",'RawData'!C$2:C$822)))*(ISERROR(SEARCH("Other",'RawData'!C$2:C$822))))+1)))</f>
        <v>1</v>
      </c>
    </row>
    <row r="488" spans="1:14" x14ac:dyDescent="0.3">
      <c r="A488" s="4" t="str">
        <f>IF(ISNUMBER(SEARCH("World",'RawData'!C534)),"",'RawData'!A534)</f>
        <v>MCS2026</v>
      </c>
      <c r="B488" s="4" t="str">
        <f>IF(ISNUMBER(SEARCH("World",'RawData'!C534)),"",'RawData'!B534)</f>
        <v>Platinum</v>
      </c>
      <c r="C488" s="4" t="str">
        <f>IF(ISNUMBER(SEARCH("World",'RawData'!C534)),"",'RawData'!C534)</f>
        <v>United States</v>
      </c>
      <c r="D488" s="4" t="str">
        <f>IF(ISNUMBER(SEARCH("World",'RawData'!C534)),"",'RawData'!D534)</f>
        <v>Mine production, Platinum content</v>
      </c>
      <c r="E488" s="4" t="str">
        <f>IF(ISNUMBER(SEARCH("World",'RawData'!C534)),"",IF('RawData'!E534="WT001","kg",IF('RawData'!E534="WT002","ton",IF('RawData'!E534="WT003","k ton",""))))</f>
        <v>kg</v>
      </c>
      <c r="F488" s="14">
        <f>IF(ISNUMBER(SEARCH("World",'RawData'!C534)),"",'RawData'!F534)</f>
        <v>3010</v>
      </c>
      <c r="G488" s="14">
        <f>IF(ISNUMBER(SEARCH("World",'RawData'!C534)),"",'RawData'!G534)</f>
        <v>1800</v>
      </c>
      <c r="H488" s="14">
        <f>IF(ISNUMBER(SEARCH("World",'RawData'!C534)),"",SUMIFS('RawData'!G:G,'RawData'!B:B,'RawData'!B534,'RawData'!C:C,"*World*"))</f>
        <v>170000</v>
      </c>
      <c r="I488" s="15">
        <f>IF(ISNUMBER(SEARCH("World",'RawData'!C534)),"",IFERROR(G488/H488,"-"))</f>
        <v>1.0588235294117647E-2</v>
      </c>
      <c r="J488" s="7">
        <f>IF(ISNUMBER(SEARCH("World",'RawData'!C534)),"",IF(ISNUMBER(SEARCH("Other",C488)),COUNTIFS('RawData'!B:B,B488,'RawData'!C:C,"&lt;&gt;*World*"),IF(OR(G488="",G488=0),"-",SUMPRODUCT(('RawData'!B$2:B$822=B488)*('RawData'!G$2:G$822&gt;G488)*(ISERROR(SEARCH("World",'RawData'!C$2:C$822)))*(ISERROR(SEARCH("Other",'RawData'!C$2:C$822))))+1)))</f>
        <v>5</v>
      </c>
      <c r="K488" s="14">
        <f>IF(ISNUMBER(SEARCH("World",'RawData'!C534)),"",'RawData'!H534)</f>
        <v>590000</v>
      </c>
      <c r="L488" s="14">
        <f>IF(ISNUMBER(SEARCH("World",'RawData'!C534)),"",SUMIFS('RawData'!H:H,'RawData'!B:B,'RawData'!B534,'RawData'!C:C,"*World*"))</f>
        <v>76000000</v>
      </c>
      <c r="M488" s="15">
        <f>IF(ISNUMBER(SEARCH("World",'RawData'!C534)),"",IFERROR(K488/L488,"-"))</f>
        <v>7.7631578947368425E-3</v>
      </c>
      <c r="N488" s="7">
        <f>IF(ISNUMBER(SEARCH("World",'RawData'!C534)),"",IF(ISNUMBER(SEARCH("Other",C488)),COUNTIFS('RawData'!B:B,B488,'RawData'!C:C,"&lt;&gt;*World*"),IF(OR(K488="",K488=0),"-",SUMPRODUCT(('RawData'!B$2:B$822=B488)*('RawData'!H$2:H$822&gt;K488)*(ISERROR(SEARCH("World",'RawData'!C$2:C$822)))*(ISERROR(SEARCH("Other",'RawData'!C$2:C$822))))+1)))</f>
        <v>4</v>
      </c>
    </row>
    <row r="489" spans="1:14" x14ac:dyDescent="0.3">
      <c r="A489" s="4" t="str">
        <f>IF(ISNUMBER(SEARCH("World",'RawData'!C536)),"",'RawData'!A536)</f>
        <v>MCS2026</v>
      </c>
      <c r="B489" s="4" t="str">
        <f>IF(ISNUMBER(SEARCH("World",'RawData'!C536)),"",'RawData'!B536)</f>
        <v>Platinum</v>
      </c>
      <c r="C489" s="4" t="str">
        <f>IF(ISNUMBER(SEARCH("World",'RawData'!C536)),"",'RawData'!C536)</f>
        <v>Zimbabwe</v>
      </c>
      <c r="D489" s="4" t="str">
        <f>IF(ISNUMBER(SEARCH("World",'RawData'!C536)),"",'RawData'!D536)</f>
        <v>Mine production, Platinum content</v>
      </c>
      <c r="E489" s="4" t="str">
        <f>IF(ISNUMBER(SEARCH("World",'RawData'!C536)),"",IF('RawData'!E536="WT001","kg",IF('RawData'!E536="WT002","ton",IF('RawData'!E536="WT003","k ton",""))))</f>
        <v>kg</v>
      </c>
      <c r="F489" s="14">
        <f>IF(ISNUMBER(SEARCH("World",'RawData'!C536)),"",'RawData'!F536)</f>
        <v>18400</v>
      </c>
      <c r="G489" s="14">
        <f>IF(ISNUMBER(SEARCH("World",'RawData'!C536)),"",'RawData'!G536)</f>
        <v>18000</v>
      </c>
      <c r="H489" s="14">
        <f>IF(ISNUMBER(SEARCH("World",'RawData'!C536)),"",SUMIFS('RawData'!G:G,'RawData'!B:B,'RawData'!B536,'RawData'!C:C,"*World*"))</f>
        <v>170000</v>
      </c>
      <c r="I489" s="15">
        <f>IF(ISNUMBER(SEARCH("World",'RawData'!C536)),"",IFERROR(G489/H489,"-"))</f>
        <v>0.10588235294117647</v>
      </c>
      <c r="J489" s="7">
        <f>IF(ISNUMBER(SEARCH("World",'RawData'!C536)),"",IF(ISNUMBER(SEARCH("Other",C489)),COUNTIFS('RawData'!B:B,B489,'RawData'!C:C,"&lt;&gt;*World*"),IF(OR(G489="",G489=0),"-",SUMPRODUCT(('RawData'!B$2:B$822=B489)*('RawData'!G$2:G$822&gt;G489)*(ISERROR(SEARCH("World",'RawData'!C$2:C$822)))*(ISERROR(SEARCH("Other",'RawData'!C$2:C$822))))+1)))</f>
        <v>3</v>
      </c>
      <c r="K489" s="14">
        <f>IF(ISNUMBER(SEARCH("World",'RawData'!C536)),"",'RawData'!H536)</f>
        <v>1300000</v>
      </c>
      <c r="L489" s="14">
        <f>IF(ISNUMBER(SEARCH("World",'RawData'!C536)),"",SUMIFS('RawData'!H:H,'RawData'!B:B,'RawData'!B536,'RawData'!C:C,"*World*"))</f>
        <v>76000000</v>
      </c>
      <c r="M489" s="15">
        <f>IF(ISNUMBER(SEARCH("World",'RawData'!C536)),"",IFERROR(K489/L489,"-"))</f>
        <v>1.7105263157894738E-2</v>
      </c>
      <c r="N489" s="7">
        <f>IF(ISNUMBER(SEARCH("World",'RawData'!C536)),"",IF(ISNUMBER(SEARCH("Other",C489)),COUNTIFS('RawData'!B:B,B489,'RawData'!C:C,"&lt;&gt;*World*"),IF(OR(K489="",K489=0),"-",SUMPRODUCT(('RawData'!B$2:B$822=B489)*('RawData'!H$2:H$822&gt;K489)*(ISERROR(SEARCH("World",'RawData'!C$2:C$822)))*(ISERROR(SEARCH("Other",'RawData'!C$2:C$822))))+1)))</f>
        <v>3</v>
      </c>
    </row>
    <row r="490" spans="1:14" x14ac:dyDescent="0.3">
      <c r="A490" s="4" t="str">
        <f>IF(ISNUMBER(SEARCH("World",'RawData'!C537)),"",'RawData'!A537)</f>
        <v>MCS2026</v>
      </c>
      <c r="B490" s="4" t="str">
        <f>IF(ISNUMBER(SEARCH("World",'RawData'!C537)),"",'RawData'!B537)</f>
        <v>Potassium</v>
      </c>
      <c r="C490" s="4" t="str">
        <f>IF(ISNUMBER(SEARCH("World",'RawData'!C537)),"",'RawData'!C537)</f>
        <v>Belarus</v>
      </c>
      <c r="D490" s="4" t="str">
        <f>IF(ISNUMBER(SEARCH("World",'RawData'!C537)),"",'RawData'!D537)</f>
        <v>Mine production, potassium oxide (K₂O) equivalent</v>
      </c>
      <c r="E490" s="4" t="str">
        <f>IF(ISNUMBER(SEARCH("World",'RawData'!C537)),"",IF('RawData'!E537="WT001","kg",IF('RawData'!E537="WT002","ton",IF('RawData'!E537="WT003","k ton",""))))</f>
        <v>k ton</v>
      </c>
      <c r="F490" s="14">
        <f>IF(ISNUMBER(SEARCH("World",'RawData'!C537)),"",'RawData'!F537)</f>
        <v>5000</v>
      </c>
      <c r="G490" s="14">
        <f>IF(ISNUMBER(SEARCH("World",'RawData'!C537)),"",'RawData'!G537)</f>
        <v>6000</v>
      </c>
      <c r="H490" s="14">
        <f>IF(ISNUMBER(SEARCH("World",'RawData'!C537)),"",SUMIFS('RawData'!G:G,'RawData'!B:B,'RawData'!B537,'RawData'!C:C,"*World*"))</f>
        <v>49000</v>
      </c>
      <c r="I490" s="15">
        <f>IF(ISNUMBER(SEARCH("World",'RawData'!C537)),"",IFERROR(G490/H490,"-"))</f>
        <v>0.12244897959183673</v>
      </c>
      <c r="J490" s="7">
        <f>IF(ISNUMBER(SEARCH("World",'RawData'!C537)),"",IF(ISNUMBER(SEARCH("Other",C490)),COUNTIFS('RawData'!B:B,B490,'RawData'!C:C,"&lt;&gt;*World*"),IF(OR(G490="",G490=0),"-",SUMPRODUCT(('RawData'!B$2:B$822=B490)*('RawData'!G$2:G$822&gt;G490)*(ISERROR(SEARCH("World",'RawData'!C$2:C$822)))*(ISERROR(SEARCH("Other",'RawData'!C$2:C$822))))+1)))</f>
        <v>4</v>
      </c>
      <c r="K490" s="14">
        <f>IF(ISNUMBER(SEARCH("World",'RawData'!C537)),"",'RawData'!H537)</f>
        <v>750000</v>
      </c>
      <c r="L490" s="14">
        <f>IF(ISNUMBER(SEARCH("World",'RawData'!C537)),"",SUMIFS('RawData'!H:H,'RawData'!B:B,'RawData'!B537,'RawData'!C:C,"*World*"))</f>
        <v>5900000</v>
      </c>
      <c r="M490" s="15">
        <f>IF(ISNUMBER(SEARCH("World",'RawData'!C537)),"",IFERROR(K490/L490,"-"))</f>
        <v>0.1271186440677966</v>
      </c>
      <c r="N490" s="7">
        <f>IF(ISNUMBER(SEARCH("World",'RawData'!C537)),"",IF(ISNUMBER(SEARCH("Other",C490)),COUNTIFS('RawData'!B:B,B490,'RawData'!C:C,"&lt;&gt;*World*"),IF(OR(K490="",K490=0),"-",SUMPRODUCT(('RawData'!B$2:B$822=B490)*('RawData'!H$2:H$822&gt;K490)*(ISERROR(SEARCH("World",'RawData'!C$2:C$822)))*(ISERROR(SEARCH("Other",'RawData'!C$2:C$822))))+1)))</f>
        <v>4</v>
      </c>
    </row>
    <row r="491" spans="1:14" x14ac:dyDescent="0.3">
      <c r="A491" s="4" t="str">
        <f>IF(ISNUMBER(SEARCH("World",'RawData'!C538)),"",'RawData'!A538)</f>
        <v>MCS2026</v>
      </c>
      <c r="B491" s="4" t="str">
        <f>IF(ISNUMBER(SEARCH("World",'RawData'!C538)),"",'RawData'!B538)</f>
        <v>Potassium</v>
      </c>
      <c r="C491" s="4" t="str">
        <f>IF(ISNUMBER(SEARCH("World",'RawData'!C538)),"",'RawData'!C538)</f>
        <v>Brazil</v>
      </c>
      <c r="D491" s="4" t="str">
        <f>IF(ISNUMBER(SEARCH("World",'RawData'!C538)),"",'RawData'!D538)</f>
        <v>Mine production, potassium oxide (K₂O) equivalent</v>
      </c>
      <c r="E491" s="4" t="str">
        <f>IF(ISNUMBER(SEARCH("World",'RawData'!C538)),"",IF('RawData'!E538="WT001","kg",IF('RawData'!E538="WT002","ton",IF('RawData'!E538="WT003","k ton",""))))</f>
        <v>k ton</v>
      </c>
      <c r="F491" s="14">
        <f>IF(ISNUMBER(SEARCH("World",'RawData'!C538)),"",'RawData'!F538)</f>
        <v>331</v>
      </c>
      <c r="G491" s="14">
        <f>IF(ISNUMBER(SEARCH("World",'RawData'!C538)),"",'RawData'!G538)</f>
        <v>300</v>
      </c>
      <c r="H491" s="14">
        <f>IF(ISNUMBER(SEARCH("World",'RawData'!C538)),"",SUMIFS('RawData'!G:G,'RawData'!B:B,'RawData'!B538,'RawData'!C:C,"*World*"))</f>
        <v>49000</v>
      </c>
      <c r="I491" s="15">
        <f>IF(ISNUMBER(SEARCH("World",'RawData'!C538)),"",IFERROR(G491/H491,"-"))</f>
        <v>6.1224489795918364E-3</v>
      </c>
      <c r="J491" s="7">
        <f>IF(ISNUMBER(SEARCH("World",'RawData'!C538)),"",IF(ISNUMBER(SEARCH("Other",C491)),COUNTIFS('RawData'!B:B,B491,'RawData'!C:C,"&lt;&gt;*World*"),IF(OR(G491="",G491=0),"-",SUMPRODUCT(('RawData'!B$2:B$822=B491)*('RawData'!G$2:G$822&gt;G491)*(ISERROR(SEARCH("World",'RawData'!C$2:C$822)))*(ISERROR(SEARCH("Other",'RawData'!C$2:C$822))))+1)))</f>
        <v>12</v>
      </c>
      <c r="K491" s="14">
        <f>IF(ISNUMBER(SEARCH("World",'RawData'!C538)),"",'RawData'!H538)</f>
        <v>2300</v>
      </c>
      <c r="L491" s="14">
        <f>IF(ISNUMBER(SEARCH("World",'RawData'!C538)),"",SUMIFS('RawData'!H:H,'RawData'!B:B,'RawData'!B538,'RawData'!C:C,"*World*"))</f>
        <v>5900000</v>
      </c>
      <c r="M491" s="15">
        <f>IF(ISNUMBER(SEARCH("World",'RawData'!C538)),"",IFERROR(K491/L491,"-"))</f>
        <v>3.8983050847457627E-4</v>
      </c>
      <c r="N491" s="7">
        <f>IF(ISNUMBER(SEARCH("World",'RawData'!C538)),"",IF(ISNUMBER(SEARCH("Other",C491)),COUNTIFS('RawData'!B:B,B491,'RawData'!C:C,"&lt;&gt;*World*"),IF(OR(K491="",K491=0),"-",SUMPRODUCT(('RawData'!B$2:B$822=B491)*('RawData'!H$2:H$822&gt;K491)*(ISERROR(SEARCH("World",'RawData'!C$2:C$822)))*(ISERROR(SEARCH("Other",'RawData'!C$2:C$822))))+1)))</f>
        <v>10</v>
      </c>
    </row>
    <row r="492" spans="1:14" x14ac:dyDescent="0.3">
      <c r="A492" s="4" t="str">
        <f>IF(ISNUMBER(SEARCH("World",'RawData'!C539)),"",'RawData'!A539)</f>
        <v>MCS2026</v>
      </c>
      <c r="B492" s="4" t="str">
        <f>IF(ISNUMBER(SEARCH("World",'RawData'!C539)),"",'RawData'!B539)</f>
        <v>Potassium</v>
      </c>
      <c r="C492" s="4" t="str">
        <f>IF(ISNUMBER(SEARCH("World",'RawData'!C539)),"",'RawData'!C539)</f>
        <v xml:space="preserve">Canada </v>
      </c>
      <c r="D492" s="4" t="str">
        <f>IF(ISNUMBER(SEARCH("World",'RawData'!C539)),"",'RawData'!D539)</f>
        <v>Mine production, potassium oxide (K₂O) equivalent</v>
      </c>
      <c r="E492" s="4" t="str">
        <f>IF(ISNUMBER(SEARCH("World",'RawData'!C539)),"",IF('RawData'!E539="WT001","kg",IF('RawData'!E539="WT002","ton",IF('RawData'!E539="WT003","k ton",""))))</f>
        <v>k ton</v>
      </c>
      <c r="F492" s="14">
        <f>IF(ISNUMBER(SEARCH("World",'RawData'!C539)),"",'RawData'!F539)</f>
        <v>14400</v>
      </c>
      <c r="G492" s="14">
        <f>IF(ISNUMBER(SEARCH("World",'RawData'!C539)),"",'RawData'!G539)</f>
        <v>15000</v>
      </c>
      <c r="H492" s="14">
        <f>IF(ISNUMBER(SEARCH("World",'RawData'!C539)),"",SUMIFS('RawData'!G:G,'RawData'!B:B,'RawData'!B539,'RawData'!C:C,"*World*"))</f>
        <v>49000</v>
      </c>
      <c r="I492" s="15">
        <f>IF(ISNUMBER(SEARCH("World",'RawData'!C539)),"",IFERROR(G492/H492,"-"))</f>
        <v>0.30612244897959184</v>
      </c>
      <c r="J492" s="7">
        <f>IF(ISNUMBER(SEARCH("World",'RawData'!C539)),"",IF(ISNUMBER(SEARCH("Other",C492)),COUNTIFS('RawData'!B:B,B492,'RawData'!C:C,"&lt;&gt;*World*"),IF(OR(G492="",G492=0),"-",SUMPRODUCT(('RawData'!B$2:B$822=B492)*('RawData'!G$2:G$822&gt;G492)*(ISERROR(SEARCH("World",'RawData'!C$2:C$822)))*(ISERROR(SEARCH("Other",'RawData'!C$2:C$822))))+1)))</f>
        <v>1</v>
      </c>
      <c r="K492" s="14">
        <f>IF(ISNUMBER(SEARCH("World",'RawData'!C539)),"",'RawData'!H539)</f>
        <v>1100000</v>
      </c>
      <c r="L492" s="14">
        <f>IF(ISNUMBER(SEARCH("World",'RawData'!C539)),"",SUMIFS('RawData'!H:H,'RawData'!B:B,'RawData'!B539,'RawData'!C:C,"*World*"))</f>
        <v>5900000</v>
      </c>
      <c r="M492" s="15">
        <f>IF(ISNUMBER(SEARCH("World",'RawData'!C539)),"",IFERROR(K492/L492,"-"))</f>
        <v>0.1864406779661017</v>
      </c>
      <c r="N492" s="7">
        <f>IF(ISNUMBER(SEARCH("World",'RawData'!C539)),"",IF(ISNUMBER(SEARCH("Other",C492)),COUNTIFS('RawData'!B:B,B492,'RawData'!C:C,"&lt;&gt;*World*"),IF(OR(K492="",K492=0),"-",SUMPRODUCT(('RawData'!B$2:B$822=B492)*('RawData'!H$2:H$822&gt;K492)*(ISERROR(SEARCH("World",'RawData'!C$2:C$822)))*(ISERROR(SEARCH("Other",'RawData'!C$2:C$822))))+1)))</f>
        <v>2</v>
      </c>
    </row>
    <row r="493" spans="1:14" x14ac:dyDescent="0.3">
      <c r="A493" s="4" t="str">
        <f>IF(ISNUMBER(SEARCH("World",'RawData'!C540)),"",'RawData'!A540)</f>
        <v>MCS2026</v>
      </c>
      <c r="B493" s="4" t="str">
        <f>IF(ISNUMBER(SEARCH("World",'RawData'!C540)),"",'RawData'!B540)</f>
        <v>Potassium</v>
      </c>
      <c r="C493" s="4" t="str">
        <f>IF(ISNUMBER(SEARCH("World",'RawData'!C540)),"",'RawData'!C540)</f>
        <v>Chile</v>
      </c>
      <c r="D493" s="4" t="str">
        <f>IF(ISNUMBER(SEARCH("World",'RawData'!C540)),"",'RawData'!D540)</f>
        <v>Mine production, potassium oxide (K₂O) equivalent</v>
      </c>
      <c r="E493" s="4" t="str">
        <f>IF(ISNUMBER(SEARCH("World",'RawData'!C540)),"",IF('RawData'!E540="WT001","kg",IF('RawData'!E540="WT002","ton",IF('RawData'!E540="WT003","k ton",""))))</f>
        <v>k ton</v>
      </c>
      <c r="F493" s="14">
        <f>IF(ISNUMBER(SEARCH("World",'RawData'!C540)),"",'RawData'!F540)</f>
        <v>564</v>
      </c>
      <c r="G493" s="14">
        <f>IF(ISNUMBER(SEARCH("World",'RawData'!C540)),"",'RawData'!G540)</f>
        <v>600</v>
      </c>
      <c r="H493" s="14">
        <f>IF(ISNUMBER(SEARCH("World",'RawData'!C540)),"",SUMIFS('RawData'!G:G,'RawData'!B:B,'RawData'!B540,'RawData'!C:C,"*World*"))</f>
        <v>49000</v>
      </c>
      <c r="I493" s="15">
        <f>IF(ISNUMBER(SEARCH("World",'RawData'!C540)),"",IFERROR(G493/H493,"-"))</f>
        <v>1.2244897959183673E-2</v>
      </c>
      <c r="J493" s="7">
        <f>IF(ISNUMBER(SEARCH("World",'RawData'!C540)),"",IF(ISNUMBER(SEARCH("Other",C493)),COUNTIFS('RawData'!B:B,B493,'RawData'!C:C,"&lt;&gt;*World*"),IF(OR(G493="",G493=0),"-",SUMPRODUCT(('RawData'!B$2:B$822=B493)*('RawData'!G$2:G$822&gt;G493)*(ISERROR(SEARCH("World",'RawData'!C$2:C$822)))*(ISERROR(SEARCH("Other",'RawData'!C$2:C$822))))+1)))</f>
        <v>9</v>
      </c>
      <c r="K493" s="14">
        <f>IF(ISNUMBER(SEARCH("World",'RawData'!C540)),"",'RawData'!H540)</f>
        <v>100000</v>
      </c>
      <c r="L493" s="14">
        <f>IF(ISNUMBER(SEARCH("World",'RawData'!C540)),"",SUMIFS('RawData'!H:H,'RawData'!B:B,'RawData'!B540,'RawData'!C:C,"*World*"))</f>
        <v>5900000</v>
      </c>
      <c r="M493" s="15">
        <f>IF(ISNUMBER(SEARCH("World",'RawData'!C540)),"",IFERROR(K493/L493,"-"))</f>
        <v>1.6949152542372881E-2</v>
      </c>
      <c r="N493" s="7">
        <f>IF(ISNUMBER(SEARCH("World",'RawData'!C540)),"",IF(ISNUMBER(SEARCH("Other",C493)),COUNTIFS('RawData'!B:B,B493,'RawData'!C:C,"&lt;&gt;*World*"),IF(OR(K493="",K493=0),"-",SUMPRODUCT(('RawData'!B$2:B$822=B493)*('RawData'!H$2:H$822&gt;K493)*(ISERROR(SEARCH("World",'RawData'!C$2:C$822)))*(ISERROR(SEARCH("Other",'RawData'!C$2:C$822))))+1)))</f>
        <v>8</v>
      </c>
    </row>
    <row r="494" spans="1:14" x14ac:dyDescent="0.3">
      <c r="A494" s="4" t="str">
        <f>IF(ISNUMBER(SEARCH("World",'RawData'!C541)),"",'RawData'!A541)</f>
        <v>MCS2026</v>
      </c>
      <c r="B494" s="4" t="str">
        <f>IF(ISNUMBER(SEARCH("World",'RawData'!C541)),"",'RawData'!B541)</f>
        <v>Potassium</v>
      </c>
      <c r="C494" s="4" t="str">
        <f>IF(ISNUMBER(SEARCH("World",'RawData'!C541)),"",'RawData'!C541)</f>
        <v>China</v>
      </c>
      <c r="D494" s="4" t="str">
        <f>IF(ISNUMBER(SEARCH("World",'RawData'!C541)),"",'RawData'!D541)</f>
        <v>Mine production, potassium oxide (K₂O) equivalent</v>
      </c>
      <c r="E494" s="4" t="str">
        <f>IF(ISNUMBER(SEARCH("World",'RawData'!C541)),"",IF('RawData'!E541="WT001","kg",IF('RawData'!E541="WT002","ton",IF('RawData'!E541="WT003","k ton",""))))</f>
        <v>k ton</v>
      </c>
      <c r="F494" s="14">
        <f>IF(ISNUMBER(SEARCH("World",'RawData'!C541)),"",'RawData'!F541)</f>
        <v>6300</v>
      </c>
      <c r="G494" s="14">
        <f>IF(ISNUMBER(SEARCH("World",'RawData'!C541)),"",'RawData'!G541)</f>
        <v>6300</v>
      </c>
      <c r="H494" s="14">
        <f>IF(ISNUMBER(SEARCH("World",'RawData'!C541)),"",SUMIFS('RawData'!G:G,'RawData'!B:B,'RawData'!B541,'RawData'!C:C,"*World*"))</f>
        <v>49000</v>
      </c>
      <c r="I494" s="15">
        <f>IF(ISNUMBER(SEARCH("World",'RawData'!C541)),"",IFERROR(G494/H494,"-"))</f>
        <v>0.12857142857142856</v>
      </c>
      <c r="J494" s="7">
        <f>IF(ISNUMBER(SEARCH("World",'RawData'!C541)),"",IF(ISNUMBER(SEARCH("Other",C494)),COUNTIFS('RawData'!B:B,B494,'RawData'!C:C,"&lt;&gt;*World*"),IF(OR(G494="",G494=0),"-",SUMPRODUCT(('RawData'!B$2:B$822=B494)*('RawData'!G$2:G$822&gt;G494)*(ISERROR(SEARCH("World",'RawData'!C$2:C$822)))*(ISERROR(SEARCH("Other",'RawData'!C$2:C$822))))+1)))</f>
        <v>3</v>
      </c>
      <c r="K494" s="14">
        <f>IF(ISNUMBER(SEARCH("World",'RawData'!C541)),"",'RawData'!H541)</f>
        <v>200000</v>
      </c>
      <c r="L494" s="14">
        <f>IF(ISNUMBER(SEARCH("World",'RawData'!C541)),"",SUMIFS('RawData'!H:H,'RawData'!B:B,'RawData'!B541,'RawData'!C:C,"*World*"))</f>
        <v>5900000</v>
      </c>
      <c r="M494" s="15">
        <f>IF(ISNUMBER(SEARCH("World",'RawData'!C541)),"",IFERROR(K494/L494,"-"))</f>
        <v>3.3898305084745763E-2</v>
      </c>
      <c r="N494" s="7">
        <f>IF(ISNUMBER(SEARCH("World",'RawData'!C541)),"",IF(ISNUMBER(SEARCH("Other",C494)),COUNTIFS('RawData'!B:B,B494,'RawData'!C:C,"&lt;&gt;*World*"),IF(OR(K494="",K494=0),"-",SUMPRODUCT(('RawData'!B$2:B$822=B494)*('RawData'!H$2:H$822&gt;K494)*(ISERROR(SEARCH("World",'RawData'!C$2:C$822)))*(ISERROR(SEARCH("Other",'RawData'!C$2:C$822))))+1)))</f>
        <v>6</v>
      </c>
    </row>
    <row r="495" spans="1:14" x14ac:dyDescent="0.3">
      <c r="A495" s="4" t="str">
        <f>IF(ISNUMBER(SEARCH("World",'RawData'!C542)),"",'RawData'!A542)</f>
        <v>MCS2026</v>
      </c>
      <c r="B495" s="4" t="str">
        <f>IF(ISNUMBER(SEARCH("World",'RawData'!C542)),"",'RawData'!B542)</f>
        <v>Potassium</v>
      </c>
      <c r="C495" s="4" t="str">
        <f>IF(ISNUMBER(SEARCH("World",'RawData'!C542)),"",'RawData'!C542)</f>
        <v>Germany</v>
      </c>
      <c r="D495" s="4" t="str">
        <f>IF(ISNUMBER(SEARCH("World",'RawData'!C542)),"",'RawData'!D542)</f>
        <v>Mine production, potassium oxide (K₂O) equivalent</v>
      </c>
      <c r="E495" s="4" t="str">
        <f>IF(ISNUMBER(SEARCH("World",'RawData'!C542)),"",IF('RawData'!E542="WT001","kg",IF('RawData'!E542="WT002","ton",IF('RawData'!E542="WT003","k ton",""))))</f>
        <v>k ton</v>
      </c>
      <c r="F495" s="14">
        <f>IF(ISNUMBER(SEARCH("World",'RawData'!C542)),"",'RawData'!F542)</f>
        <v>2500</v>
      </c>
      <c r="G495" s="14">
        <f>IF(ISNUMBER(SEARCH("World",'RawData'!C542)),"",'RawData'!G542)</f>
        <v>3000</v>
      </c>
      <c r="H495" s="14">
        <f>IF(ISNUMBER(SEARCH("World",'RawData'!C542)),"",SUMIFS('RawData'!G:G,'RawData'!B:B,'RawData'!B542,'RawData'!C:C,"*World*"))</f>
        <v>49000</v>
      </c>
      <c r="I495" s="15">
        <f>IF(ISNUMBER(SEARCH("World",'RawData'!C542)),"",IFERROR(G495/H495,"-"))</f>
        <v>6.1224489795918366E-2</v>
      </c>
      <c r="J495" s="7">
        <f>IF(ISNUMBER(SEARCH("World",'RawData'!C542)),"",IF(ISNUMBER(SEARCH("Other",C495)),COUNTIFS('RawData'!B:B,B495,'RawData'!C:C,"&lt;&gt;*World*"),IF(OR(G495="",G495=0),"-",SUMPRODUCT(('RawData'!B$2:B$822=B495)*('RawData'!G$2:G$822&gt;G495)*(ISERROR(SEARCH("World",'RawData'!C$2:C$822)))*(ISERROR(SEARCH("Other",'RawData'!C$2:C$822))))+1)))</f>
        <v>5</v>
      </c>
      <c r="K495" s="14">
        <f>IF(ISNUMBER(SEARCH("World",'RawData'!C542)),"",'RawData'!H542)</f>
        <v>150000</v>
      </c>
      <c r="L495" s="14">
        <f>IF(ISNUMBER(SEARCH("World",'RawData'!C542)),"",SUMIFS('RawData'!H:H,'RawData'!B:B,'RawData'!B542,'RawData'!C:C,"*World*"))</f>
        <v>5900000</v>
      </c>
      <c r="M495" s="15">
        <f>IF(ISNUMBER(SEARCH("World",'RawData'!C542)),"",IFERROR(K495/L495,"-"))</f>
        <v>2.5423728813559324E-2</v>
      </c>
      <c r="N495" s="7">
        <f>IF(ISNUMBER(SEARCH("World",'RawData'!C542)),"",IF(ISNUMBER(SEARCH("Other",C495)),COUNTIFS('RawData'!B:B,B495,'RawData'!C:C,"&lt;&gt;*World*"),IF(OR(K495="",K495=0),"-",SUMPRODUCT(('RawData'!B$2:B$822=B495)*('RawData'!H$2:H$822&gt;K495)*(ISERROR(SEARCH("World",'RawData'!C$2:C$822)))*(ISERROR(SEARCH("Other",'RawData'!C$2:C$822))))+1)))</f>
        <v>7</v>
      </c>
    </row>
    <row r="496" spans="1:14" x14ac:dyDescent="0.3">
      <c r="A496" s="4" t="str">
        <f>IF(ISNUMBER(SEARCH("World",'RawData'!C543)),"",'RawData'!A543)</f>
        <v>MCS2026</v>
      </c>
      <c r="B496" s="4" t="str">
        <f>IF(ISNUMBER(SEARCH("World",'RawData'!C543)),"",'RawData'!B543)</f>
        <v>Potassium</v>
      </c>
      <c r="C496" s="4" t="str">
        <f>IF(ISNUMBER(SEARCH("World",'RawData'!C543)),"",'RawData'!C543)</f>
        <v>Israel</v>
      </c>
      <c r="D496" s="4" t="str">
        <f>IF(ISNUMBER(SEARCH("World",'RawData'!C543)),"",'RawData'!D543)</f>
        <v>Mine production, potassium oxide (K₂O) equivalent</v>
      </c>
      <c r="E496" s="4" t="str">
        <f>IF(ISNUMBER(SEARCH("World",'RawData'!C543)),"",IF('RawData'!E543="WT001","kg",IF('RawData'!E543="WT002","ton",IF('RawData'!E543="WT003","k ton",""))))</f>
        <v>k ton</v>
      </c>
      <c r="F496" s="14">
        <f>IF(ISNUMBER(SEARCH("World",'RawData'!C543)),"",'RawData'!F543)</f>
        <v>2260</v>
      </c>
      <c r="G496" s="14">
        <f>IF(ISNUMBER(SEARCH("World",'RawData'!C543)),"",'RawData'!G543)</f>
        <v>2000</v>
      </c>
      <c r="H496" s="14">
        <f>IF(ISNUMBER(SEARCH("World",'RawData'!C543)),"",SUMIFS('RawData'!G:G,'RawData'!B:B,'RawData'!B543,'RawData'!C:C,"*World*"))</f>
        <v>49000</v>
      </c>
      <c r="I496" s="15">
        <f>IF(ISNUMBER(SEARCH("World",'RawData'!C543)),"",IFERROR(G496/H496,"-"))</f>
        <v>4.0816326530612242E-2</v>
      </c>
      <c r="J496" s="7">
        <f>IF(ISNUMBER(SEARCH("World",'RawData'!C543)),"",IF(ISNUMBER(SEARCH("Other",C496)),COUNTIFS('RawData'!B:B,B496,'RawData'!C:C,"&lt;&gt;*World*"),IF(OR(G496="",G496=0),"-",SUMPRODUCT(('RawData'!B$2:B$822=B496)*('RawData'!G$2:G$822&gt;G496)*(ISERROR(SEARCH("World",'RawData'!C$2:C$822)))*(ISERROR(SEARCH("Other",'RawData'!C$2:C$822))))+1)))</f>
        <v>7</v>
      </c>
      <c r="K496" s="14">
        <f>IF(ISNUMBER(SEARCH("World",'RawData'!C543)),"",'RawData'!H543)</f>
        <v>0</v>
      </c>
      <c r="L496" s="14">
        <f>IF(ISNUMBER(SEARCH("World",'RawData'!C543)),"",SUMIFS('RawData'!H:H,'RawData'!B:B,'RawData'!B543,'RawData'!C:C,"*World*"))</f>
        <v>5900000</v>
      </c>
      <c r="M496" s="15">
        <f>IF(ISNUMBER(SEARCH("World",'RawData'!C543)),"",IFERROR(K496/L496,"-"))</f>
        <v>0</v>
      </c>
      <c r="N496" s="7" t="str">
        <f>IF(ISNUMBER(SEARCH("World",'RawData'!C543)),"",IF(ISNUMBER(SEARCH("Other",C496)),COUNTIFS('RawData'!B:B,B496,'RawData'!C:C,"&lt;&gt;*World*"),IF(OR(K496="",K496=0),"-",SUMPRODUCT(('RawData'!B$2:B$822=B496)*('RawData'!H$2:H$822&gt;K496)*(ISERROR(SEARCH("World",'RawData'!C$2:C$822)))*(ISERROR(SEARCH("Other",'RawData'!C$2:C$822))))+1)))</f>
        <v>-</v>
      </c>
    </row>
    <row r="497" spans="1:14" x14ac:dyDescent="0.3">
      <c r="A497" s="4" t="str">
        <f>IF(ISNUMBER(SEARCH("World",'RawData'!C544)),"",'RawData'!A544)</f>
        <v>MCS2026</v>
      </c>
      <c r="B497" s="4" t="str">
        <f>IF(ISNUMBER(SEARCH("World",'RawData'!C544)),"",'RawData'!B544)</f>
        <v>Potassium</v>
      </c>
      <c r="C497" s="4" t="str">
        <f>IF(ISNUMBER(SEARCH("World",'RawData'!C544)),"",'RawData'!C544)</f>
        <v>Jordan</v>
      </c>
      <c r="D497" s="4" t="str">
        <f>IF(ISNUMBER(SEARCH("World",'RawData'!C544)),"",'RawData'!D544)</f>
        <v>Mine production, potassium oxide (K₂O) equivalent</v>
      </c>
      <c r="E497" s="4" t="str">
        <f>IF(ISNUMBER(SEARCH("World",'RawData'!C544)),"",IF('RawData'!E544="WT001","kg",IF('RawData'!E544="WT002","ton",IF('RawData'!E544="WT003","k ton",""))))</f>
        <v>k ton</v>
      </c>
      <c r="F497" s="14">
        <f>IF(ISNUMBER(SEARCH("World",'RawData'!C544)),"",'RawData'!F544)</f>
        <v>1730</v>
      </c>
      <c r="G497" s="14">
        <f>IF(ISNUMBER(SEARCH("World",'RawData'!C544)),"",'RawData'!G544)</f>
        <v>1800</v>
      </c>
      <c r="H497" s="14">
        <f>IF(ISNUMBER(SEARCH("World",'RawData'!C544)),"",SUMIFS('RawData'!G:G,'RawData'!B:B,'RawData'!B544,'RawData'!C:C,"*World*"))</f>
        <v>49000</v>
      </c>
      <c r="I497" s="15">
        <f>IF(ISNUMBER(SEARCH("World",'RawData'!C544)),"",IFERROR(G497/H497,"-"))</f>
        <v>3.6734693877551024E-2</v>
      </c>
      <c r="J497" s="7">
        <f>IF(ISNUMBER(SEARCH("World",'RawData'!C544)),"",IF(ISNUMBER(SEARCH("Other",C497)),COUNTIFS('RawData'!B:B,B497,'RawData'!C:C,"&lt;&gt;*World*"),IF(OR(G497="",G497=0),"-",SUMPRODUCT(('RawData'!B$2:B$822=B497)*('RawData'!G$2:G$822&gt;G497)*(ISERROR(SEARCH("World",'RawData'!C$2:C$822)))*(ISERROR(SEARCH("Other",'RawData'!C$2:C$822))))+1)))</f>
        <v>8</v>
      </c>
      <c r="K497" s="14">
        <f>IF(ISNUMBER(SEARCH("World",'RawData'!C544)),"",'RawData'!H544)</f>
        <v>0</v>
      </c>
      <c r="L497" s="14">
        <f>IF(ISNUMBER(SEARCH("World",'RawData'!C544)),"",SUMIFS('RawData'!H:H,'RawData'!B:B,'RawData'!B544,'RawData'!C:C,"*World*"))</f>
        <v>5900000</v>
      </c>
      <c r="M497" s="15">
        <f>IF(ISNUMBER(SEARCH("World",'RawData'!C544)),"",IFERROR(K497/L497,"-"))</f>
        <v>0</v>
      </c>
      <c r="N497" s="7" t="str">
        <f>IF(ISNUMBER(SEARCH("World",'RawData'!C544)),"",IF(ISNUMBER(SEARCH("Other",C497)),COUNTIFS('RawData'!B:B,B497,'RawData'!C:C,"&lt;&gt;*World*"),IF(OR(K497="",K497=0),"-",SUMPRODUCT(('RawData'!B$2:B$822=B497)*('RawData'!H$2:H$822&gt;K497)*(ISERROR(SEARCH("World",'RawData'!C$2:C$822)))*(ISERROR(SEARCH("Other",'RawData'!C$2:C$822))))+1)))</f>
        <v>-</v>
      </c>
    </row>
    <row r="498" spans="1:14" x14ac:dyDescent="0.3">
      <c r="A498" s="4" t="str">
        <f>IF(ISNUMBER(SEARCH("World",'RawData'!C545)),"",'RawData'!A545)</f>
        <v>MCS2026</v>
      </c>
      <c r="B498" s="4" t="str">
        <f>IF(ISNUMBER(SEARCH("World",'RawData'!C545)),"",'RawData'!B545)</f>
        <v>Potassium</v>
      </c>
      <c r="C498" s="4" t="str">
        <f>IF(ISNUMBER(SEARCH("World",'RawData'!C545)),"",'RawData'!C545)</f>
        <v>Laos</v>
      </c>
      <c r="D498" s="4" t="str">
        <f>IF(ISNUMBER(SEARCH("World",'RawData'!C545)),"",'RawData'!D545)</f>
        <v>Mine production, potassium oxide (K₂O) equivalent</v>
      </c>
      <c r="E498" s="4" t="str">
        <f>IF(ISNUMBER(SEARCH("World",'RawData'!C545)),"",IF('RawData'!E545="WT001","kg",IF('RawData'!E545="WT002","ton",IF('RawData'!E545="WT003","k ton",""))))</f>
        <v>k ton</v>
      </c>
      <c r="F498" s="14">
        <f>IF(ISNUMBER(SEARCH("World",'RawData'!C545)),"",'RawData'!F545)</f>
        <v>2400</v>
      </c>
      <c r="G498" s="14">
        <f>IF(ISNUMBER(SEARCH("World",'RawData'!C545)),"",'RawData'!G545)</f>
        <v>2400</v>
      </c>
      <c r="H498" s="14">
        <f>IF(ISNUMBER(SEARCH("World",'RawData'!C545)),"",SUMIFS('RawData'!G:G,'RawData'!B:B,'RawData'!B545,'RawData'!C:C,"*World*"))</f>
        <v>49000</v>
      </c>
      <c r="I498" s="15">
        <f>IF(ISNUMBER(SEARCH("World",'RawData'!C545)),"",IFERROR(G498/H498,"-"))</f>
        <v>4.8979591836734691E-2</v>
      </c>
      <c r="J498" s="7">
        <f>IF(ISNUMBER(SEARCH("World",'RawData'!C545)),"",IF(ISNUMBER(SEARCH("Other",C498)),COUNTIFS('RawData'!B:B,B498,'RawData'!C:C,"&lt;&gt;*World*"),IF(OR(G498="",G498=0),"-",SUMPRODUCT(('RawData'!B$2:B$822=B498)*('RawData'!G$2:G$822&gt;G498)*(ISERROR(SEARCH("World",'RawData'!C$2:C$822)))*(ISERROR(SEARCH("Other",'RawData'!C$2:C$822))))+1)))</f>
        <v>6</v>
      </c>
      <c r="K498" s="14">
        <f>IF(ISNUMBER(SEARCH("World",'RawData'!C545)),"",'RawData'!H545)</f>
        <v>1000000</v>
      </c>
      <c r="L498" s="14">
        <f>IF(ISNUMBER(SEARCH("World",'RawData'!C545)),"",SUMIFS('RawData'!H:H,'RawData'!B:B,'RawData'!B545,'RawData'!C:C,"*World*"))</f>
        <v>5900000</v>
      </c>
      <c r="M498" s="15">
        <f>IF(ISNUMBER(SEARCH("World",'RawData'!C545)),"",IFERROR(K498/L498,"-"))</f>
        <v>0.16949152542372881</v>
      </c>
      <c r="N498" s="7">
        <f>IF(ISNUMBER(SEARCH("World",'RawData'!C545)),"",IF(ISNUMBER(SEARCH("Other",C498)),COUNTIFS('RawData'!B:B,B498,'RawData'!C:C,"&lt;&gt;*World*"),IF(OR(K498="",K498=0),"-",SUMPRODUCT(('RawData'!B$2:B$822=B498)*('RawData'!H$2:H$822&gt;K498)*(ISERROR(SEARCH("World",'RawData'!C$2:C$822)))*(ISERROR(SEARCH("Other",'RawData'!C$2:C$822))))+1)))</f>
        <v>3</v>
      </c>
    </row>
    <row r="499" spans="1:14" x14ac:dyDescent="0.3">
      <c r="A499" s="4" t="str">
        <f>IF(ISNUMBER(SEARCH("World",'RawData'!C546)),"",'RawData'!A546)</f>
        <v>MCS2026</v>
      </c>
      <c r="B499" s="4" t="str">
        <f>IF(ISNUMBER(SEARCH("World",'RawData'!C546)),"",'RawData'!B546)</f>
        <v>Potassium</v>
      </c>
      <c r="C499" s="4" t="str">
        <f>IF(ISNUMBER(SEARCH("World",'RawData'!C546)),"",'RawData'!C546)</f>
        <v>Other Countries</v>
      </c>
      <c r="D499" s="4" t="str">
        <f>IF(ISNUMBER(SEARCH("World",'RawData'!C546)),"",'RawData'!D546)</f>
        <v>Mine production, potassium oxide (K₂O) equivalent</v>
      </c>
      <c r="E499" s="4" t="str">
        <f>IF(ISNUMBER(SEARCH("World",'RawData'!C546)),"",IF('RawData'!E546="WT001","kg",IF('RawData'!E546="WT002","ton",IF('RawData'!E546="WT003","k ton",""))))</f>
        <v>k ton</v>
      </c>
      <c r="F499" s="14">
        <f>IF(ISNUMBER(SEARCH("World",'RawData'!C546)),"",'RawData'!F546)</f>
        <v>350</v>
      </c>
      <c r="G499" s="14">
        <f>IF(ISNUMBER(SEARCH("World",'RawData'!C546)),"",'RawData'!G546)</f>
        <v>350</v>
      </c>
      <c r="H499" s="14">
        <f>IF(ISNUMBER(SEARCH("World",'RawData'!C546)),"",SUMIFS('RawData'!G:G,'RawData'!B:B,'RawData'!B546,'RawData'!C:C,"*World*"))</f>
        <v>49000</v>
      </c>
      <c r="I499" s="15">
        <f>IF(ISNUMBER(SEARCH("World",'RawData'!C546)),"",IFERROR(G499/H499,"-"))</f>
        <v>7.1428571428571426E-3</v>
      </c>
      <c r="J499" s="7">
        <f>IF(ISNUMBER(SEARCH("World",'RawData'!C546)),"",IF(ISNUMBER(SEARCH("Other",C499)),COUNTIFS('RawData'!B:B,B499,'RawData'!C:C,"&lt;&gt;*World*"),IF(OR(G499="",G499=0),"-",SUMPRODUCT(('RawData'!B$2:B$822=B499)*('RawData'!G$2:G$822&gt;G499)*(ISERROR(SEARCH("World",'RawData'!C$2:C$822)))*(ISERROR(SEARCH("Other",'RawData'!C$2:C$822))))+1)))</f>
        <v>13</v>
      </c>
      <c r="K499" s="14">
        <f>IF(ISNUMBER(SEARCH("World",'RawData'!C546)),"",'RawData'!H546)</f>
        <v>300000</v>
      </c>
      <c r="L499" s="14">
        <f>IF(ISNUMBER(SEARCH("World",'RawData'!C546)),"",SUMIFS('RawData'!H:H,'RawData'!B:B,'RawData'!B546,'RawData'!C:C,"*World*"))</f>
        <v>5900000</v>
      </c>
      <c r="M499" s="15">
        <f>IF(ISNUMBER(SEARCH("World",'RawData'!C546)),"",IFERROR(K499/L499,"-"))</f>
        <v>5.0847457627118647E-2</v>
      </c>
      <c r="N499" s="7">
        <f>IF(ISNUMBER(SEARCH("World",'RawData'!C546)),"",IF(ISNUMBER(SEARCH("Other",C499)),COUNTIFS('RawData'!B:B,B499,'RawData'!C:C,"&lt;&gt;*World*"),IF(OR(K499="",K499=0),"-",SUMPRODUCT(('RawData'!B$2:B$822=B499)*('RawData'!H$2:H$822&gt;K499)*(ISERROR(SEARCH("World",'RawData'!C$2:C$822)))*(ISERROR(SEARCH("Other",'RawData'!C$2:C$822))))+1)))</f>
        <v>13</v>
      </c>
    </row>
    <row r="500" spans="1:14" x14ac:dyDescent="0.3">
      <c r="A500" s="4" t="str">
        <f>IF(ISNUMBER(SEARCH("World",'RawData'!C547)),"",'RawData'!A547)</f>
        <v>MCS2026</v>
      </c>
      <c r="B500" s="4" t="str">
        <f>IF(ISNUMBER(SEARCH("World",'RawData'!C547)),"",'RawData'!B547)</f>
        <v>Potassium</v>
      </c>
      <c r="C500" s="4" t="str">
        <f>IF(ISNUMBER(SEARCH("World",'RawData'!C547)),"",'RawData'!C547)</f>
        <v xml:space="preserve">Russia </v>
      </c>
      <c r="D500" s="4" t="str">
        <f>IF(ISNUMBER(SEARCH("World",'RawData'!C547)),"",'RawData'!D547)</f>
        <v>Mine production, potassium oxide (K₂O) equivalent</v>
      </c>
      <c r="E500" s="4" t="str">
        <f>IF(ISNUMBER(SEARCH("World",'RawData'!C547)),"",IF('RawData'!E547="WT001","kg",IF('RawData'!E547="WT002","ton",IF('RawData'!E547="WT003","k ton",""))))</f>
        <v>k ton</v>
      </c>
      <c r="F500" s="14">
        <f>IF(ISNUMBER(SEARCH("World",'RawData'!C547)),"",'RawData'!F547)</f>
        <v>10000</v>
      </c>
      <c r="G500" s="14">
        <f>IF(ISNUMBER(SEARCH("World",'RawData'!C547)),"",'RawData'!G547)</f>
        <v>10000</v>
      </c>
      <c r="H500" s="14">
        <f>IF(ISNUMBER(SEARCH("World",'RawData'!C547)),"",SUMIFS('RawData'!G:G,'RawData'!B:B,'RawData'!B547,'RawData'!C:C,"*World*"))</f>
        <v>49000</v>
      </c>
      <c r="I500" s="15">
        <f>IF(ISNUMBER(SEARCH("World",'RawData'!C547)),"",IFERROR(G500/H500,"-"))</f>
        <v>0.20408163265306123</v>
      </c>
      <c r="J500" s="7">
        <f>IF(ISNUMBER(SEARCH("World",'RawData'!C547)),"",IF(ISNUMBER(SEARCH("Other",C500)),COUNTIFS('RawData'!B:B,B500,'RawData'!C:C,"&lt;&gt;*World*"),IF(OR(G500="",G500=0),"-",SUMPRODUCT(('RawData'!B$2:B$822=B500)*('RawData'!G$2:G$822&gt;G500)*(ISERROR(SEARCH("World",'RawData'!C$2:C$822)))*(ISERROR(SEARCH("Other",'RawData'!C$2:C$822))))+1)))</f>
        <v>2</v>
      </c>
      <c r="K500" s="14">
        <f>IF(ISNUMBER(SEARCH("World",'RawData'!C547)),"",'RawData'!H547)</f>
        <v>2000000</v>
      </c>
      <c r="L500" s="14">
        <f>IF(ISNUMBER(SEARCH("World",'RawData'!C547)),"",SUMIFS('RawData'!H:H,'RawData'!B:B,'RawData'!B547,'RawData'!C:C,"*World*"))</f>
        <v>5900000</v>
      </c>
      <c r="M500" s="15">
        <f>IF(ISNUMBER(SEARCH("World",'RawData'!C547)),"",IFERROR(K500/L500,"-"))</f>
        <v>0.33898305084745761</v>
      </c>
      <c r="N500" s="7">
        <f>IF(ISNUMBER(SEARCH("World",'RawData'!C547)),"",IF(ISNUMBER(SEARCH("Other",C500)),COUNTIFS('RawData'!B:B,B500,'RawData'!C:C,"&lt;&gt;*World*"),IF(OR(K500="",K500=0),"-",SUMPRODUCT(('RawData'!B$2:B$822=B500)*('RawData'!H$2:H$822&gt;K500)*(ISERROR(SEARCH("World",'RawData'!C$2:C$822)))*(ISERROR(SEARCH("Other",'RawData'!C$2:C$822))))+1)))</f>
        <v>1</v>
      </c>
    </row>
    <row r="501" spans="1:14" x14ac:dyDescent="0.3">
      <c r="A501" s="4" t="str">
        <f>IF(ISNUMBER(SEARCH("World",'RawData'!C548)),"",'RawData'!A548)</f>
        <v>MCS2026</v>
      </c>
      <c r="B501" s="4" t="str">
        <f>IF(ISNUMBER(SEARCH("World",'RawData'!C548)),"",'RawData'!B548)</f>
        <v>Potassium</v>
      </c>
      <c r="C501" s="4" t="str">
        <f>IF(ISNUMBER(SEARCH("World",'RawData'!C548)),"",'RawData'!C548)</f>
        <v>Spain</v>
      </c>
      <c r="D501" s="4" t="str">
        <f>IF(ISNUMBER(SEARCH("World",'RawData'!C548)),"",'RawData'!D548)</f>
        <v>Mine production, potassium oxide (K₂O) equivalent</v>
      </c>
      <c r="E501" s="4" t="str">
        <f>IF(ISNUMBER(SEARCH("World",'RawData'!C548)),"",IF('RawData'!E548="WT001","kg",IF('RawData'!E548="WT002","ton",IF('RawData'!E548="WT003","k ton",""))))</f>
        <v>k ton</v>
      </c>
      <c r="F501" s="14">
        <f>IF(ISNUMBER(SEARCH("World",'RawData'!C548)),"",'RawData'!F548)</f>
        <v>489</v>
      </c>
      <c r="G501" s="14">
        <f>IF(ISNUMBER(SEARCH("World",'RawData'!C548)),"",'RawData'!G548)</f>
        <v>450</v>
      </c>
      <c r="H501" s="14">
        <f>IF(ISNUMBER(SEARCH("World",'RawData'!C548)),"",SUMIFS('RawData'!G:G,'RawData'!B:B,'RawData'!B548,'RawData'!C:C,"*World*"))</f>
        <v>49000</v>
      </c>
      <c r="I501" s="15">
        <f>IF(ISNUMBER(SEARCH("World",'RawData'!C548)),"",IFERROR(G501/H501,"-"))</f>
        <v>9.1836734693877559E-3</v>
      </c>
      <c r="J501" s="7">
        <f>IF(ISNUMBER(SEARCH("World",'RawData'!C548)),"",IF(ISNUMBER(SEARCH("Other",C501)),COUNTIFS('RawData'!B:B,B501,'RawData'!C:C,"&lt;&gt;*World*"),IF(OR(G501="",G501=0),"-",SUMPRODUCT(('RawData'!B$2:B$822=B501)*('RawData'!G$2:G$822&gt;G501)*(ISERROR(SEARCH("World",'RawData'!C$2:C$822)))*(ISERROR(SEARCH("Other",'RawData'!C$2:C$822))))+1)))</f>
        <v>11</v>
      </c>
      <c r="K501" s="14">
        <f>IF(ISNUMBER(SEARCH("World",'RawData'!C548)),"",'RawData'!H548)</f>
        <v>100000</v>
      </c>
      <c r="L501" s="14">
        <f>IF(ISNUMBER(SEARCH("World",'RawData'!C548)),"",SUMIFS('RawData'!H:H,'RawData'!B:B,'RawData'!B548,'RawData'!C:C,"*World*"))</f>
        <v>5900000</v>
      </c>
      <c r="M501" s="15">
        <f>IF(ISNUMBER(SEARCH("World",'RawData'!C548)),"",IFERROR(K501/L501,"-"))</f>
        <v>1.6949152542372881E-2</v>
      </c>
      <c r="N501" s="7">
        <f>IF(ISNUMBER(SEARCH("World",'RawData'!C548)),"",IF(ISNUMBER(SEARCH("Other",C501)),COUNTIFS('RawData'!B:B,B501,'RawData'!C:C,"&lt;&gt;*World*"),IF(OR(K501="",K501=0),"-",SUMPRODUCT(('RawData'!B$2:B$822=B501)*('RawData'!H$2:H$822&gt;K501)*(ISERROR(SEARCH("World",'RawData'!C$2:C$822)))*(ISERROR(SEARCH("Other",'RawData'!C$2:C$822))))+1)))</f>
        <v>8</v>
      </c>
    </row>
    <row r="502" spans="1:14" x14ac:dyDescent="0.3">
      <c r="A502" s="4" t="str">
        <f>IF(ISNUMBER(SEARCH("World",'RawData'!C549)),"",'RawData'!A549)</f>
        <v>MCS2026</v>
      </c>
      <c r="B502" s="4" t="str">
        <f>IF(ISNUMBER(SEARCH("World",'RawData'!C549)),"",'RawData'!B549)</f>
        <v>Potassium</v>
      </c>
      <c r="C502" s="4" t="str">
        <f>IF(ISNUMBER(SEARCH("World",'RawData'!C549)),"",'RawData'!C549)</f>
        <v>United States</v>
      </c>
      <c r="D502" s="4" t="str">
        <f>IF(ISNUMBER(SEARCH("World",'RawData'!C549)),"",'RawData'!D549)</f>
        <v>Mine production, potassium oxide (K₂O) equivalent</v>
      </c>
      <c r="E502" s="4" t="str">
        <f>IF(ISNUMBER(SEARCH("World",'RawData'!C549)),"",IF('RawData'!E549="WT001","kg",IF('RawData'!E549="WT002","ton",IF('RawData'!E549="WT003","k ton",""))))</f>
        <v>k ton</v>
      </c>
      <c r="F502" s="14">
        <f>IF(ISNUMBER(SEARCH("World",'RawData'!C549)),"",'RawData'!F549)</f>
        <v>410</v>
      </c>
      <c r="G502" s="14">
        <f>IF(ISNUMBER(SEARCH("World",'RawData'!C549)),"",'RawData'!G549)</f>
        <v>500</v>
      </c>
      <c r="H502" s="14">
        <f>IF(ISNUMBER(SEARCH("World",'RawData'!C549)),"",SUMIFS('RawData'!G:G,'RawData'!B:B,'RawData'!B549,'RawData'!C:C,"*World*"))</f>
        <v>49000</v>
      </c>
      <c r="I502" s="15">
        <f>IF(ISNUMBER(SEARCH("World",'RawData'!C549)),"",IFERROR(G502/H502,"-"))</f>
        <v>1.020408163265306E-2</v>
      </c>
      <c r="J502" s="7">
        <f>IF(ISNUMBER(SEARCH("World",'RawData'!C549)),"",IF(ISNUMBER(SEARCH("Other",C502)),COUNTIFS('RawData'!B:B,B502,'RawData'!C:C,"&lt;&gt;*World*"),IF(OR(G502="",G502=0),"-",SUMPRODUCT(('RawData'!B$2:B$822=B502)*('RawData'!G$2:G$822&gt;G502)*(ISERROR(SEARCH("World",'RawData'!C$2:C$822)))*(ISERROR(SEARCH("Other",'RawData'!C$2:C$822))))+1)))</f>
        <v>10</v>
      </c>
      <c r="K502" s="14">
        <f>IF(ISNUMBER(SEARCH("World",'RawData'!C549)),"",'RawData'!H549)</f>
        <v>220000</v>
      </c>
      <c r="L502" s="14">
        <f>IF(ISNUMBER(SEARCH("World",'RawData'!C549)),"",SUMIFS('RawData'!H:H,'RawData'!B:B,'RawData'!B549,'RawData'!C:C,"*World*"))</f>
        <v>5900000</v>
      </c>
      <c r="M502" s="15">
        <f>IF(ISNUMBER(SEARCH("World",'RawData'!C549)),"",IFERROR(K502/L502,"-"))</f>
        <v>3.7288135593220341E-2</v>
      </c>
      <c r="N502" s="7">
        <f>IF(ISNUMBER(SEARCH("World",'RawData'!C549)),"",IF(ISNUMBER(SEARCH("Other",C502)),COUNTIFS('RawData'!B:B,B502,'RawData'!C:C,"&lt;&gt;*World*"),IF(OR(K502="",K502=0),"-",SUMPRODUCT(('RawData'!B$2:B$822=B502)*('RawData'!H$2:H$822&gt;K502)*(ISERROR(SEARCH("World",'RawData'!C$2:C$822)))*(ISERROR(SEARCH("Other",'RawData'!C$2:C$822))))+1)))</f>
        <v>5</v>
      </c>
    </row>
    <row r="503" spans="1:14" x14ac:dyDescent="0.3">
      <c r="A503" s="4" t="str">
        <f>IF(ISNUMBER(SEARCH("World",'RawData'!C551)),"",'RawData'!A551)</f>
        <v>MCS2026</v>
      </c>
      <c r="B503" s="4" t="str">
        <f>IF(ISNUMBER(SEARCH("World",'RawData'!C551)),"",'RawData'!B551)</f>
        <v>Rare earths</v>
      </c>
      <c r="C503" s="4" t="str">
        <f>IF(ISNUMBER(SEARCH("World",'RawData'!C551)),"",'RawData'!C551)</f>
        <v>Australia</v>
      </c>
      <c r="D503" s="4" t="str">
        <f>IF(ISNUMBER(SEARCH("World",'RawData'!C551)),"",'RawData'!D551)</f>
        <v>Mine production, rare-earth-oxide equivalent</v>
      </c>
      <c r="E503" s="4" t="str">
        <f>IF(ISNUMBER(SEARCH("World",'RawData'!C551)),"",IF('RawData'!E551="WT001","kg",IF('RawData'!E551="WT002","ton",IF('RawData'!E551="WT003","k ton",""))))</f>
        <v>ton</v>
      </c>
      <c r="F503" s="14">
        <f>IF(ISNUMBER(SEARCH("World",'RawData'!C551)),"",'RawData'!F551)</f>
        <v>29000</v>
      </c>
      <c r="G503" s="14">
        <f>IF(ISNUMBER(SEARCH("World",'RawData'!C551)),"",'RawData'!G551)</f>
        <v>29000</v>
      </c>
      <c r="H503" s="14">
        <f>IF(ISNUMBER(SEARCH("World",'RawData'!C551)),"",SUMIFS('RawData'!G:G,'RawData'!B:B,'RawData'!B551,'RawData'!C:C,"*World*"))</f>
        <v>390000</v>
      </c>
      <c r="I503" s="15">
        <f>IF(ISNUMBER(SEARCH("World",'RawData'!C551)),"",IFERROR(G503/H503,"-"))</f>
        <v>7.4358974358974358E-2</v>
      </c>
      <c r="J503" s="7">
        <f>IF(ISNUMBER(SEARCH("World",'RawData'!C551)),"",IF(ISNUMBER(SEARCH("Other",C503)),COUNTIFS('RawData'!B:B,B503,'RawData'!C:C,"&lt;&gt;*World*"),IF(OR(G503="",G503=0),"-",SUMPRODUCT(('RawData'!B$2:B$822=B503)*('RawData'!G$2:G$822&gt;G503)*(ISERROR(SEARCH("World",'RawData'!C$2:C$822)))*(ISERROR(SEARCH("Other",'RawData'!C$2:C$822))))+1)))</f>
        <v>3</v>
      </c>
      <c r="K503" s="14">
        <f>IF(ISNUMBER(SEARCH("World",'RawData'!C551)),"",'RawData'!H551)</f>
        <v>6300000</v>
      </c>
      <c r="L503" s="14">
        <f>IF(ISNUMBER(SEARCH("World",'RawData'!C551)),"",SUMIFS('RawData'!H:H,'RawData'!B:B,'RawData'!B551,'RawData'!C:C,"*World*"))</f>
        <v>85000000</v>
      </c>
      <c r="M503" s="15">
        <f>IF(ISNUMBER(SEARCH("World",'RawData'!C551)),"",IFERROR(K503/L503,"-"))</f>
        <v>7.4117647058823524E-2</v>
      </c>
      <c r="N503" s="7">
        <f>IF(ISNUMBER(SEARCH("World",'RawData'!C551)),"",IF(ISNUMBER(SEARCH("Other",C503)),COUNTIFS('RawData'!B:B,B503,'RawData'!C:C,"&lt;&gt;*World*"),IF(OR(K503="",K503=0),"-",SUMPRODUCT(('RawData'!B$2:B$822=B503)*('RawData'!H$2:H$822&gt;K503)*(ISERROR(SEARCH("World",'RawData'!C$2:C$822)))*(ISERROR(SEARCH("Other",'RawData'!C$2:C$822))))+1)))</f>
        <v>3</v>
      </c>
    </row>
    <row r="504" spans="1:14" x14ac:dyDescent="0.3">
      <c r="A504" s="4" t="str">
        <f>IF(ISNUMBER(SEARCH("World",'RawData'!C552)),"",'RawData'!A552)</f>
        <v>MCS2026</v>
      </c>
      <c r="B504" s="4" t="str">
        <f>IF(ISNUMBER(SEARCH("World",'RawData'!C552)),"",'RawData'!B552)</f>
        <v>Rare earths</v>
      </c>
      <c r="C504" s="4" t="str">
        <f>IF(ISNUMBER(SEARCH("World",'RawData'!C552)),"",'RawData'!C552)</f>
        <v>Brazil</v>
      </c>
      <c r="D504" s="4" t="str">
        <f>IF(ISNUMBER(SEARCH("World",'RawData'!C552)),"",'RawData'!D552)</f>
        <v>Mine production, rare-earth-oxide equivalent</v>
      </c>
      <c r="E504" s="4" t="str">
        <f>IF(ISNUMBER(SEARCH("World",'RawData'!C552)),"",IF('RawData'!E552="WT001","kg",IF('RawData'!E552="WT002","ton",IF('RawData'!E552="WT003","k ton",""))))</f>
        <v>ton</v>
      </c>
      <c r="F504" s="14">
        <f>IF(ISNUMBER(SEARCH("World",'RawData'!C552)),"",'RawData'!F552)</f>
        <v>560</v>
      </c>
      <c r="G504" s="14">
        <f>IF(ISNUMBER(SEARCH("World",'RawData'!C552)),"",'RawData'!G552)</f>
        <v>2000</v>
      </c>
      <c r="H504" s="14">
        <f>IF(ISNUMBER(SEARCH("World",'RawData'!C552)),"",SUMIFS('RawData'!G:G,'RawData'!B:B,'RawData'!B552,'RawData'!C:C,"*World*"))</f>
        <v>390000</v>
      </c>
      <c r="I504" s="15">
        <f>IF(ISNUMBER(SEARCH("World",'RawData'!C552)),"",IFERROR(G504/H504,"-"))</f>
        <v>5.1282051282051282E-3</v>
      </c>
      <c r="J504" s="7">
        <f>IF(ISNUMBER(SEARCH("World",'RawData'!C552)),"",IF(ISNUMBER(SEARCH("Other",C504)),COUNTIFS('RawData'!B:B,B504,'RawData'!C:C,"&lt;&gt;*World*"),IF(OR(G504="",G504=0),"-",SUMPRODUCT(('RawData'!B$2:B$822=B504)*('RawData'!G$2:G$822&gt;G504)*(ISERROR(SEARCH("World",'RawData'!C$2:C$822)))*(ISERROR(SEARCH("Other",'RawData'!C$2:C$822))))+1)))</f>
        <v>9</v>
      </c>
      <c r="K504" s="14">
        <f>IF(ISNUMBER(SEARCH("World",'RawData'!C552)),"",'RawData'!H552)</f>
        <v>21000000</v>
      </c>
      <c r="L504" s="14">
        <f>IF(ISNUMBER(SEARCH("World",'RawData'!C552)),"",SUMIFS('RawData'!H:H,'RawData'!B:B,'RawData'!B552,'RawData'!C:C,"*World*"))</f>
        <v>85000000</v>
      </c>
      <c r="M504" s="15">
        <f>IF(ISNUMBER(SEARCH("World",'RawData'!C552)),"",IFERROR(K504/L504,"-"))</f>
        <v>0.24705882352941178</v>
      </c>
      <c r="N504" s="7">
        <f>IF(ISNUMBER(SEARCH("World",'RawData'!C552)),"",IF(ISNUMBER(SEARCH("Other",C504)),COUNTIFS('RawData'!B:B,B504,'RawData'!C:C,"&lt;&gt;*World*"),IF(OR(K504="",K504=0),"-",SUMPRODUCT(('RawData'!B$2:B$822=B504)*('RawData'!H$2:H$822&gt;K504)*(ISERROR(SEARCH("World",'RawData'!C$2:C$822)))*(ISERROR(SEARCH("Other",'RawData'!C$2:C$822))))+1)))</f>
        <v>2</v>
      </c>
    </row>
    <row r="505" spans="1:14" x14ac:dyDescent="0.3">
      <c r="A505" s="4" t="str">
        <f>IF(ISNUMBER(SEARCH("World",'RawData'!C553)),"",'RawData'!A553)</f>
        <v>MCS2026</v>
      </c>
      <c r="B505" s="4" t="str">
        <f>IF(ISNUMBER(SEARCH("World",'RawData'!C553)),"",'RawData'!B553)</f>
        <v>Rare earths</v>
      </c>
      <c r="C505" s="4" t="str">
        <f>IF(ISNUMBER(SEARCH("World",'RawData'!C553)),"",'RawData'!C553)</f>
        <v xml:space="preserve">Canada </v>
      </c>
      <c r="D505" s="4" t="str">
        <f>IF(ISNUMBER(SEARCH("World",'RawData'!C553)),"",'RawData'!D553)</f>
        <v>Mine production, rare-earth-oxide equivalent</v>
      </c>
      <c r="E505" s="4" t="str">
        <f>IF(ISNUMBER(SEARCH("World",'RawData'!C553)),"",IF('RawData'!E553="WT001","kg",IF('RawData'!E553="WT002","ton",IF('RawData'!E553="WT003","k ton",""))))</f>
        <v>ton</v>
      </c>
      <c r="F505" s="14">
        <f>IF(ISNUMBER(SEARCH("World",'RawData'!C553)),"",'RawData'!F553)</f>
        <v>0</v>
      </c>
      <c r="G505" s="14">
        <f>IF(ISNUMBER(SEARCH("World",'RawData'!C553)),"",'RawData'!G553)</f>
        <v>0</v>
      </c>
      <c r="H505" s="14">
        <f>IF(ISNUMBER(SEARCH("World",'RawData'!C553)),"",SUMIFS('RawData'!G:G,'RawData'!B:B,'RawData'!B553,'RawData'!C:C,"*World*"))</f>
        <v>390000</v>
      </c>
      <c r="I505" s="15">
        <f>IF(ISNUMBER(SEARCH("World",'RawData'!C553)),"",IFERROR(G505/H505,"-"))</f>
        <v>0</v>
      </c>
      <c r="J505" s="7" t="str">
        <f>IF(ISNUMBER(SEARCH("World",'RawData'!C553)),"",IF(ISNUMBER(SEARCH("Other",C505)),COUNTIFS('RawData'!B:B,B505,'RawData'!C:C,"&lt;&gt;*World*"),IF(OR(G505="",G505=0),"-",SUMPRODUCT(('RawData'!B$2:B$822=B505)*('RawData'!G$2:G$822&gt;G505)*(ISERROR(SEARCH("World",'RawData'!C$2:C$822)))*(ISERROR(SEARCH("Other",'RawData'!C$2:C$822))))+1)))</f>
        <v>-</v>
      </c>
      <c r="K505" s="14">
        <f>IF(ISNUMBER(SEARCH("World",'RawData'!C553)),"",'RawData'!H553)</f>
        <v>830000</v>
      </c>
      <c r="L505" s="14">
        <f>IF(ISNUMBER(SEARCH("World",'RawData'!C553)),"",SUMIFS('RawData'!H:H,'RawData'!B:B,'RawData'!B553,'RawData'!C:C,"*World*"))</f>
        <v>85000000</v>
      </c>
      <c r="M505" s="15">
        <f>IF(ISNUMBER(SEARCH("World",'RawData'!C553)),"",IFERROR(K505/L505,"-"))</f>
        <v>9.764705882352941E-3</v>
      </c>
      <c r="N505" s="7">
        <f>IF(ISNUMBER(SEARCH("World",'RawData'!C553)),"",IF(ISNUMBER(SEARCH("Other",C505)),COUNTIFS('RawData'!B:B,B505,'RawData'!C:C,"&lt;&gt;*World*"),IF(OR(K505="",K505=0),"-",SUMPRODUCT(('RawData'!B$2:B$822=B505)*('RawData'!H$2:H$822&gt;K505)*(ISERROR(SEARCH("World",'RawData'!C$2:C$822)))*(ISERROR(SEARCH("Other",'RawData'!C$2:C$822))))+1)))</f>
        <v>10</v>
      </c>
    </row>
    <row r="506" spans="1:14" x14ac:dyDescent="0.3">
      <c r="A506" s="4" t="str">
        <f>IF(ISNUMBER(SEARCH("World",'RawData'!C554)),"",'RawData'!A554)</f>
        <v>MCS2026</v>
      </c>
      <c r="B506" s="4" t="str">
        <f>IF(ISNUMBER(SEARCH("World",'RawData'!C554)),"",'RawData'!B554)</f>
        <v>Rare earths</v>
      </c>
      <c r="C506" s="4" t="str">
        <f>IF(ISNUMBER(SEARCH("World",'RawData'!C554)),"",'RawData'!C554)</f>
        <v>China</v>
      </c>
      <c r="D506" s="4" t="str">
        <f>IF(ISNUMBER(SEARCH("World",'RawData'!C554)),"",'RawData'!D554)</f>
        <v>Mine production, rare-earth-oxide equivalent</v>
      </c>
      <c r="E506" s="4" t="str">
        <f>IF(ISNUMBER(SEARCH("World",'RawData'!C554)),"",IF('RawData'!E554="WT001","kg",IF('RawData'!E554="WT002","ton",IF('RawData'!E554="WT003","k ton",""))))</f>
        <v>ton</v>
      </c>
      <c r="F506" s="14">
        <f>IF(ISNUMBER(SEARCH("World",'RawData'!C554)),"",'RawData'!F554)</f>
        <v>270000</v>
      </c>
      <c r="G506" s="14">
        <f>IF(ISNUMBER(SEARCH("World",'RawData'!C554)),"",'RawData'!G554)</f>
        <v>270000</v>
      </c>
      <c r="H506" s="14">
        <f>IF(ISNUMBER(SEARCH("World",'RawData'!C554)),"",SUMIFS('RawData'!G:G,'RawData'!B:B,'RawData'!B554,'RawData'!C:C,"*World*"))</f>
        <v>390000</v>
      </c>
      <c r="I506" s="15">
        <f>IF(ISNUMBER(SEARCH("World",'RawData'!C554)),"",IFERROR(G506/H506,"-"))</f>
        <v>0.69230769230769229</v>
      </c>
      <c r="J506" s="7">
        <f>IF(ISNUMBER(SEARCH("World",'RawData'!C554)),"",IF(ISNUMBER(SEARCH("Other",C506)),COUNTIFS('RawData'!B:B,B506,'RawData'!C:C,"&lt;&gt;*World*"),IF(OR(G506="",G506=0),"-",SUMPRODUCT(('RawData'!B$2:B$822=B506)*('RawData'!G$2:G$822&gt;G506)*(ISERROR(SEARCH("World",'RawData'!C$2:C$822)))*(ISERROR(SEARCH("Other",'RawData'!C$2:C$822))))+1)))</f>
        <v>1</v>
      </c>
      <c r="K506" s="14">
        <f>IF(ISNUMBER(SEARCH("World",'RawData'!C554)),"",'RawData'!H554)</f>
        <v>44000000</v>
      </c>
      <c r="L506" s="14">
        <f>IF(ISNUMBER(SEARCH("World",'RawData'!C554)),"",SUMIFS('RawData'!H:H,'RawData'!B:B,'RawData'!B554,'RawData'!C:C,"*World*"))</f>
        <v>85000000</v>
      </c>
      <c r="M506" s="15">
        <f>IF(ISNUMBER(SEARCH("World",'RawData'!C554)),"",IFERROR(K506/L506,"-"))</f>
        <v>0.51764705882352946</v>
      </c>
      <c r="N506" s="7">
        <f>IF(ISNUMBER(SEARCH("World",'RawData'!C554)),"",IF(ISNUMBER(SEARCH("Other",C506)),COUNTIFS('RawData'!B:B,B506,'RawData'!C:C,"&lt;&gt;*World*"),IF(OR(K506="",K506=0),"-",SUMPRODUCT(('RawData'!B$2:B$822=B506)*('RawData'!H$2:H$822&gt;K506)*(ISERROR(SEARCH("World",'RawData'!C$2:C$822)))*(ISERROR(SEARCH("Other",'RawData'!C$2:C$822))))+1)))</f>
        <v>1</v>
      </c>
    </row>
    <row r="507" spans="1:14" x14ac:dyDescent="0.3">
      <c r="A507" s="4" t="str">
        <f>IF(ISNUMBER(SEARCH("World",'RawData'!C555)),"",'RawData'!A555)</f>
        <v>MCS2026</v>
      </c>
      <c r="B507" s="4" t="str">
        <f>IF(ISNUMBER(SEARCH("World",'RawData'!C555)),"",'RawData'!B555)</f>
        <v>Rare earths</v>
      </c>
      <c r="C507" s="4" t="str">
        <f>IF(ISNUMBER(SEARCH("World",'RawData'!C555)),"",'RawData'!C555)</f>
        <v>Greenland</v>
      </c>
      <c r="D507" s="4" t="str">
        <f>IF(ISNUMBER(SEARCH("World",'RawData'!C555)),"",'RawData'!D555)</f>
        <v>Mine production, rare-earth-oxide equivalent</v>
      </c>
      <c r="E507" s="4" t="str">
        <f>IF(ISNUMBER(SEARCH("World",'RawData'!C555)),"",IF('RawData'!E555="WT001","kg",IF('RawData'!E555="WT002","ton",IF('RawData'!E555="WT003","k ton",""))))</f>
        <v>ton</v>
      </c>
      <c r="F507" s="14">
        <f>IF(ISNUMBER(SEARCH("World",'RawData'!C555)),"",'RawData'!F555)</f>
        <v>0</v>
      </c>
      <c r="G507" s="14">
        <f>IF(ISNUMBER(SEARCH("World",'RawData'!C555)),"",'RawData'!G555)</f>
        <v>0</v>
      </c>
      <c r="H507" s="14">
        <f>IF(ISNUMBER(SEARCH("World",'RawData'!C555)),"",SUMIFS('RawData'!G:G,'RawData'!B:B,'RawData'!B555,'RawData'!C:C,"*World*"))</f>
        <v>390000</v>
      </c>
      <c r="I507" s="15">
        <f>IF(ISNUMBER(SEARCH("World",'RawData'!C555)),"",IFERROR(G507/H507,"-"))</f>
        <v>0</v>
      </c>
      <c r="J507" s="7" t="str">
        <f>IF(ISNUMBER(SEARCH("World",'RawData'!C555)),"",IF(ISNUMBER(SEARCH("Other",C507)),COUNTIFS('RawData'!B:B,B507,'RawData'!C:C,"&lt;&gt;*World*"),IF(OR(G507="",G507=0),"-",SUMPRODUCT(('RawData'!B$2:B$822=B507)*('RawData'!G$2:G$822&gt;G507)*(ISERROR(SEARCH("World",'RawData'!C$2:C$822)))*(ISERROR(SEARCH("Other",'RawData'!C$2:C$822))))+1)))</f>
        <v>-</v>
      </c>
      <c r="K507" s="14">
        <f>IF(ISNUMBER(SEARCH("World",'RawData'!C555)),"",'RawData'!H555)</f>
        <v>1500000</v>
      </c>
      <c r="L507" s="14">
        <f>IF(ISNUMBER(SEARCH("World",'RawData'!C555)),"",SUMIFS('RawData'!H:H,'RawData'!B:B,'RawData'!B555,'RawData'!C:C,"*World*"))</f>
        <v>85000000</v>
      </c>
      <c r="M507" s="15">
        <f>IF(ISNUMBER(SEARCH("World",'RawData'!C555)),"",IFERROR(K507/L507,"-"))</f>
        <v>1.7647058823529412E-2</v>
      </c>
      <c r="N507" s="7">
        <f>IF(ISNUMBER(SEARCH("World",'RawData'!C555)),"",IF(ISNUMBER(SEARCH("Other",C507)),COUNTIFS('RawData'!B:B,B507,'RawData'!C:C,"&lt;&gt;*World*"),IF(OR(K507="",K507=0),"-",SUMPRODUCT(('RawData'!B$2:B$822=B507)*('RawData'!H$2:H$822&gt;K507)*(ISERROR(SEARCH("World",'RawData'!C$2:C$822)))*(ISERROR(SEARCH("Other",'RawData'!C$2:C$822))))+1)))</f>
        <v>7</v>
      </c>
    </row>
    <row r="508" spans="1:14" x14ac:dyDescent="0.3">
      <c r="A508" s="4" t="str">
        <f>IF(ISNUMBER(SEARCH("World",'RawData'!C556)),"",'RawData'!A556)</f>
        <v>MCS2026</v>
      </c>
      <c r="B508" s="4" t="str">
        <f>IF(ISNUMBER(SEARCH("World",'RawData'!C556)),"",'RawData'!B556)</f>
        <v>Rare earths</v>
      </c>
      <c r="C508" s="4" t="str">
        <f>IF(ISNUMBER(SEARCH("World",'RawData'!C556)),"",'RawData'!C556)</f>
        <v>India</v>
      </c>
      <c r="D508" s="4" t="str">
        <f>IF(ISNUMBER(SEARCH("World",'RawData'!C556)),"",'RawData'!D556)</f>
        <v>Mine production, rare-earth-oxide equivalent</v>
      </c>
      <c r="E508" s="4" t="str">
        <f>IF(ISNUMBER(SEARCH("World",'RawData'!C556)),"",IF('RawData'!E556="WT001","kg",IF('RawData'!E556="WT002","ton",IF('RawData'!E556="WT003","k ton",""))))</f>
        <v>ton</v>
      </c>
      <c r="F508" s="14">
        <f>IF(ISNUMBER(SEARCH("World",'RawData'!C556)),"",'RawData'!F556)</f>
        <v>2900</v>
      </c>
      <c r="G508" s="14">
        <f>IF(ISNUMBER(SEARCH("World",'RawData'!C556)),"",'RawData'!G556)</f>
        <v>2900</v>
      </c>
      <c r="H508" s="14">
        <f>IF(ISNUMBER(SEARCH("World",'RawData'!C556)),"",SUMIFS('RawData'!G:G,'RawData'!B:B,'RawData'!B556,'RawData'!C:C,"*World*"))</f>
        <v>390000</v>
      </c>
      <c r="I508" s="15">
        <f>IF(ISNUMBER(SEARCH("World",'RawData'!C556)),"",IFERROR(G508/H508,"-"))</f>
        <v>7.4358974358974357E-3</v>
      </c>
      <c r="J508" s="7">
        <f>IF(ISNUMBER(SEARCH("World",'RawData'!C556)),"",IF(ISNUMBER(SEARCH("Other",C508)),COUNTIFS('RawData'!B:B,B508,'RawData'!C:C,"&lt;&gt;*World*"),IF(OR(G508="",G508=0),"-",SUMPRODUCT(('RawData'!B$2:B$822=B508)*('RawData'!G$2:G$822&gt;G508)*(ISERROR(SEARCH("World",'RawData'!C$2:C$822)))*(ISERROR(SEARCH("Other",'RawData'!C$2:C$822))))+1)))</f>
        <v>6</v>
      </c>
      <c r="K508" s="14">
        <f>IF(ISNUMBER(SEARCH("World",'RawData'!C556)),"",'RawData'!H556)</f>
        <v>0</v>
      </c>
      <c r="L508" s="14">
        <f>IF(ISNUMBER(SEARCH("World",'RawData'!C556)),"",SUMIFS('RawData'!H:H,'RawData'!B:B,'RawData'!B556,'RawData'!C:C,"*World*"))</f>
        <v>85000000</v>
      </c>
      <c r="M508" s="15">
        <f>IF(ISNUMBER(SEARCH("World",'RawData'!C556)),"",IFERROR(K508/L508,"-"))</f>
        <v>0</v>
      </c>
      <c r="N508" s="7" t="str">
        <f>IF(ISNUMBER(SEARCH("World",'RawData'!C556)),"",IF(ISNUMBER(SEARCH("Other",C508)),COUNTIFS('RawData'!B:B,B508,'RawData'!C:C,"&lt;&gt;*World*"),IF(OR(K508="",K508=0),"-",SUMPRODUCT(('RawData'!B$2:B$822=B508)*('RawData'!H$2:H$822&gt;K508)*(ISERROR(SEARCH("World",'RawData'!C$2:C$822)))*(ISERROR(SEARCH("Other",'RawData'!C$2:C$822))))+1)))</f>
        <v>-</v>
      </c>
    </row>
    <row r="509" spans="1:14" x14ac:dyDescent="0.3">
      <c r="A509" s="4" t="str">
        <f>IF(ISNUMBER(SEARCH("World",'RawData'!C557)),"",'RawData'!A557)</f>
        <v>MCS2026</v>
      </c>
      <c r="B509" s="4" t="str">
        <f>IF(ISNUMBER(SEARCH("World",'RawData'!C557)),"",'RawData'!B557)</f>
        <v>Rare earths</v>
      </c>
      <c r="C509" s="4" t="str">
        <f>IF(ISNUMBER(SEARCH("World",'RawData'!C557)),"",'RawData'!C557)</f>
        <v>Madagascar</v>
      </c>
      <c r="D509" s="4" t="str">
        <f>IF(ISNUMBER(SEARCH("World",'RawData'!C557)),"",'RawData'!D557)</f>
        <v>Mine production, rare-earth-oxide equivalent</v>
      </c>
      <c r="E509" s="4" t="str">
        <f>IF(ISNUMBER(SEARCH("World",'RawData'!C557)),"",IF('RawData'!E557="WT001","kg",IF('RawData'!E557="WT002","ton",IF('RawData'!E557="WT003","k ton",""))))</f>
        <v>ton</v>
      </c>
      <c r="F509" s="14">
        <f>IF(ISNUMBER(SEARCH("World",'RawData'!C557)),"",'RawData'!F557)</f>
        <v>1400</v>
      </c>
      <c r="G509" s="14">
        <f>IF(ISNUMBER(SEARCH("World",'RawData'!C557)),"",'RawData'!G557)</f>
        <v>2700</v>
      </c>
      <c r="H509" s="14">
        <f>IF(ISNUMBER(SEARCH("World",'RawData'!C557)),"",SUMIFS('RawData'!G:G,'RawData'!B:B,'RawData'!B557,'RawData'!C:C,"*World*"))</f>
        <v>390000</v>
      </c>
      <c r="I509" s="15">
        <f>IF(ISNUMBER(SEARCH("World",'RawData'!C557)),"",IFERROR(G509/H509,"-"))</f>
        <v>6.9230769230769233E-3</v>
      </c>
      <c r="J509" s="7">
        <f>IF(ISNUMBER(SEARCH("World",'RawData'!C557)),"",IF(ISNUMBER(SEARCH("Other",C509)),COUNTIFS('RawData'!B:B,B509,'RawData'!C:C,"&lt;&gt;*World*"),IF(OR(G509="",G509=0),"-",SUMPRODUCT(('RawData'!B$2:B$822=B509)*('RawData'!G$2:G$822&gt;G509)*(ISERROR(SEARCH("World",'RawData'!C$2:C$822)))*(ISERROR(SEARCH("Other",'RawData'!C$2:C$822))))+1)))</f>
        <v>7</v>
      </c>
      <c r="K509" s="14">
        <f>IF(ISNUMBER(SEARCH("World",'RawData'!C557)),"",'RawData'!H557)</f>
        <v>0</v>
      </c>
      <c r="L509" s="14">
        <f>IF(ISNUMBER(SEARCH("World",'RawData'!C557)),"",SUMIFS('RawData'!H:H,'RawData'!B:B,'RawData'!B557,'RawData'!C:C,"*World*"))</f>
        <v>85000000</v>
      </c>
      <c r="M509" s="15">
        <f>IF(ISNUMBER(SEARCH("World",'RawData'!C557)),"",IFERROR(K509/L509,"-"))</f>
        <v>0</v>
      </c>
      <c r="N509" s="7" t="str">
        <f>IF(ISNUMBER(SEARCH("World",'RawData'!C557)),"",IF(ISNUMBER(SEARCH("Other",C509)),COUNTIFS('RawData'!B:B,B509,'RawData'!C:C,"&lt;&gt;*World*"),IF(OR(K509="",K509=0),"-",SUMPRODUCT(('RawData'!B$2:B$822=B509)*('RawData'!H$2:H$822&gt;K509)*(ISERROR(SEARCH("World",'RawData'!C$2:C$822)))*(ISERROR(SEARCH("Other",'RawData'!C$2:C$822))))+1)))</f>
        <v>-</v>
      </c>
    </row>
    <row r="510" spans="1:14" x14ac:dyDescent="0.3">
      <c r="A510" s="4" t="str">
        <f>IF(ISNUMBER(SEARCH("World",'RawData'!C558)),"",'RawData'!A558)</f>
        <v>MCS2026</v>
      </c>
      <c r="B510" s="4" t="str">
        <f>IF(ISNUMBER(SEARCH("World",'RawData'!C558)),"",'RawData'!B558)</f>
        <v>Rare earths</v>
      </c>
      <c r="C510" s="4" t="str">
        <f>IF(ISNUMBER(SEARCH("World",'RawData'!C558)),"",'RawData'!C558)</f>
        <v>Malaysia</v>
      </c>
      <c r="D510" s="4" t="str">
        <f>IF(ISNUMBER(SEARCH("World",'RawData'!C558)),"",'RawData'!D558)</f>
        <v>Mine production, rare-earth-oxide equivalent</v>
      </c>
      <c r="E510" s="4" t="str">
        <f>IF(ISNUMBER(SEARCH("World",'RawData'!C558)),"",IF('RawData'!E558="WT001","kg",IF('RawData'!E558="WT002","ton",IF('RawData'!E558="WT003","k ton",""))))</f>
        <v>ton</v>
      </c>
      <c r="F510" s="14">
        <f>IF(ISNUMBER(SEARCH("World",'RawData'!C558)),"",'RawData'!F558)</f>
        <v>140</v>
      </c>
      <c r="G510" s="14">
        <f>IF(ISNUMBER(SEARCH("World",'RawData'!C558)),"",'RawData'!G558)</f>
        <v>110</v>
      </c>
      <c r="H510" s="14">
        <f>IF(ISNUMBER(SEARCH("World",'RawData'!C558)),"",SUMIFS('RawData'!G:G,'RawData'!B:B,'RawData'!B558,'RawData'!C:C,"*World*"))</f>
        <v>390000</v>
      </c>
      <c r="I510" s="15">
        <f>IF(ISNUMBER(SEARCH("World",'RawData'!C558)),"",IFERROR(G510/H510,"-"))</f>
        <v>2.8205128205128203E-4</v>
      </c>
      <c r="J510" s="7">
        <f>IF(ISNUMBER(SEARCH("World",'RawData'!C558)),"",IF(ISNUMBER(SEARCH("Other",C510)),COUNTIFS('RawData'!B:B,B510,'RawData'!C:C,"&lt;&gt;*World*"),IF(OR(G510="",G510=0),"-",SUMPRODUCT(('RawData'!B$2:B$822=B510)*('RawData'!G$2:G$822&gt;G510)*(ISERROR(SEARCH("World",'RawData'!C$2:C$822)))*(ISERROR(SEARCH("Other",'RawData'!C$2:C$822))))+1)))</f>
        <v>12</v>
      </c>
      <c r="K510" s="14">
        <f>IF(ISNUMBER(SEARCH("World",'RawData'!C558)),"",'RawData'!H558)</f>
        <v>710000</v>
      </c>
      <c r="L510" s="14">
        <f>IF(ISNUMBER(SEARCH("World",'RawData'!C558)),"",SUMIFS('RawData'!H:H,'RawData'!B:B,'RawData'!B558,'RawData'!C:C,"*World*"))</f>
        <v>85000000</v>
      </c>
      <c r="M510" s="15">
        <f>IF(ISNUMBER(SEARCH("World",'RawData'!C558)),"",IFERROR(K510/L510,"-"))</f>
        <v>8.352941176470589E-3</v>
      </c>
      <c r="N510" s="7">
        <f>IF(ISNUMBER(SEARCH("World",'RawData'!C558)),"",IF(ISNUMBER(SEARCH("Other",C510)),COUNTIFS('RawData'!B:B,B510,'RawData'!C:C,"&lt;&gt;*World*"),IF(OR(K510="",K510=0),"-",SUMPRODUCT(('RawData'!B$2:B$822=B510)*('RawData'!H$2:H$822&gt;K510)*(ISERROR(SEARCH("World",'RawData'!C$2:C$822)))*(ISERROR(SEARCH("Other",'RawData'!C$2:C$822))))+1)))</f>
        <v>11</v>
      </c>
    </row>
    <row r="511" spans="1:14" x14ac:dyDescent="0.3">
      <c r="A511" s="4" t="str">
        <f>IF(ISNUMBER(SEARCH("World",'RawData'!C559)),"",'RawData'!A559)</f>
        <v>MCS2026</v>
      </c>
      <c r="B511" s="4" t="str">
        <f>IF(ISNUMBER(SEARCH("World",'RawData'!C559)),"",'RawData'!B559)</f>
        <v>Rare earths</v>
      </c>
      <c r="C511" s="4" t="str">
        <f>IF(ISNUMBER(SEARCH("World",'RawData'!C559)),"",'RawData'!C559)</f>
        <v>Myanmar</v>
      </c>
      <c r="D511" s="4" t="str">
        <f>IF(ISNUMBER(SEARCH("World",'RawData'!C559)),"",'RawData'!D559)</f>
        <v>Mine production, rare-earth-oxide equivalent</v>
      </c>
      <c r="E511" s="4" t="str">
        <f>IF(ISNUMBER(SEARCH("World",'RawData'!C559)),"",IF('RawData'!E559="WT001","kg",IF('RawData'!E559="WT002","ton",IF('RawData'!E559="WT003","k ton",""))))</f>
        <v>ton</v>
      </c>
      <c r="F511" s="14">
        <f>IF(ISNUMBER(SEARCH("World",'RawData'!C559)),"",'RawData'!F559)</f>
        <v>27000</v>
      </c>
      <c r="G511" s="14">
        <f>IF(ISNUMBER(SEARCH("World",'RawData'!C559)),"",'RawData'!G559)</f>
        <v>22000</v>
      </c>
      <c r="H511" s="14">
        <f>IF(ISNUMBER(SEARCH("World",'RawData'!C559)),"",SUMIFS('RawData'!G:G,'RawData'!B:B,'RawData'!B559,'RawData'!C:C,"*World*"))</f>
        <v>390000</v>
      </c>
      <c r="I511" s="15">
        <f>IF(ISNUMBER(SEARCH("World",'RawData'!C559)),"",IFERROR(G511/H511,"-"))</f>
        <v>5.6410256410256411E-2</v>
      </c>
      <c r="J511" s="7">
        <f>IF(ISNUMBER(SEARCH("World",'RawData'!C559)),"",IF(ISNUMBER(SEARCH("Other",C511)),COUNTIFS('RawData'!B:B,B511,'RawData'!C:C,"&lt;&gt;*World*"),IF(OR(G511="",G511=0),"-",SUMPRODUCT(('RawData'!B$2:B$822=B511)*('RawData'!G$2:G$822&gt;G511)*(ISERROR(SEARCH("World",'RawData'!C$2:C$822)))*(ISERROR(SEARCH("Other",'RawData'!C$2:C$822))))+1)))</f>
        <v>4</v>
      </c>
      <c r="K511" s="14">
        <f>IF(ISNUMBER(SEARCH("World",'RawData'!C559)),"",'RawData'!H559)</f>
        <v>0</v>
      </c>
      <c r="L511" s="14">
        <f>IF(ISNUMBER(SEARCH("World",'RawData'!C559)),"",SUMIFS('RawData'!H:H,'RawData'!B:B,'RawData'!B559,'RawData'!C:C,"*World*"))</f>
        <v>85000000</v>
      </c>
      <c r="M511" s="15">
        <f>IF(ISNUMBER(SEARCH("World",'RawData'!C559)),"",IFERROR(K511/L511,"-"))</f>
        <v>0</v>
      </c>
      <c r="N511" s="7" t="str">
        <f>IF(ISNUMBER(SEARCH("World",'RawData'!C559)),"",IF(ISNUMBER(SEARCH("Other",C511)),COUNTIFS('RawData'!B:B,B511,'RawData'!C:C,"&lt;&gt;*World*"),IF(OR(K511="",K511=0),"-",SUMPRODUCT(('RawData'!B$2:B$822=B511)*('RawData'!H$2:H$822&gt;K511)*(ISERROR(SEARCH("World",'RawData'!C$2:C$822)))*(ISERROR(SEARCH("Other",'RawData'!C$2:C$822))))+1)))</f>
        <v>-</v>
      </c>
    </row>
    <row r="512" spans="1:14" x14ac:dyDescent="0.3">
      <c r="A512" s="4" t="str">
        <f>IF(ISNUMBER(SEARCH("World",'RawData'!C560)),"",'RawData'!A560)</f>
        <v>MCS2026</v>
      </c>
      <c r="B512" s="4" t="str">
        <f>IF(ISNUMBER(SEARCH("World",'RawData'!C560)),"",'RawData'!B560)</f>
        <v>Rare earths</v>
      </c>
      <c r="C512" s="4" t="str">
        <f>IF(ISNUMBER(SEARCH("World",'RawData'!C560)),"",'RawData'!C560)</f>
        <v>Nigeria</v>
      </c>
      <c r="D512" s="4" t="str">
        <f>IF(ISNUMBER(SEARCH("World",'RawData'!C560)),"",'RawData'!D560)</f>
        <v>Mine production, rare-earth-oxide equivalent</v>
      </c>
      <c r="E512" s="4" t="str">
        <f>IF(ISNUMBER(SEARCH("World",'RawData'!C560)),"",IF('RawData'!E560="WT001","kg",IF('RawData'!E560="WT002","ton",IF('RawData'!E560="WT003","k ton",""))))</f>
        <v>ton</v>
      </c>
      <c r="F512" s="14">
        <f>IF(ISNUMBER(SEARCH("World",'RawData'!C560)),"",'RawData'!F560)</f>
        <v>1500</v>
      </c>
      <c r="G512" s="14">
        <f>IF(ISNUMBER(SEARCH("World",'RawData'!C560)),"",'RawData'!G560)</f>
        <v>1500</v>
      </c>
      <c r="H512" s="14">
        <f>IF(ISNUMBER(SEARCH("World",'RawData'!C560)),"",SUMIFS('RawData'!G:G,'RawData'!B:B,'RawData'!B560,'RawData'!C:C,"*World*"))</f>
        <v>390000</v>
      </c>
      <c r="I512" s="15">
        <f>IF(ISNUMBER(SEARCH("World",'RawData'!C560)),"",IFERROR(G512/H512,"-"))</f>
        <v>3.8461538461538464E-3</v>
      </c>
      <c r="J512" s="7">
        <f>IF(ISNUMBER(SEARCH("World",'RawData'!C560)),"",IF(ISNUMBER(SEARCH("Other",C512)),COUNTIFS('RawData'!B:B,B512,'RawData'!C:C,"&lt;&gt;*World*"),IF(OR(G512="",G512=0),"-",SUMPRODUCT(('RawData'!B$2:B$822=B512)*('RawData'!G$2:G$822&gt;G512)*(ISERROR(SEARCH("World",'RawData'!C$2:C$822)))*(ISERROR(SEARCH("Other",'RawData'!C$2:C$822))))+1)))</f>
        <v>10</v>
      </c>
      <c r="K512" s="14">
        <f>IF(ISNUMBER(SEARCH("World",'RawData'!C560)),"",'RawData'!H560)</f>
        <v>0</v>
      </c>
      <c r="L512" s="14">
        <f>IF(ISNUMBER(SEARCH("World",'RawData'!C560)),"",SUMIFS('RawData'!H:H,'RawData'!B:B,'RawData'!B560,'RawData'!C:C,"*World*"))</f>
        <v>85000000</v>
      </c>
      <c r="M512" s="15">
        <f>IF(ISNUMBER(SEARCH("World",'RawData'!C560)),"",IFERROR(K512/L512,"-"))</f>
        <v>0</v>
      </c>
      <c r="N512" s="7" t="str">
        <f>IF(ISNUMBER(SEARCH("World",'RawData'!C560)),"",IF(ISNUMBER(SEARCH("Other",C512)),COUNTIFS('RawData'!B:B,B512,'RawData'!C:C,"&lt;&gt;*World*"),IF(OR(K512="",K512=0),"-",SUMPRODUCT(('RawData'!B$2:B$822=B512)*('RawData'!H$2:H$822&gt;K512)*(ISERROR(SEARCH("World",'RawData'!C$2:C$822)))*(ISERROR(SEARCH("Other",'RawData'!C$2:C$822))))+1)))</f>
        <v>-</v>
      </c>
    </row>
    <row r="513" spans="1:14" x14ac:dyDescent="0.3">
      <c r="A513" s="4" t="str">
        <f>IF(ISNUMBER(SEARCH("World",'RawData'!C561)),"",'RawData'!A561)</f>
        <v>MCS2026</v>
      </c>
      <c r="B513" s="4" t="str">
        <f>IF(ISNUMBER(SEARCH("World",'RawData'!C561)),"",'RawData'!B561)</f>
        <v>Rare earths</v>
      </c>
      <c r="C513" s="4" t="str">
        <f>IF(ISNUMBER(SEARCH("World",'RawData'!C561)),"",'RawData'!C561)</f>
        <v>Other Countries</v>
      </c>
      <c r="D513" s="4" t="str">
        <f>IF(ISNUMBER(SEARCH("World",'RawData'!C561)),"",'RawData'!D561)</f>
        <v>Mine production, rare-earth-oxide equivalent</v>
      </c>
      <c r="E513" s="4" t="str">
        <f>IF(ISNUMBER(SEARCH("World",'RawData'!C561)),"",IF('RawData'!E561="WT001","kg",IF('RawData'!E561="WT002","ton",IF('RawData'!E561="WT003","k ton",""))))</f>
        <v>ton</v>
      </c>
      <c r="F513" s="14">
        <f>IF(ISNUMBER(SEARCH("World",'RawData'!C561)),"",'RawData'!F561)</f>
        <v>1000</v>
      </c>
      <c r="G513" s="14">
        <f>IF(ISNUMBER(SEARCH("World",'RawData'!C561)),"",'RawData'!G561)</f>
        <v>550</v>
      </c>
      <c r="H513" s="14">
        <f>IF(ISNUMBER(SEARCH("World",'RawData'!C561)),"",SUMIFS('RawData'!G:G,'RawData'!B:B,'RawData'!B561,'RawData'!C:C,"*World*"))</f>
        <v>390000</v>
      </c>
      <c r="I513" s="15">
        <f>IF(ISNUMBER(SEARCH("World",'RawData'!C561)),"",IFERROR(G513/H513,"-"))</f>
        <v>1.4102564102564104E-3</v>
      </c>
      <c r="J513" s="7">
        <f>IF(ISNUMBER(SEARCH("World",'RawData'!C561)),"",IF(ISNUMBER(SEARCH("Other",C513)),COUNTIFS('RawData'!B:B,B513,'RawData'!C:C,"&lt;&gt;*World*"),IF(OR(G513="",G513=0),"-",SUMPRODUCT(('RawData'!B$2:B$822=B513)*('RawData'!G$2:G$822&gt;G513)*(ISERROR(SEARCH("World",'RawData'!C$2:C$822)))*(ISERROR(SEARCH("Other",'RawData'!C$2:C$822))))+1)))</f>
        <v>17</v>
      </c>
      <c r="K513" s="14">
        <f>IF(ISNUMBER(SEARCH("World",'RawData'!C561)),"",'RawData'!H561)</f>
        <v>0</v>
      </c>
      <c r="L513" s="14">
        <f>IF(ISNUMBER(SEARCH("World",'RawData'!C561)),"",SUMIFS('RawData'!H:H,'RawData'!B:B,'RawData'!B561,'RawData'!C:C,"*World*"))</f>
        <v>85000000</v>
      </c>
      <c r="M513" s="15">
        <f>IF(ISNUMBER(SEARCH("World",'RawData'!C561)),"",IFERROR(K513/L513,"-"))</f>
        <v>0</v>
      </c>
      <c r="N513" s="7">
        <f>IF(ISNUMBER(SEARCH("World",'RawData'!C561)),"",IF(ISNUMBER(SEARCH("Other",C513)),COUNTIFS('RawData'!B:B,B513,'RawData'!C:C,"&lt;&gt;*World*"),IF(OR(K513="",K513=0),"-",SUMPRODUCT(('RawData'!B$2:B$822=B513)*('RawData'!H$2:H$822&gt;K513)*(ISERROR(SEARCH("World",'RawData'!C$2:C$822)))*(ISERROR(SEARCH("Other",'RawData'!C$2:C$822))))+1)))</f>
        <v>17</v>
      </c>
    </row>
    <row r="514" spans="1:14" x14ac:dyDescent="0.3">
      <c r="A514" s="4" t="str">
        <f>IF(ISNUMBER(SEARCH("World",'RawData'!C562)),"",'RawData'!A562)</f>
        <v>MCS2026</v>
      </c>
      <c r="B514" s="4" t="str">
        <f>IF(ISNUMBER(SEARCH("World",'RawData'!C562)),"",'RawData'!B562)</f>
        <v>Rare earths</v>
      </c>
      <c r="C514" s="4" t="str">
        <f>IF(ISNUMBER(SEARCH("World",'RawData'!C562)),"",'RawData'!C562)</f>
        <v xml:space="preserve">Russia </v>
      </c>
      <c r="D514" s="4" t="str">
        <f>IF(ISNUMBER(SEARCH("World",'RawData'!C562)),"",'RawData'!D562)</f>
        <v>Mine production, rare-earth-oxide equivalent</v>
      </c>
      <c r="E514" s="4" t="str">
        <f>IF(ISNUMBER(SEARCH("World",'RawData'!C562)),"",IF('RawData'!E562="WT001","kg",IF('RawData'!E562="WT002","ton",IF('RawData'!E562="WT003","k ton",""))))</f>
        <v>ton</v>
      </c>
      <c r="F514" s="14">
        <f>IF(ISNUMBER(SEARCH("World",'RawData'!C562)),"",'RawData'!F562)</f>
        <v>2600</v>
      </c>
      <c r="G514" s="14">
        <f>IF(ISNUMBER(SEARCH("World",'RawData'!C562)),"",'RawData'!G562)</f>
        <v>2600</v>
      </c>
      <c r="H514" s="14">
        <f>IF(ISNUMBER(SEARCH("World",'RawData'!C562)),"",SUMIFS('RawData'!G:G,'RawData'!B:B,'RawData'!B562,'RawData'!C:C,"*World*"))</f>
        <v>390000</v>
      </c>
      <c r="I514" s="15">
        <f>IF(ISNUMBER(SEARCH("World",'RawData'!C562)),"",IFERROR(G514/H514,"-"))</f>
        <v>6.6666666666666671E-3</v>
      </c>
      <c r="J514" s="7">
        <f>IF(ISNUMBER(SEARCH("World",'RawData'!C562)),"",IF(ISNUMBER(SEARCH("Other",C514)),COUNTIFS('RawData'!B:B,B514,'RawData'!C:C,"&lt;&gt;*World*"),IF(OR(G514="",G514=0),"-",SUMPRODUCT(('RawData'!B$2:B$822=B514)*('RawData'!G$2:G$822&gt;G514)*(ISERROR(SEARCH("World",'RawData'!C$2:C$822)))*(ISERROR(SEARCH("Other",'RawData'!C$2:C$822))))+1)))</f>
        <v>8</v>
      </c>
      <c r="K514" s="14">
        <f>IF(ISNUMBER(SEARCH("World",'RawData'!C562)),"",'RawData'!H562)</f>
        <v>3800000</v>
      </c>
      <c r="L514" s="14">
        <f>IF(ISNUMBER(SEARCH("World",'RawData'!C562)),"",SUMIFS('RawData'!H:H,'RawData'!B:B,'RawData'!B562,'RawData'!C:C,"*World*"))</f>
        <v>85000000</v>
      </c>
      <c r="M514" s="15">
        <f>IF(ISNUMBER(SEARCH("World",'RawData'!C562)),"",IFERROR(K514/L514,"-"))</f>
        <v>4.4705882352941179E-2</v>
      </c>
      <c r="N514" s="7">
        <f>IF(ISNUMBER(SEARCH("World",'RawData'!C562)),"",IF(ISNUMBER(SEARCH("Other",C514)),COUNTIFS('RawData'!B:B,B514,'RawData'!C:C,"&lt;&gt;*World*"),IF(OR(K514="",K514=0),"-",SUMPRODUCT(('RawData'!B$2:B$822=B514)*('RawData'!H$2:H$822&gt;K514)*(ISERROR(SEARCH("World",'RawData'!C$2:C$822)))*(ISERROR(SEARCH("Other",'RawData'!C$2:C$822))))+1)))</f>
        <v>4</v>
      </c>
    </row>
    <row r="515" spans="1:14" x14ac:dyDescent="0.3">
      <c r="A515" s="4" t="str">
        <f>IF(ISNUMBER(SEARCH("World",'RawData'!C563)),"",'RawData'!A563)</f>
        <v>MCS2026</v>
      </c>
      <c r="B515" s="4" t="str">
        <f>IF(ISNUMBER(SEARCH("World",'RawData'!C563)),"",'RawData'!B563)</f>
        <v>Rare earths</v>
      </c>
      <c r="C515" s="4" t="str">
        <f>IF(ISNUMBER(SEARCH("World",'RawData'!C563)),"",'RawData'!C563)</f>
        <v xml:space="preserve">South Africa </v>
      </c>
      <c r="D515" s="4" t="str">
        <f>IF(ISNUMBER(SEARCH("World",'RawData'!C563)),"",'RawData'!D563)</f>
        <v>Mine production, rare-earth-oxide equivalent</v>
      </c>
      <c r="E515" s="4" t="str">
        <f>IF(ISNUMBER(SEARCH("World",'RawData'!C563)),"",IF('RawData'!E563="WT001","kg",IF('RawData'!E563="WT002","ton",IF('RawData'!E563="WT003","k ton",""))))</f>
        <v>ton</v>
      </c>
      <c r="F515" s="14">
        <f>IF(ISNUMBER(SEARCH("World",'RawData'!C563)),"",'RawData'!F563)</f>
        <v>0</v>
      </c>
      <c r="G515" s="14">
        <f>IF(ISNUMBER(SEARCH("World",'RawData'!C563)),"",'RawData'!G563)</f>
        <v>0</v>
      </c>
      <c r="H515" s="14">
        <f>IF(ISNUMBER(SEARCH("World",'RawData'!C563)),"",SUMIFS('RawData'!G:G,'RawData'!B:B,'RawData'!B563,'RawData'!C:C,"*World*"))</f>
        <v>390000</v>
      </c>
      <c r="I515" s="15">
        <f>IF(ISNUMBER(SEARCH("World",'RawData'!C563)),"",IFERROR(G515/H515,"-"))</f>
        <v>0</v>
      </c>
      <c r="J515" s="7" t="str">
        <f>IF(ISNUMBER(SEARCH("World",'RawData'!C563)),"",IF(ISNUMBER(SEARCH("Other",C515)),COUNTIFS('RawData'!B:B,B515,'RawData'!C:C,"&lt;&gt;*World*"),IF(OR(G515="",G515=0),"-",SUMPRODUCT(('RawData'!B$2:B$822=B515)*('RawData'!G$2:G$822&gt;G515)*(ISERROR(SEARCH("World",'RawData'!C$2:C$822)))*(ISERROR(SEARCH("Other",'RawData'!C$2:C$822))))+1)))</f>
        <v>-</v>
      </c>
      <c r="K515" s="14">
        <f>IF(ISNUMBER(SEARCH("World",'RawData'!C563)),"",'RawData'!H563)</f>
        <v>860000</v>
      </c>
      <c r="L515" s="14">
        <f>IF(ISNUMBER(SEARCH("World",'RawData'!C563)),"",SUMIFS('RawData'!H:H,'RawData'!B:B,'RawData'!B563,'RawData'!C:C,"*World*"))</f>
        <v>85000000</v>
      </c>
      <c r="M515" s="15">
        <f>IF(ISNUMBER(SEARCH("World",'RawData'!C563)),"",IFERROR(K515/L515,"-"))</f>
        <v>1.011764705882353E-2</v>
      </c>
      <c r="N515" s="7">
        <f>IF(ISNUMBER(SEARCH("World",'RawData'!C563)),"",IF(ISNUMBER(SEARCH("Other",C515)),COUNTIFS('RawData'!B:B,B515,'RawData'!C:C,"&lt;&gt;*World*"),IF(OR(K515="",K515=0),"-",SUMPRODUCT(('RawData'!B$2:B$822=B515)*('RawData'!H$2:H$822&gt;K515)*(ISERROR(SEARCH("World",'RawData'!C$2:C$822)))*(ISERROR(SEARCH("Other",'RawData'!C$2:C$822))))+1)))</f>
        <v>9</v>
      </c>
    </row>
    <row r="516" spans="1:14" x14ac:dyDescent="0.3">
      <c r="A516" s="4" t="str">
        <f>IF(ISNUMBER(SEARCH("World",'RawData'!C564)),"",'RawData'!A564)</f>
        <v>MCS2026</v>
      </c>
      <c r="B516" s="4" t="str">
        <f>IF(ISNUMBER(SEARCH("World",'RawData'!C564)),"",'RawData'!B564)</f>
        <v>Rare earths</v>
      </c>
      <c r="C516" s="4" t="str">
        <f>IF(ISNUMBER(SEARCH("World",'RawData'!C564)),"",'RawData'!C564)</f>
        <v>Tanzania</v>
      </c>
      <c r="D516" s="4" t="str">
        <f>IF(ISNUMBER(SEARCH("World",'RawData'!C564)),"",'RawData'!D564)</f>
        <v>Mine production, rare-earth-oxide equivalent</v>
      </c>
      <c r="E516" s="4" t="str">
        <f>IF(ISNUMBER(SEARCH("World",'RawData'!C564)),"",IF('RawData'!E564="WT001","kg",IF('RawData'!E564="WT002","ton",IF('RawData'!E564="WT003","k ton",""))))</f>
        <v>ton</v>
      </c>
      <c r="F516" s="14">
        <f>IF(ISNUMBER(SEARCH("World",'RawData'!C564)),"",'RawData'!F564)</f>
        <v>0</v>
      </c>
      <c r="G516" s="14">
        <f>IF(ISNUMBER(SEARCH("World",'RawData'!C564)),"",'RawData'!G564)</f>
        <v>0</v>
      </c>
      <c r="H516" s="14">
        <f>IF(ISNUMBER(SEARCH("World",'RawData'!C564)),"",SUMIFS('RawData'!G:G,'RawData'!B:B,'RawData'!B564,'RawData'!C:C,"*World*"))</f>
        <v>390000</v>
      </c>
      <c r="I516" s="15">
        <f>IF(ISNUMBER(SEARCH("World",'RawData'!C564)),"",IFERROR(G516/H516,"-"))</f>
        <v>0</v>
      </c>
      <c r="J516" s="7" t="str">
        <f>IF(ISNUMBER(SEARCH("World",'RawData'!C564)),"",IF(ISNUMBER(SEARCH("Other",C516)),COUNTIFS('RawData'!B:B,B516,'RawData'!C:C,"&lt;&gt;*World*"),IF(OR(G516="",G516=0),"-",SUMPRODUCT(('RawData'!B$2:B$822=B516)*('RawData'!G$2:G$822&gt;G516)*(ISERROR(SEARCH("World",'RawData'!C$2:C$822)))*(ISERROR(SEARCH("Other",'RawData'!C$2:C$822))))+1)))</f>
        <v>-</v>
      </c>
      <c r="K516" s="14">
        <f>IF(ISNUMBER(SEARCH("World",'RawData'!C564)),"",'RawData'!H564)</f>
        <v>890000</v>
      </c>
      <c r="L516" s="14">
        <f>IF(ISNUMBER(SEARCH("World",'RawData'!C564)),"",SUMIFS('RawData'!H:H,'RawData'!B:B,'RawData'!B564,'RawData'!C:C,"*World*"))</f>
        <v>85000000</v>
      </c>
      <c r="M516" s="15">
        <f>IF(ISNUMBER(SEARCH("World",'RawData'!C564)),"",IFERROR(K516/L516,"-"))</f>
        <v>1.0470588235294117E-2</v>
      </c>
      <c r="N516" s="7">
        <f>IF(ISNUMBER(SEARCH("World",'RawData'!C564)),"",IF(ISNUMBER(SEARCH("Other",C516)),COUNTIFS('RawData'!B:B,B516,'RawData'!C:C,"&lt;&gt;*World*"),IF(OR(K516="",K516=0),"-",SUMPRODUCT(('RawData'!B$2:B$822=B516)*('RawData'!H$2:H$822&gt;K516)*(ISERROR(SEARCH("World",'RawData'!C$2:C$822)))*(ISERROR(SEARCH("Other",'RawData'!C$2:C$822))))+1)))</f>
        <v>8</v>
      </c>
    </row>
    <row r="517" spans="1:14" x14ac:dyDescent="0.3">
      <c r="A517" s="4" t="str">
        <f>IF(ISNUMBER(SEARCH("World",'RawData'!C565)),"",'RawData'!A565)</f>
        <v>MCS2026</v>
      </c>
      <c r="B517" s="4" t="str">
        <f>IF(ISNUMBER(SEARCH("World",'RawData'!C565)),"",'RawData'!B565)</f>
        <v>Rare earths</v>
      </c>
      <c r="C517" s="4" t="str">
        <f>IF(ISNUMBER(SEARCH("World",'RawData'!C565)),"",'RawData'!C565)</f>
        <v>Thailand</v>
      </c>
      <c r="D517" s="4" t="str">
        <f>IF(ISNUMBER(SEARCH("World",'RawData'!C565)),"",'RawData'!D565)</f>
        <v>Mine production, rare-earth-oxide equivalent</v>
      </c>
      <c r="E517" s="4" t="str">
        <f>IF(ISNUMBER(SEARCH("World",'RawData'!C565)),"",IF('RawData'!E565="WT001","kg",IF('RawData'!E565="WT002","ton",IF('RawData'!E565="WT003","k ton",""))))</f>
        <v>ton</v>
      </c>
      <c r="F517" s="14">
        <f>IF(ISNUMBER(SEARCH("World",'RawData'!C565)),"",'RawData'!F565)</f>
        <v>2100</v>
      </c>
      <c r="G517" s="14">
        <f>IF(ISNUMBER(SEARCH("World",'RawData'!C565)),"",'RawData'!G565)</f>
        <v>4800</v>
      </c>
      <c r="H517" s="14">
        <f>IF(ISNUMBER(SEARCH("World",'RawData'!C565)),"",SUMIFS('RawData'!G:G,'RawData'!B:B,'RawData'!B565,'RawData'!C:C,"*World*"))</f>
        <v>390000</v>
      </c>
      <c r="I517" s="15">
        <f>IF(ISNUMBER(SEARCH("World",'RawData'!C565)),"",IFERROR(G517/H517,"-"))</f>
        <v>1.2307692307692308E-2</v>
      </c>
      <c r="J517" s="7">
        <f>IF(ISNUMBER(SEARCH("World",'RawData'!C565)),"",IF(ISNUMBER(SEARCH("Other",C517)),COUNTIFS('RawData'!B:B,B517,'RawData'!C:C,"&lt;&gt;*World*"),IF(OR(G517="",G517=0),"-",SUMPRODUCT(('RawData'!B$2:B$822=B517)*('RawData'!G$2:G$822&gt;G517)*(ISERROR(SEARCH("World",'RawData'!C$2:C$822)))*(ISERROR(SEARCH("Other",'RawData'!C$2:C$822))))+1)))</f>
        <v>5</v>
      </c>
      <c r="K517" s="14">
        <f>IF(ISNUMBER(SEARCH("World",'RawData'!C565)),"",'RawData'!H565)</f>
        <v>0</v>
      </c>
      <c r="L517" s="14">
        <f>IF(ISNUMBER(SEARCH("World",'RawData'!C565)),"",SUMIFS('RawData'!H:H,'RawData'!B:B,'RawData'!B565,'RawData'!C:C,"*World*"))</f>
        <v>85000000</v>
      </c>
      <c r="M517" s="15">
        <f>IF(ISNUMBER(SEARCH("World",'RawData'!C565)),"",IFERROR(K517/L517,"-"))</f>
        <v>0</v>
      </c>
      <c r="N517" s="7" t="str">
        <f>IF(ISNUMBER(SEARCH("World",'RawData'!C565)),"",IF(ISNUMBER(SEARCH("Other",C517)),COUNTIFS('RawData'!B:B,B517,'RawData'!C:C,"&lt;&gt;*World*"),IF(OR(K517="",K517=0),"-",SUMPRODUCT(('RawData'!B$2:B$822=B517)*('RawData'!H$2:H$822&gt;K517)*(ISERROR(SEARCH("World",'RawData'!C$2:C$822)))*(ISERROR(SEARCH("Other",'RawData'!C$2:C$822))))+1)))</f>
        <v>-</v>
      </c>
    </row>
    <row r="518" spans="1:14" x14ac:dyDescent="0.3">
      <c r="A518" s="4" t="str">
        <f>IF(ISNUMBER(SEARCH("World",'RawData'!C566)),"",'RawData'!A566)</f>
        <v>MCS2026</v>
      </c>
      <c r="B518" s="4" t="str">
        <f>IF(ISNUMBER(SEARCH("World",'RawData'!C566)),"",'RawData'!B566)</f>
        <v>Rare earths</v>
      </c>
      <c r="C518" s="4" t="str">
        <f>IF(ISNUMBER(SEARCH("World",'RawData'!C566)),"",'RawData'!C566)</f>
        <v>United States</v>
      </c>
      <c r="D518" s="4" t="str">
        <f>IF(ISNUMBER(SEARCH("World",'RawData'!C566)),"",'RawData'!D566)</f>
        <v>Mine production, rare-earth-oxide equivalent</v>
      </c>
      <c r="E518" s="4" t="str">
        <f>IF(ISNUMBER(SEARCH("World",'RawData'!C566)),"",IF('RawData'!E566="WT001","kg",IF('RawData'!E566="WT002","ton",IF('RawData'!E566="WT003","k ton",""))))</f>
        <v>ton</v>
      </c>
      <c r="F518" s="14">
        <f>IF(ISNUMBER(SEARCH("World",'RawData'!C566)),"",'RawData'!F566)</f>
        <v>45500</v>
      </c>
      <c r="G518" s="14">
        <f>IF(ISNUMBER(SEARCH("World",'RawData'!C566)),"",'RawData'!G566)</f>
        <v>51000</v>
      </c>
      <c r="H518" s="14">
        <f>IF(ISNUMBER(SEARCH("World",'RawData'!C566)),"",SUMIFS('RawData'!G:G,'RawData'!B:B,'RawData'!B566,'RawData'!C:C,"*World*"))</f>
        <v>390000</v>
      </c>
      <c r="I518" s="15">
        <f>IF(ISNUMBER(SEARCH("World",'RawData'!C566)),"",IFERROR(G518/H518,"-"))</f>
        <v>0.13076923076923078</v>
      </c>
      <c r="J518" s="7">
        <f>IF(ISNUMBER(SEARCH("World",'RawData'!C566)),"",IF(ISNUMBER(SEARCH("Other",C518)),COUNTIFS('RawData'!B:B,B518,'RawData'!C:C,"&lt;&gt;*World*"),IF(OR(G518="",G518=0),"-",SUMPRODUCT(('RawData'!B$2:B$822=B518)*('RawData'!G$2:G$822&gt;G518)*(ISERROR(SEARCH("World",'RawData'!C$2:C$822)))*(ISERROR(SEARCH("Other",'RawData'!C$2:C$822))))+1)))</f>
        <v>2</v>
      </c>
      <c r="K518" s="14">
        <f>IF(ISNUMBER(SEARCH("World",'RawData'!C566)),"",'RawData'!H566)</f>
        <v>1900000</v>
      </c>
      <c r="L518" s="14">
        <f>IF(ISNUMBER(SEARCH("World",'RawData'!C566)),"",SUMIFS('RawData'!H:H,'RawData'!B:B,'RawData'!B566,'RawData'!C:C,"*World*"))</f>
        <v>85000000</v>
      </c>
      <c r="M518" s="15">
        <f>IF(ISNUMBER(SEARCH("World",'RawData'!C566)),"",IFERROR(K518/L518,"-"))</f>
        <v>2.2352941176470589E-2</v>
      </c>
      <c r="N518" s="7">
        <f>IF(ISNUMBER(SEARCH("World",'RawData'!C566)),"",IF(ISNUMBER(SEARCH("Other",C518)),COUNTIFS('RawData'!B:B,B518,'RawData'!C:C,"&lt;&gt;*World*"),IF(OR(K518="",K518=0),"-",SUMPRODUCT(('RawData'!B$2:B$822=B518)*('RawData'!H$2:H$822&gt;K518)*(ISERROR(SEARCH("World",'RawData'!C$2:C$822)))*(ISERROR(SEARCH("Other",'RawData'!C$2:C$822))))+1)))</f>
        <v>6</v>
      </c>
    </row>
    <row r="519" spans="1:14" x14ac:dyDescent="0.3">
      <c r="A519" s="4" t="str">
        <f>IF(ISNUMBER(SEARCH("World",'RawData'!C567)),"",'RawData'!A567)</f>
        <v>MCS2026</v>
      </c>
      <c r="B519" s="4" t="str">
        <f>IF(ISNUMBER(SEARCH("World",'RawData'!C567)),"",'RawData'!B567)</f>
        <v>Rare earths</v>
      </c>
      <c r="C519" s="4" t="str">
        <f>IF(ISNUMBER(SEARCH("World",'RawData'!C567)),"",'RawData'!C567)</f>
        <v>Vietnam</v>
      </c>
      <c r="D519" s="4" t="str">
        <f>IF(ISNUMBER(SEARCH("World",'RawData'!C567)),"",'RawData'!D567)</f>
        <v>Mine production, rare-earth-oxide equivalent</v>
      </c>
      <c r="E519" s="4" t="str">
        <f>IF(ISNUMBER(SEARCH("World",'RawData'!C567)),"",IF('RawData'!E567="WT001","kg",IF('RawData'!E567="WT002","ton",IF('RawData'!E567="WT003","k ton",""))))</f>
        <v>ton</v>
      </c>
      <c r="F519" s="14">
        <f>IF(ISNUMBER(SEARCH("World",'RawData'!C567)),"",'RawData'!F567)</f>
        <v>300</v>
      </c>
      <c r="G519" s="14">
        <f>IF(ISNUMBER(SEARCH("World",'RawData'!C567)),"",'RawData'!G567)</f>
        <v>150</v>
      </c>
      <c r="H519" s="14">
        <f>IF(ISNUMBER(SEARCH("World",'RawData'!C567)),"",SUMIFS('RawData'!G:G,'RawData'!B:B,'RawData'!B567,'RawData'!C:C,"*World*"))</f>
        <v>390000</v>
      </c>
      <c r="I519" s="15">
        <f>IF(ISNUMBER(SEARCH("World",'RawData'!C567)),"",IFERROR(G519/H519,"-"))</f>
        <v>3.8461538461538462E-4</v>
      </c>
      <c r="J519" s="7">
        <f>IF(ISNUMBER(SEARCH("World",'RawData'!C567)),"",IF(ISNUMBER(SEARCH("Other",C519)),COUNTIFS('RawData'!B:B,B519,'RawData'!C:C,"&lt;&gt;*World*"),IF(OR(G519="",G519=0),"-",SUMPRODUCT(('RawData'!B$2:B$822=B519)*('RawData'!G$2:G$822&gt;G519)*(ISERROR(SEARCH("World",'RawData'!C$2:C$822)))*(ISERROR(SEARCH("Other",'RawData'!C$2:C$822))))+1)))</f>
        <v>11</v>
      </c>
      <c r="K519" s="14">
        <f>IF(ISNUMBER(SEARCH("World",'RawData'!C567)),"",'RawData'!H567)</f>
        <v>3500000</v>
      </c>
      <c r="L519" s="14">
        <f>IF(ISNUMBER(SEARCH("World",'RawData'!C567)),"",SUMIFS('RawData'!H:H,'RawData'!B:B,'RawData'!B567,'RawData'!C:C,"*World*"))</f>
        <v>85000000</v>
      </c>
      <c r="M519" s="15">
        <f>IF(ISNUMBER(SEARCH("World",'RawData'!C567)),"",IFERROR(K519/L519,"-"))</f>
        <v>4.1176470588235294E-2</v>
      </c>
      <c r="N519" s="7">
        <f>IF(ISNUMBER(SEARCH("World",'RawData'!C567)),"",IF(ISNUMBER(SEARCH("Other",C519)),COUNTIFS('RawData'!B:B,B519,'RawData'!C:C,"&lt;&gt;*World*"),IF(OR(K519="",K519=0),"-",SUMPRODUCT(('RawData'!B$2:B$822=B519)*('RawData'!H$2:H$822&gt;K519)*(ISERROR(SEARCH("World",'RawData'!C$2:C$822)))*(ISERROR(SEARCH("Other",'RawData'!C$2:C$822))))+1)))</f>
        <v>5</v>
      </c>
    </row>
    <row r="520" spans="1:14" x14ac:dyDescent="0.3">
      <c r="A520" s="4" t="str">
        <f>IF(ISNUMBER(SEARCH("World",'RawData'!C569)),"",'RawData'!A569)</f>
        <v>MCS2026</v>
      </c>
      <c r="B520" s="4" t="str">
        <f>IF(ISNUMBER(SEARCH("World",'RawData'!C569)),"",'RawData'!B569)</f>
        <v>Rhenium</v>
      </c>
      <c r="C520" s="4" t="str">
        <f>IF(ISNUMBER(SEARCH("World",'RawData'!C569)),"",'RawData'!C569)</f>
        <v>Armenia</v>
      </c>
      <c r="D520" s="4" t="str">
        <f>IF(ISNUMBER(SEARCH("World",'RawData'!C569)),"",'RawData'!D569)</f>
        <v>Mine production, rhenium content</v>
      </c>
      <c r="E520" s="4" t="str">
        <f>IF(ISNUMBER(SEARCH("World",'RawData'!C569)),"",IF('RawData'!E569="WT001","kg",IF('RawData'!E569="WT002","ton",IF('RawData'!E569="WT003","k ton",""))))</f>
        <v>kg</v>
      </c>
      <c r="F520" s="14">
        <f>IF(ISNUMBER(SEARCH("World",'RawData'!C569)),"",'RawData'!F569)</f>
        <v>200</v>
      </c>
      <c r="G520" s="14">
        <f>IF(ISNUMBER(SEARCH("World",'RawData'!C569)),"",'RawData'!G569)</f>
        <v>200</v>
      </c>
      <c r="H520" s="14">
        <f>IF(ISNUMBER(SEARCH("World",'RawData'!C569)),"",SUMIFS('RawData'!G:G,'RawData'!B:B,'RawData'!B569,'RawData'!C:C,"*World*"))</f>
        <v>81000</v>
      </c>
      <c r="I520" s="15">
        <f>IF(ISNUMBER(SEARCH("World",'RawData'!C569)),"",IFERROR(G520/H520,"-"))</f>
        <v>2.4691358024691358E-3</v>
      </c>
      <c r="J520" s="7">
        <f>IF(ISNUMBER(SEARCH("World",'RawData'!C569)),"",IF(ISNUMBER(SEARCH("Other",C520)),COUNTIFS('RawData'!B:B,B520,'RawData'!C:C,"&lt;&gt;*World*"),IF(OR(G520="",G520=0),"-",SUMPRODUCT(('RawData'!B$2:B$822=B520)*('RawData'!G$2:G$822&gt;G520)*(ISERROR(SEARCH("World",'RawData'!C$2:C$822)))*(ISERROR(SEARCH("Other",'RawData'!C$2:C$822))))+1)))</f>
        <v>8</v>
      </c>
      <c r="K520" s="14">
        <f>IF(ISNUMBER(SEARCH("World",'RawData'!C569)),"",'RawData'!H569)</f>
        <v>95000</v>
      </c>
      <c r="L520" s="14">
        <f>IF(ISNUMBER(SEARCH("World",'RawData'!C569)),"",SUMIFS('RawData'!H:H,'RawData'!B:B,'RawData'!B569,'RawData'!C:C,"*World*"))</f>
        <v>0</v>
      </c>
      <c r="M520" s="15" t="str">
        <f>IF(ISNUMBER(SEARCH("World",'RawData'!C569)),"",IFERROR(K520/L520,"-"))</f>
        <v>-</v>
      </c>
      <c r="N520" s="7">
        <f>IF(ISNUMBER(SEARCH("World",'RawData'!C569)),"",IF(ISNUMBER(SEARCH("Other",C520)),COUNTIFS('RawData'!B:B,B520,'RawData'!C:C,"&lt;&gt;*World*"),IF(OR(K520="",K520=0),"-",SUMPRODUCT(('RawData'!B$2:B$822=B520)*('RawData'!H$2:H$822&gt;K520)*(ISERROR(SEARCH("World",'RawData'!C$2:C$822)))*(ISERROR(SEARCH("Other",'RawData'!C$2:C$822))))+1)))</f>
        <v>6</v>
      </c>
    </row>
    <row r="521" spans="1:14" x14ac:dyDescent="0.3">
      <c r="A521" s="4" t="str">
        <f>IF(ISNUMBER(SEARCH("World",'RawData'!C570)),"",'RawData'!A570)</f>
        <v>MCS2026</v>
      </c>
      <c r="B521" s="4" t="str">
        <f>IF(ISNUMBER(SEARCH("World",'RawData'!C570)),"",'RawData'!B570)</f>
        <v>Rhenium</v>
      </c>
      <c r="C521" s="4" t="str">
        <f>IF(ISNUMBER(SEARCH("World",'RawData'!C570)),"",'RawData'!C570)</f>
        <v>Chile</v>
      </c>
      <c r="D521" s="4" t="str">
        <f>IF(ISNUMBER(SEARCH("World",'RawData'!C570)),"",'RawData'!D570)</f>
        <v>Mine production, rhenium content</v>
      </c>
      <c r="E521" s="4" t="str">
        <f>IF(ISNUMBER(SEARCH("World",'RawData'!C570)),"",IF('RawData'!E570="WT001","kg",IF('RawData'!E570="WT002","ton",IF('RawData'!E570="WT003","k ton",""))))</f>
        <v>kg</v>
      </c>
      <c r="F521" s="14">
        <f>IF(ISNUMBER(SEARCH("World",'RawData'!C570)),"",'RawData'!F570)</f>
        <v>29000</v>
      </c>
      <c r="G521" s="14">
        <f>IF(ISNUMBER(SEARCH("World",'RawData'!C570)),"",'RawData'!G570)</f>
        <v>30000</v>
      </c>
      <c r="H521" s="14">
        <f>IF(ISNUMBER(SEARCH("World",'RawData'!C570)),"",SUMIFS('RawData'!G:G,'RawData'!B:B,'RawData'!B570,'RawData'!C:C,"*World*"))</f>
        <v>81000</v>
      </c>
      <c r="I521" s="15">
        <f>IF(ISNUMBER(SEARCH("World",'RawData'!C570)),"",IFERROR(G521/H521,"-"))</f>
        <v>0.37037037037037035</v>
      </c>
      <c r="J521" s="7">
        <f>IF(ISNUMBER(SEARCH("World",'RawData'!C570)),"",IF(ISNUMBER(SEARCH("Other",C521)),COUNTIFS('RawData'!B:B,B521,'RawData'!C:C,"&lt;&gt;*World*"),IF(OR(G521="",G521=0),"-",SUMPRODUCT(('RawData'!B$2:B$822=B521)*('RawData'!G$2:G$822&gt;G521)*(ISERROR(SEARCH("World",'RawData'!C$2:C$822)))*(ISERROR(SEARCH("Other",'RawData'!C$2:C$822))))+1)))</f>
        <v>1</v>
      </c>
      <c r="K521" s="14">
        <f>IF(ISNUMBER(SEARCH("World",'RawData'!C570)),"",'RawData'!H570)</f>
        <v>1300000</v>
      </c>
      <c r="L521" s="14">
        <f>IF(ISNUMBER(SEARCH("World",'RawData'!C570)),"",SUMIFS('RawData'!H:H,'RawData'!B:B,'RawData'!B570,'RawData'!C:C,"*World*"))</f>
        <v>0</v>
      </c>
      <c r="M521" s="15" t="str">
        <f>IF(ISNUMBER(SEARCH("World",'RawData'!C570)),"",IFERROR(K521/L521,"-"))</f>
        <v>-</v>
      </c>
      <c r="N521" s="7">
        <f>IF(ISNUMBER(SEARCH("World",'RawData'!C570)),"",IF(ISNUMBER(SEARCH("Other",C521)),COUNTIFS('RawData'!B:B,B521,'RawData'!C:C,"&lt;&gt;*World*"),IF(OR(K521="",K521=0),"-",SUMPRODUCT(('RawData'!B$2:B$822=B521)*('RawData'!H$2:H$822&gt;K521)*(ISERROR(SEARCH("World",'RawData'!C$2:C$822)))*(ISERROR(SEARCH("Other",'RawData'!C$2:C$822))))+1)))</f>
        <v>1</v>
      </c>
    </row>
    <row r="522" spans="1:14" x14ac:dyDescent="0.3">
      <c r="A522" s="4" t="str">
        <f>IF(ISNUMBER(SEARCH("World",'RawData'!C571)),"",'RawData'!A571)</f>
        <v>MCS2026</v>
      </c>
      <c r="B522" s="4" t="str">
        <f>IF(ISNUMBER(SEARCH("World",'RawData'!C571)),"",'RawData'!B571)</f>
        <v>Rhenium</v>
      </c>
      <c r="C522" s="4" t="str">
        <f>IF(ISNUMBER(SEARCH("World",'RawData'!C571)),"",'RawData'!C571)</f>
        <v>China</v>
      </c>
      <c r="D522" s="4" t="str">
        <f>IF(ISNUMBER(SEARCH("World",'RawData'!C571)),"",'RawData'!D571)</f>
        <v>Mine production, rhenium content</v>
      </c>
      <c r="E522" s="4" t="str">
        <f>IF(ISNUMBER(SEARCH("World",'RawData'!C571)),"",IF('RawData'!E571="WT001","kg",IF('RawData'!E571="WT002","ton",IF('RawData'!E571="WT003","k ton",""))))</f>
        <v>kg</v>
      </c>
      <c r="F522" s="14">
        <f>IF(ISNUMBER(SEARCH("World",'RawData'!C571)),"",'RawData'!F571)</f>
        <v>20000</v>
      </c>
      <c r="G522" s="14">
        <f>IF(ISNUMBER(SEARCH("World",'RawData'!C571)),"",'RawData'!G571)</f>
        <v>20000</v>
      </c>
      <c r="H522" s="14">
        <f>IF(ISNUMBER(SEARCH("World",'RawData'!C571)),"",SUMIFS('RawData'!G:G,'RawData'!B:B,'RawData'!B571,'RawData'!C:C,"*World*"))</f>
        <v>81000</v>
      </c>
      <c r="I522" s="15">
        <f>IF(ISNUMBER(SEARCH("World",'RawData'!C571)),"",IFERROR(G522/H522,"-"))</f>
        <v>0.24691358024691357</v>
      </c>
      <c r="J522" s="7">
        <f>IF(ISNUMBER(SEARCH("World",'RawData'!C571)),"",IF(ISNUMBER(SEARCH("Other",C522)),COUNTIFS('RawData'!B:B,B522,'RawData'!C:C,"&lt;&gt;*World*"),IF(OR(G522="",G522=0),"-",SUMPRODUCT(('RawData'!B$2:B$822=B522)*('RawData'!G$2:G$822&gt;G522)*(ISERROR(SEARCH("World",'RawData'!C$2:C$822)))*(ISERROR(SEARCH("Other",'RawData'!C$2:C$822))))+1)))</f>
        <v>2</v>
      </c>
      <c r="K522" s="14">
        <f>IF(ISNUMBER(SEARCH("World",'RawData'!C571)),"",'RawData'!H571)</f>
        <v>200000</v>
      </c>
      <c r="L522" s="14">
        <f>IF(ISNUMBER(SEARCH("World",'RawData'!C571)),"",SUMIFS('RawData'!H:H,'RawData'!B:B,'RawData'!B571,'RawData'!C:C,"*World*"))</f>
        <v>0</v>
      </c>
      <c r="M522" s="15" t="str">
        <f>IF(ISNUMBER(SEARCH("World",'RawData'!C571)),"",IFERROR(K522/L522,"-"))</f>
        <v>-</v>
      </c>
      <c r="N522" s="7">
        <f>IF(ISNUMBER(SEARCH("World",'RawData'!C571)),"",IF(ISNUMBER(SEARCH("Other",C522)),COUNTIFS('RawData'!B:B,B522,'RawData'!C:C,"&lt;&gt;*World*"),IF(OR(K522="",K522=0),"-",SUMPRODUCT(('RawData'!B$2:B$822=B522)*('RawData'!H$2:H$822&gt;K522)*(ISERROR(SEARCH("World",'RawData'!C$2:C$822)))*(ISERROR(SEARCH("Other",'RawData'!C$2:C$822))))+1)))</f>
        <v>4</v>
      </c>
    </row>
    <row r="523" spans="1:14" x14ac:dyDescent="0.3">
      <c r="A523" s="4" t="str">
        <f>IF(ISNUMBER(SEARCH("World",'RawData'!C572)),"",'RawData'!A572)</f>
        <v>MCS2026</v>
      </c>
      <c r="B523" s="4" t="str">
        <f>IF(ISNUMBER(SEARCH("World",'RawData'!C572)),"",'RawData'!B572)</f>
        <v>Rhenium</v>
      </c>
      <c r="C523" s="4" t="str">
        <f>IF(ISNUMBER(SEARCH("World",'RawData'!C572)),"",'RawData'!C572)</f>
        <v>Kazakhstan</v>
      </c>
      <c r="D523" s="4" t="str">
        <f>IF(ISNUMBER(SEARCH("World",'RawData'!C572)),"",'RawData'!D572)</f>
        <v>Mine production, rhenium content</v>
      </c>
      <c r="E523" s="4" t="str">
        <f>IF(ISNUMBER(SEARCH("World",'RawData'!C572)),"",IF('RawData'!E572="WT001","kg",IF('RawData'!E572="WT002","ton",IF('RawData'!E572="WT003","k ton",""))))</f>
        <v>kg</v>
      </c>
      <c r="F523" s="14">
        <f>IF(ISNUMBER(SEARCH("World",'RawData'!C572)),"",'RawData'!F572)</f>
        <v>1500</v>
      </c>
      <c r="G523" s="14">
        <f>IF(ISNUMBER(SEARCH("World",'RawData'!C572)),"",'RawData'!G572)</f>
        <v>1000</v>
      </c>
      <c r="H523" s="14">
        <f>IF(ISNUMBER(SEARCH("World",'RawData'!C572)),"",SUMIFS('RawData'!G:G,'RawData'!B:B,'RawData'!B572,'RawData'!C:C,"*World*"))</f>
        <v>81000</v>
      </c>
      <c r="I523" s="15">
        <f>IF(ISNUMBER(SEARCH("World",'RawData'!C572)),"",IFERROR(G523/H523,"-"))</f>
        <v>1.2345679012345678E-2</v>
      </c>
      <c r="J523" s="7">
        <f>IF(ISNUMBER(SEARCH("World",'RawData'!C572)),"",IF(ISNUMBER(SEARCH("Other",C523)),COUNTIFS('RawData'!B:B,B523,'RawData'!C:C,"&lt;&gt;*World*"),IF(OR(G523="",G523=0),"-",SUMPRODUCT(('RawData'!B$2:B$822=B523)*('RawData'!G$2:G$822&gt;G523)*(ISERROR(SEARCH("World",'RawData'!C$2:C$822)))*(ISERROR(SEARCH("Other",'RawData'!C$2:C$822))))+1)))</f>
        <v>7</v>
      </c>
      <c r="K523" s="14">
        <f>IF(ISNUMBER(SEARCH("World",'RawData'!C572)),"",'RawData'!H572)</f>
        <v>190000</v>
      </c>
      <c r="L523" s="14">
        <f>IF(ISNUMBER(SEARCH("World",'RawData'!C572)),"",SUMIFS('RawData'!H:H,'RawData'!B:B,'RawData'!B572,'RawData'!C:C,"*World*"))</f>
        <v>0</v>
      </c>
      <c r="M523" s="15" t="str">
        <f>IF(ISNUMBER(SEARCH("World",'RawData'!C572)),"",IFERROR(K523/L523,"-"))</f>
        <v>-</v>
      </c>
      <c r="N523" s="7">
        <f>IF(ISNUMBER(SEARCH("World",'RawData'!C572)),"",IF(ISNUMBER(SEARCH("Other",C523)),COUNTIFS('RawData'!B:B,B523,'RawData'!C:C,"&lt;&gt;*World*"),IF(OR(K523="",K523=0),"-",SUMPRODUCT(('RawData'!B$2:B$822=B523)*('RawData'!H$2:H$822&gt;K523)*(ISERROR(SEARCH("World",'RawData'!C$2:C$822)))*(ISERROR(SEARCH("Other",'RawData'!C$2:C$822))))+1)))</f>
        <v>5</v>
      </c>
    </row>
    <row r="524" spans="1:14" x14ac:dyDescent="0.3">
      <c r="A524" s="4" t="str">
        <f>IF(ISNUMBER(SEARCH("World",'RawData'!C573)),"",'RawData'!A573)</f>
        <v>MCS2026</v>
      </c>
      <c r="B524" s="4" t="str">
        <f>IF(ISNUMBER(SEARCH("World",'RawData'!C573)),"",'RawData'!B573)</f>
        <v>Rhenium</v>
      </c>
      <c r="C524" s="4" t="str">
        <f>IF(ISNUMBER(SEARCH("World",'RawData'!C573)),"",'RawData'!C573)</f>
        <v>Poland</v>
      </c>
      <c r="D524" s="4" t="str">
        <f>IF(ISNUMBER(SEARCH("World",'RawData'!C573)),"",'RawData'!D573)</f>
        <v>Mine production, rhenium content</v>
      </c>
      <c r="E524" s="4" t="str">
        <f>IF(ISNUMBER(SEARCH("World",'RawData'!C573)),"",IF('RawData'!E573="WT001","kg",IF('RawData'!E573="WT002","ton",IF('RawData'!E573="WT003","k ton",""))))</f>
        <v>kg</v>
      </c>
      <c r="F524" s="14">
        <f>IF(ISNUMBER(SEARCH("World",'RawData'!C573)),"",'RawData'!F573)</f>
        <v>9400</v>
      </c>
      <c r="G524" s="14">
        <f>IF(ISNUMBER(SEARCH("World",'RawData'!C573)),"",'RawData'!G573)</f>
        <v>10000</v>
      </c>
      <c r="H524" s="14">
        <f>IF(ISNUMBER(SEARCH("World",'RawData'!C573)),"",SUMIFS('RawData'!G:G,'RawData'!B:B,'RawData'!B573,'RawData'!C:C,"*World*"))</f>
        <v>81000</v>
      </c>
      <c r="I524" s="15">
        <f>IF(ISNUMBER(SEARCH("World",'RawData'!C573)),"",IFERROR(G524/H524,"-"))</f>
        <v>0.12345679012345678</v>
      </c>
      <c r="J524" s="7">
        <f>IF(ISNUMBER(SEARCH("World",'RawData'!C573)),"",IF(ISNUMBER(SEARCH("Other",C524)),COUNTIFS('RawData'!B:B,B524,'RawData'!C:C,"&lt;&gt;*World*"),IF(OR(G524="",G524=0),"-",SUMPRODUCT(('RawData'!B$2:B$822=B524)*('RawData'!G$2:G$822&gt;G524)*(ISERROR(SEARCH("World",'RawData'!C$2:C$822)))*(ISERROR(SEARCH("Other",'RawData'!C$2:C$822))))+1)))</f>
        <v>3</v>
      </c>
      <c r="K524" s="14">
        <f>IF(ISNUMBER(SEARCH("World",'RawData'!C573)),"",'RawData'!H573)</f>
        <v>0</v>
      </c>
      <c r="L524" s="14">
        <f>IF(ISNUMBER(SEARCH("World",'RawData'!C573)),"",SUMIFS('RawData'!H:H,'RawData'!B:B,'RawData'!B573,'RawData'!C:C,"*World*"))</f>
        <v>0</v>
      </c>
      <c r="M524" s="15" t="str">
        <f>IF(ISNUMBER(SEARCH("World",'RawData'!C573)),"",IFERROR(K524/L524,"-"))</f>
        <v>-</v>
      </c>
      <c r="N524" s="7" t="str">
        <f>IF(ISNUMBER(SEARCH("World",'RawData'!C573)),"",IF(ISNUMBER(SEARCH("Other",C524)),COUNTIFS('RawData'!B:B,B524,'RawData'!C:C,"&lt;&gt;*World*"),IF(OR(K524="",K524=0),"-",SUMPRODUCT(('RawData'!B$2:B$822=B524)*('RawData'!H$2:H$822&gt;K524)*(ISERROR(SEARCH("World",'RawData'!C$2:C$822)))*(ISERROR(SEARCH("Other",'RawData'!C$2:C$822))))+1)))</f>
        <v>-</v>
      </c>
    </row>
    <row r="525" spans="1:14" x14ac:dyDescent="0.3">
      <c r="A525" s="4" t="str">
        <f>IF(ISNUMBER(SEARCH("World",'RawData'!C574)),"",'RawData'!A574)</f>
        <v>MCS2026</v>
      </c>
      <c r="B525" s="4" t="str">
        <f>IF(ISNUMBER(SEARCH("World",'RawData'!C574)),"",'RawData'!B574)</f>
        <v>Rhenium</v>
      </c>
      <c r="C525" s="4" t="str">
        <f>IF(ISNUMBER(SEARCH("World",'RawData'!C574)),"",'RawData'!C574)</f>
        <v xml:space="preserve">Russia </v>
      </c>
      <c r="D525" s="4" t="str">
        <f>IF(ISNUMBER(SEARCH("World",'RawData'!C574)),"",'RawData'!D574)</f>
        <v>Mine production, rhenium content</v>
      </c>
      <c r="E525" s="4" t="str">
        <f>IF(ISNUMBER(SEARCH("World",'RawData'!C574)),"",IF('RawData'!E574="WT001","kg",IF('RawData'!E574="WT002","ton",IF('RawData'!E574="WT003","k ton",""))))</f>
        <v>kg</v>
      </c>
      <c r="F525" s="14">
        <f>IF(ISNUMBER(SEARCH("World",'RawData'!C574)),"",'RawData'!F574)</f>
        <v>0</v>
      </c>
      <c r="G525" s="14">
        <f>IF(ISNUMBER(SEARCH("World",'RawData'!C574)),"",'RawData'!G574)</f>
        <v>0</v>
      </c>
      <c r="H525" s="14">
        <f>IF(ISNUMBER(SEARCH("World",'RawData'!C574)),"",SUMIFS('RawData'!G:G,'RawData'!B:B,'RawData'!B574,'RawData'!C:C,"*World*"))</f>
        <v>81000</v>
      </c>
      <c r="I525" s="15">
        <f>IF(ISNUMBER(SEARCH("World",'RawData'!C574)),"",IFERROR(G525/H525,"-"))</f>
        <v>0</v>
      </c>
      <c r="J525" s="7" t="str">
        <f>IF(ISNUMBER(SEARCH("World",'RawData'!C574)),"",IF(ISNUMBER(SEARCH("Other",C525)),COUNTIFS('RawData'!B:B,B525,'RawData'!C:C,"&lt;&gt;*World*"),IF(OR(G525="",G525=0),"-",SUMPRODUCT(('RawData'!B$2:B$822=B525)*('RawData'!G$2:G$822&gt;G525)*(ISERROR(SEARCH("World",'RawData'!C$2:C$822)))*(ISERROR(SEARCH("Other",'RawData'!C$2:C$822))))+1)))</f>
        <v>-</v>
      </c>
      <c r="K525" s="14">
        <f>IF(ISNUMBER(SEARCH("World",'RawData'!C574)),"",'RawData'!H574)</f>
        <v>310000</v>
      </c>
      <c r="L525" s="14">
        <f>IF(ISNUMBER(SEARCH("World",'RawData'!C574)),"",SUMIFS('RawData'!H:H,'RawData'!B:B,'RawData'!B574,'RawData'!C:C,"*World*"))</f>
        <v>0</v>
      </c>
      <c r="M525" s="15" t="str">
        <f>IF(ISNUMBER(SEARCH("World",'RawData'!C574)),"",IFERROR(K525/L525,"-"))</f>
        <v>-</v>
      </c>
      <c r="N525" s="7">
        <f>IF(ISNUMBER(SEARCH("World",'RawData'!C574)),"",IF(ISNUMBER(SEARCH("Other",C525)),COUNTIFS('RawData'!B:B,B525,'RawData'!C:C,"&lt;&gt;*World*"),IF(OR(K525="",K525=0),"-",SUMPRODUCT(('RawData'!B$2:B$822=B525)*('RawData'!H$2:H$822&gt;K525)*(ISERROR(SEARCH("World",'RawData'!C$2:C$822)))*(ISERROR(SEARCH("Other",'RawData'!C$2:C$822))))+1)))</f>
        <v>3</v>
      </c>
    </row>
    <row r="526" spans="1:14" x14ac:dyDescent="0.3">
      <c r="A526" s="4" t="str">
        <f>IF(ISNUMBER(SEARCH("World",'RawData'!C575)),"",'RawData'!A575)</f>
        <v>MCS2026</v>
      </c>
      <c r="B526" s="4" t="str">
        <f>IF(ISNUMBER(SEARCH("World",'RawData'!C575)),"",'RawData'!B575)</f>
        <v>Rhenium</v>
      </c>
      <c r="C526" s="4" t="str">
        <f>IF(ISNUMBER(SEARCH("World",'RawData'!C575)),"",'RawData'!C575)</f>
        <v>South Korea</v>
      </c>
      <c r="D526" s="4" t="str">
        <f>IF(ISNUMBER(SEARCH("World",'RawData'!C575)),"",'RawData'!D575)</f>
        <v>Mine production, rhenium content</v>
      </c>
      <c r="E526" s="4" t="str">
        <f>IF(ISNUMBER(SEARCH("World",'RawData'!C575)),"",IF('RawData'!E575="WT001","kg",IF('RawData'!E575="WT002","ton",IF('RawData'!E575="WT003","k ton",""))))</f>
        <v>kg</v>
      </c>
      <c r="F526" s="14">
        <f>IF(ISNUMBER(SEARCH("World",'RawData'!C575)),"",'RawData'!F575)</f>
        <v>3000</v>
      </c>
      <c r="G526" s="14">
        <f>IF(ISNUMBER(SEARCH("World",'RawData'!C575)),"",'RawData'!G575)</f>
        <v>3000</v>
      </c>
      <c r="H526" s="14">
        <f>IF(ISNUMBER(SEARCH("World",'RawData'!C575)),"",SUMIFS('RawData'!G:G,'RawData'!B:B,'RawData'!B575,'RawData'!C:C,"*World*"))</f>
        <v>81000</v>
      </c>
      <c r="I526" s="15">
        <f>IF(ISNUMBER(SEARCH("World",'RawData'!C575)),"",IFERROR(G526/H526,"-"))</f>
        <v>3.7037037037037035E-2</v>
      </c>
      <c r="J526" s="7">
        <f>IF(ISNUMBER(SEARCH("World",'RawData'!C575)),"",IF(ISNUMBER(SEARCH("Other",C526)),COUNTIFS('RawData'!B:B,B526,'RawData'!C:C,"&lt;&gt;*World*"),IF(OR(G526="",G526=0),"-",SUMPRODUCT(('RawData'!B$2:B$822=B526)*('RawData'!G$2:G$822&gt;G526)*(ISERROR(SEARCH("World",'RawData'!C$2:C$822)))*(ISERROR(SEARCH("Other",'RawData'!C$2:C$822))))+1)))</f>
        <v>6</v>
      </c>
      <c r="K526" s="14">
        <f>IF(ISNUMBER(SEARCH("World",'RawData'!C575)),"",'RawData'!H575)</f>
        <v>0</v>
      </c>
      <c r="L526" s="14">
        <f>IF(ISNUMBER(SEARCH("World",'RawData'!C575)),"",SUMIFS('RawData'!H:H,'RawData'!B:B,'RawData'!B575,'RawData'!C:C,"*World*"))</f>
        <v>0</v>
      </c>
      <c r="M526" s="15" t="str">
        <f>IF(ISNUMBER(SEARCH("World",'RawData'!C575)),"",IFERROR(K526/L526,"-"))</f>
        <v>-</v>
      </c>
      <c r="N526" s="7" t="str">
        <f>IF(ISNUMBER(SEARCH("World",'RawData'!C575)),"",IF(ISNUMBER(SEARCH("Other",C526)),COUNTIFS('RawData'!B:B,B526,'RawData'!C:C,"&lt;&gt;*World*"),IF(OR(K526="",K526=0),"-",SUMPRODUCT(('RawData'!B$2:B$822=B526)*('RawData'!H$2:H$822&gt;K526)*(ISERROR(SEARCH("World",'RawData'!C$2:C$822)))*(ISERROR(SEARCH("Other",'RawData'!C$2:C$822))))+1)))</f>
        <v>-</v>
      </c>
    </row>
    <row r="527" spans="1:14" x14ac:dyDescent="0.3">
      <c r="A527" s="4" t="str">
        <f>IF(ISNUMBER(SEARCH("World",'RawData'!C576)),"",'RawData'!A576)</f>
        <v>MCS2026</v>
      </c>
      <c r="B527" s="4" t="str">
        <f>IF(ISNUMBER(SEARCH("World",'RawData'!C576)),"",'RawData'!B576)</f>
        <v>Rhenium</v>
      </c>
      <c r="C527" s="4" t="str">
        <f>IF(ISNUMBER(SEARCH("World",'RawData'!C576)),"",'RawData'!C576)</f>
        <v>United States</v>
      </c>
      <c r="D527" s="4" t="str">
        <f>IF(ISNUMBER(SEARCH("World",'RawData'!C576)),"",'RawData'!D576)</f>
        <v>Mine production, rhenium content</v>
      </c>
      <c r="E527" s="4" t="str">
        <f>IF(ISNUMBER(SEARCH("World",'RawData'!C576)),"",IF('RawData'!E576="WT001","kg",IF('RawData'!E576="WT002","ton",IF('RawData'!E576="WT003","k ton",""))))</f>
        <v>kg</v>
      </c>
      <c r="F527" s="14">
        <f>IF(ISNUMBER(SEARCH("World",'RawData'!C576)),"",'RawData'!F576)</f>
        <v>9310</v>
      </c>
      <c r="G527" s="14">
        <f>IF(ISNUMBER(SEARCH("World",'RawData'!C576)),"",'RawData'!G576)</f>
        <v>9800</v>
      </c>
      <c r="H527" s="14">
        <f>IF(ISNUMBER(SEARCH("World",'RawData'!C576)),"",SUMIFS('RawData'!G:G,'RawData'!B:B,'RawData'!B576,'RawData'!C:C,"*World*"))</f>
        <v>81000</v>
      </c>
      <c r="I527" s="15">
        <f>IF(ISNUMBER(SEARCH("World",'RawData'!C576)),"",IFERROR(G527/H527,"-"))</f>
        <v>0.12098765432098765</v>
      </c>
      <c r="J527" s="7">
        <f>IF(ISNUMBER(SEARCH("World",'RawData'!C576)),"",IF(ISNUMBER(SEARCH("Other",C527)),COUNTIFS('RawData'!B:B,B527,'RawData'!C:C,"&lt;&gt;*World*"),IF(OR(G527="",G527=0),"-",SUMPRODUCT(('RawData'!B$2:B$822=B527)*('RawData'!G$2:G$822&gt;G527)*(ISERROR(SEARCH("World",'RawData'!C$2:C$822)))*(ISERROR(SEARCH("Other",'RawData'!C$2:C$822))))+1)))</f>
        <v>4</v>
      </c>
      <c r="K527" s="14">
        <f>IF(ISNUMBER(SEARCH("World",'RawData'!C576)),"",'RawData'!H576)</f>
        <v>400000</v>
      </c>
      <c r="L527" s="14">
        <f>IF(ISNUMBER(SEARCH("World",'RawData'!C576)),"",SUMIFS('RawData'!H:H,'RawData'!B:B,'RawData'!B576,'RawData'!C:C,"*World*"))</f>
        <v>0</v>
      </c>
      <c r="M527" s="15" t="str">
        <f>IF(ISNUMBER(SEARCH("World",'RawData'!C576)),"",IFERROR(K527/L527,"-"))</f>
        <v>-</v>
      </c>
      <c r="N527" s="7">
        <f>IF(ISNUMBER(SEARCH("World",'RawData'!C576)),"",IF(ISNUMBER(SEARCH("Other",C527)),COUNTIFS('RawData'!B:B,B527,'RawData'!C:C,"&lt;&gt;*World*"),IF(OR(K527="",K527=0),"-",SUMPRODUCT(('RawData'!B$2:B$822=B527)*('RawData'!H$2:H$822&gt;K527)*(ISERROR(SEARCH("World",'RawData'!C$2:C$822)))*(ISERROR(SEARCH("Other",'RawData'!C$2:C$822))))+1)))</f>
        <v>2</v>
      </c>
    </row>
    <row r="528" spans="1:14" x14ac:dyDescent="0.3">
      <c r="A528" s="4" t="str">
        <f>IF(ISNUMBER(SEARCH("World",'RawData'!C577)),"",'RawData'!A577)</f>
        <v>MCS2026</v>
      </c>
      <c r="B528" s="4" t="str">
        <f>IF(ISNUMBER(SEARCH("World",'RawData'!C577)),"",'RawData'!B577)</f>
        <v>Rhenium</v>
      </c>
      <c r="C528" s="4" t="str">
        <f>IF(ISNUMBER(SEARCH("World",'RawData'!C577)),"",'RawData'!C577)</f>
        <v>Uzbekistan</v>
      </c>
      <c r="D528" s="4" t="str">
        <f>IF(ISNUMBER(SEARCH("World",'RawData'!C577)),"",'RawData'!D577)</f>
        <v>Mine production, rhenium content</v>
      </c>
      <c r="E528" s="4" t="str">
        <f>IF(ISNUMBER(SEARCH("World",'RawData'!C577)),"",IF('RawData'!E577="WT001","kg",IF('RawData'!E577="WT002","ton",IF('RawData'!E577="WT003","k ton",""))))</f>
        <v>kg</v>
      </c>
      <c r="F528" s="14">
        <f>IF(ISNUMBER(SEARCH("World",'RawData'!C577)),"",'RawData'!F577)</f>
        <v>7400</v>
      </c>
      <c r="G528" s="14">
        <f>IF(ISNUMBER(SEARCH("World",'RawData'!C577)),"",'RawData'!G577)</f>
        <v>7000</v>
      </c>
      <c r="H528" s="14">
        <f>IF(ISNUMBER(SEARCH("World",'RawData'!C577)),"",SUMIFS('RawData'!G:G,'RawData'!B:B,'RawData'!B577,'RawData'!C:C,"*World*"))</f>
        <v>81000</v>
      </c>
      <c r="I528" s="15">
        <f>IF(ISNUMBER(SEARCH("World",'RawData'!C577)),"",IFERROR(G528/H528,"-"))</f>
        <v>8.6419753086419748E-2</v>
      </c>
      <c r="J528" s="7">
        <f>IF(ISNUMBER(SEARCH("World",'RawData'!C577)),"",IF(ISNUMBER(SEARCH("Other",C528)),COUNTIFS('RawData'!B:B,B528,'RawData'!C:C,"&lt;&gt;*World*"),IF(OR(G528="",G528=0),"-",SUMPRODUCT(('RawData'!B$2:B$822=B528)*('RawData'!G$2:G$822&gt;G528)*(ISERROR(SEARCH("World",'RawData'!C$2:C$822)))*(ISERROR(SEARCH("Other",'RawData'!C$2:C$822))))+1)))</f>
        <v>5</v>
      </c>
      <c r="K528" s="14">
        <f>IF(ISNUMBER(SEARCH("World",'RawData'!C577)),"",'RawData'!H577)</f>
        <v>0</v>
      </c>
      <c r="L528" s="14">
        <f>IF(ISNUMBER(SEARCH("World",'RawData'!C577)),"",SUMIFS('RawData'!H:H,'RawData'!B:B,'RawData'!B577,'RawData'!C:C,"*World*"))</f>
        <v>0</v>
      </c>
      <c r="M528" s="15" t="str">
        <f>IF(ISNUMBER(SEARCH("World",'RawData'!C577)),"",IFERROR(K528/L528,"-"))</f>
        <v>-</v>
      </c>
      <c r="N528" s="7" t="str">
        <f>IF(ISNUMBER(SEARCH("World",'RawData'!C577)),"",IF(ISNUMBER(SEARCH("Other",C528)),COUNTIFS('RawData'!B:B,B528,'RawData'!C:C,"&lt;&gt;*World*"),IF(OR(K528="",K528=0),"-",SUMPRODUCT(('RawData'!B$2:B$822=B528)*('RawData'!H$2:H$822&gt;K528)*(ISERROR(SEARCH("World",'RawData'!C$2:C$822)))*(ISERROR(SEARCH("Other",'RawData'!C$2:C$822))))+1)))</f>
        <v>-</v>
      </c>
    </row>
    <row r="529" spans="1:14" x14ac:dyDescent="0.3">
      <c r="A529" s="4" t="str">
        <f>IF(ISNUMBER(SEARCH("World",'RawData'!C579)),"",'RawData'!A579)</f>
        <v>MCS2026</v>
      </c>
      <c r="B529" s="4" t="str">
        <f>IF(ISNUMBER(SEARCH("World",'RawData'!C579)),"",'RawData'!B579)</f>
        <v>Selenium</v>
      </c>
      <c r="C529" s="4" t="str">
        <f>IF(ISNUMBER(SEARCH("World",'RawData'!C579)),"",'RawData'!C579)</f>
        <v>Belgium</v>
      </c>
      <c r="D529" s="4" t="str">
        <f>IF(ISNUMBER(SEARCH("World",'RawData'!C579)),"",'RawData'!D579)</f>
        <v>Refinery production, selenium content</v>
      </c>
      <c r="E529" s="4" t="str">
        <f>IF(ISNUMBER(SEARCH("World",'RawData'!C579)),"",IF('RawData'!E579="WT001","kg",IF('RawData'!E579="WT002","ton",IF('RawData'!E579="WT003","k ton",""))))</f>
        <v>ton</v>
      </c>
      <c r="F529" s="14">
        <f>IF(ISNUMBER(SEARCH("World",'RawData'!C579)),"",'RawData'!F579)</f>
        <v>200</v>
      </c>
      <c r="G529" s="14">
        <f>IF(ISNUMBER(SEARCH("World",'RawData'!C579)),"",'RawData'!G579)</f>
        <v>200</v>
      </c>
      <c r="H529" s="14">
        <f>IF(ISNUMBER(SEARCH("World",'RawData'!C579)),"",SUMIFS('RawData'!G:G,'RawData'!B:B,'RawData'!B579,'RawData'!C:C,"*World*"))</f>
        <v>3800</v>
      </c>
      <c r="I529" s="15">
        <f>IF(ISNUMBER(SEARCH("World",'RawData'!C579)),"",IFERROR(G529/H529,"-"))</f>
        <v>5.2631578947368418E-2</v>
      </c>
      <c r="J529" s="7">
        <f>IF(ISNUMBER(SEARCH("World",'RawData'!C579)),"",IF(ISNUMBER(SEARCH("Other",C529)),COUNTIFS('RawData'!B:B,B529,'RawData'!C:C,"&lt;&gt;*World*"),IF(OR(G529="",G529=0),"-",SUMPRODUCT(('RawData'!B$2:B$822=B529)*('RawData'!G$2:G$822&gt;G529)*(ISERROR(SEARCH("World",'RawData'!C$2:C$822)))*(ISERROR(SEARCH("Other",'RawData'!C$2:C$822))))+1)))</f>
        <v>4</v>
      </c>
      <c r="K529" s="14">
        <f>IF(ISNUMBER(SEARCH("World",'RawData'!C579)),"",'RawData'!H579)</f>
        <v>0</v>
      </c>
      <c r="L529" s="14">
        <f>IF(ISNUMBER(SEARCH("World",'RawData'!C579)),"",SUMIFS('RawData'!H:H,'RawData'!B:B,'RawData'!B579,'RawData'!C:C,"*World*"))</f>
        <v>0</v>
      </c>
      <c r="M529" s="15" t="str">
        <f>IF(ISNUMBER(SEARCH("World",'RawData'!C579)),"",IFERROR(K529/L529,"-"))</f>
        <v>-</v>
      </c>
      <c r="N529" s="7" t="str">
        <f>IF(ISNUMBER(SEARCH("World",'RawData'!C579)),"",IF(ISNUMBER(SEARCH("Other",C529)),COUNTIFS('RawData'!B:B,B529,'RawData'!C:C,"&lt;&gt;*World*"),IF(OR(K529="",K529=0),"-",SUMPRODUCT(('RawData'!B$2:B$822=B529)*('RawData'!H$2:H$822&gt;K529)*(ISERROR(SEARCH("World",'RawData'!C$2:C$822)))*(ISERROR(SEARCH("Other",'RawData'!C$2:C$822))))+1)))</f>
        <v>-</v>
      </c>
    </row>
    <row r="530" spans="1:14" x14ac:dyDescent="0.3">
      <c r="A530" s="4" t="str">
        <f>IF(ISNUMBER(SEARCH("World",'RawData'!C580)),"",'RawData'!A580)</f>
        <v>MCS2026</v>
      </c>
      <c r="B530" s="4" t="str">
        <f>IF(ISNUMBER(SEARCH("World",'RawData'!C580)),"",'RawData'!B580)</f>
        <v>Selenium</v>
      </c>
      <c r="C530" s="4" t="str">
        <f>IF(ISNUMBER(SEARCH("World",'RawData'!C580)),"",'RawData'!C580)</f>
        <v xml:space="preserve">Canada </v>
      </c>
      <c r="D530" s="4" t="str">
        <f>IF(ISNUMBER(SEARCH("World",'RawData'!C580)),"",'RawData'!D580)</f>
        <v>Refinery production, selenium content</v>
      </c>
      <c r="E530" s="4" t="str">
        <f>IF(ISNUMBER(SEARCH("World",'RawData'!C580)),"",IF('RawData'!E580="WT001","kg",IF('RawData'!E580="WT002","ton",IF('RawData'!E580="WT003","k ton",""))))</f>
        <v>ton</v>
      </c>
      <c r="F530" s="14">
        <f>IF(ISNUMBER(SEARCH("World",'RawData'!C580)),"",'RawData'!F580)</f>
        <v>130</v>
      </c>
      <c r="G530" s="14">
        <f>IF(ISNUMBER(SEARCH("World",'RawData'!C580)),"",'RawData'!G580)</f>
        <v>130</v>
      </c>
      <c r="H530" s="14">
        <f>IF(ISNUMBER(SEARCH("World",'RawData'!C580)),"",SUMIFS('RawData'!G:G,'RawData'!B:B,'RawData'!B580,'RawData'!C:C,"*World*"))</f>
        <v>3800</v>
      </c>
      <c r="I530" s="15">
        <f>IF(ISNUMBER(SEARCH("World",'RawData'!C580)),"",IFERROR(G530/H530,"-"))</f>
        <v>3.4210526315789476E-2</v>
      </c>
      <c r="J530" s="7">
        <f>IF(ISNUMBER(SEARCH("World",'RawData'!C580)),"",IF(ISNUMBER(SEARCH("Other",C530)),COUNTIFS('RawData'!B:B,B530,'RawData'!C:C,"&lt;&gt;*World*"),IF(OR(G530="",G530=0),"-",SUMPRODUCT(('RawData'!B$2:B$822=B530)*('RawData'!G$2:G$822&gt;G530)*(ISERROR(SEARCH("World",'RawData'!C$2:C$822)))*(ISERROR(SEARCH("Other",'RawData'!C$2:C$822))))+1)))</f>
        <v>5</v>
      </c>
      <c r="K530" s="14">
        <f>IF(ISNUMBER(SEARCH("World",'RawData'!C580)),"",'RawData'!H580)</f>
        <v>0</v>
      </c>
      <c r="L530" s="14">
        <f>IF(ISNUMBER(SEARCH("World",'RawData'!C580)),"",SUMIFS('RawData'!H:H,'RawData'!B:B,'RawData'!B580,'RawData'!C:C,"*World*"))</f>
        <v>0</v>
      </c>
      <c r="M530" s="15" t="str">
        <f>IF(ISNUMBER(SEARCH("World",'RawData'!C580)),"",IFERROR(K530/L530,"-"))</f>
        <v>-</v>
      </c>
      <c r="N530" s="7" t="str">
        <f>IF(ISNUMBER(SEARCH("World",'RawData'!C580)),"",IF(ISNUMBER(SEARCH("Other",C530)),COUNTIFS('RawData'!B:B,B530,'RawData'!C:C,"&lt;&gt;*World*"),IF(OR(K530="",K530=0),"-",SUMPRODUCT(('RawData'!B$2:B$822=B530)*('RawData'!H$2:H$822&gt;K530)*(ISERROR(SEARCH("World",'RawData'!C$2:C$822)))*(ISERROR(SEARCH("Other",'RawData'!C$2:C$822))))+1)))</f>
        <v>-</v>
      </c>
    </row>
    <row r="531" spans="1:14" x14ac:dyDescent="0.3">
      <c r="A531" s="4" t="str">
        <f>IF(ISNUMBER(SEARCH("World",'RawData'!C581)),"",'RawData'!A581)</f>
        <v>MCS2026</v>
      </c>
      <c r="B531" s="4" t="str">
        <f>IF(ISNUMBER(SEARCH("World",'RawData'!C581)),"",'RawData'!B581)</f>
        <v>Selenium</v>
      </c>
      <c r="C531" s="4" t="str">
        <f>IF(ISNUMBER(SEARCH("World",'RawData'!C581)),"",'RawData'!C581)</f>
        <v>China</v>
      </c>
      <c r="D531" s="4" t="str">
        <f>IF(ISNUMBER(SEARCH("World",'RawData'!C581)),"",'RawData'!D581)</f>
        <v>Refinery production, selenium content</v>
      </c>
      <c r="E531" s="4" t="str">
        <f>IF(ISNUMBER(SEARCH("World",'RawData'!C581)),"",IF('RawData'!E581="WT001","kg",IF('RawData'!E581="WT002","ton",IF('RawData'!E581="WT003","k ton",""))))</f>
        <v>ton</v>
      </c>
      <c r="F531" s="14">
        <f>IF(ISNUMBER(SEARCH("World",'RawData'!C581)),"",'RawData'!F581)</f>
        <v>1800</v>
      </c>
      <c r="G531" s="14">
        <f>IF(ISNUMBER(SEARCH("World",'RawData'!C581)),"",'RawData'!G581)</f>
        <v>2000</v>
      </c>
      <c r="H531" s="14">
        <f>IF(ISNUMBER(SEARCH("World",'RawData'!C581)),"",SUMIFS('RawData'!G:G,'RawData'!B:B,'RawData'!B581,'RawData'!C:C,"*World*"))</f>
        <v>3800</v>
      </c>
      <c r="I531" s="15">
        <f>IF(ISNUMBER(SEARCH("World",'RawData'!C581)),"",IFERROR(G531/H531,"-"))</f>
        <v>0.52631578947368418</v>
      </c>
      <c r="J531" s="7">
        <f>IF(ISNUMBER(SEARCH("World",'RawData'!C581)),"",IF(ISNUMBER(SEARCH("Other",C531)),COUNTIFS('RawData'!B:B,B531,'RawData'!C:C,"&lt;&gt;*World*"),IF(OR(G531="",G531=0),"-",SUMPRODUCT(('RawData'!B$2:B$822=B531)*('RawData'!G$2:G$822&gt;G531)*(ISERROR(SEARCH("World",'RawData'!C$2:C$822)))*(ISERROR(SEARCH("Other",'RawData'!C$2:C$822))))+1)))</f>
        <v>1</v>
      </c>
      <c r="K531" s="14">
        <f>IF(ISNUMBER(SEARCH("World",'RawData'!C581)),"",'RawData'!H581)</f>
        <v>0</v>
      </c>
      <c r="L531" s="14">
        <f>IF(ISNUMBER(SEARCH("World",'RawData'!C581)),"",SUMIFS('RawData'!H:H,'RawData'!B:B,'RawData'!B581,'RawData'!C:C,"*World*"))</f>
        <v>0</v>
      </c>
      <c r="M531" s="15" t="str">
        <f>IF(ISNUMBER(SEARCH("World",'RawData'!C581)),"",IFERROR(K531/L531,"-"))</f>
        <v>-</v>
      </c>
      <c r="N531" s="7" t="str">
        <f>IF(ISNUMBER(SEARCH("World",'RawData'!C581)),"",IF(ISNUMBER(SEARCH("Other",C531)),COUNTIFS('RawData'!B:B,B531,'RawData'!C:C,"&lt;&gt;*World*"),IF(OR(K531="",K531=0),"-",SUMPRODUCT(('RawData'!B$2:B$822=B531)*('RawData'!H$2:H$822&gt;K531)*(ISERROR(SEARCH("World",'RawData'!C$2:C$822)))*(ISERROR(SEARCH("Other",'RawData'!C$2:C$822))))+1)))</f>
        <v>-</v>
      </c>
    </row>
    <row r="532" spans="1:14" x14ac:dyDescent="0.3">
      <c r="A532" s="4" t="str">
        <f>IF(ISNUMBER(SEARCH("World",'RawData'!C582)),"",'RawData'!A582)</f>
        <v>MCS2026</v>
      </c>
      <c r="B532" s="4" t="str">
        <f>IF(ISNUMBER(SEARCH("World",'RawData'!C582)),"",'RawData'!B582)</f>
        <v>Selenium</v>
      </c>
      <c r="C532" s="4" t="str">
        <f>IF(ISNUMBER(SEARCH("World",'RawData'!C582)),"",'RawData'!C582)</f>
        <v>Finland</v>
      </c>
      <c r="D532" s="4" t="str">
        <f>IF(ISNUMBER(SEARCH("World",'RawData'!C582)),"",'RawData'!D582)</f>
        <v>Refinery production, selenium content</v>
      </c>
      <c r="E532" s="4" t="str">
        <f>IF(ISNUMBER(SEARCH("World",'RawData'!C582)),"",IF('RawData'!E582="WT001","kg",IF('RawData'!E582="WT002","ton",IF('RawData'!E582="WT003","k ton",""))))</f>
        <v>ton</v>
      </c>
      <c r="F532" s="14">
        <f>IF(ISNUMBER(SEARCH("World",'RawData'!C582)),"",'RawData'!F582)</f>
        <v>38</v>
      </c>
      <c r="G532" s="14">
        <f>IF(ISNUMBER(SEARCH("World",'RawData'!C582)),"",'RawData'!G582)</f>
        <v>39</v>
      </c>
      <c r="H532" s="14">
        <f>IF(ISNUMBER(SEARCH("World",'RawData'!C582)),"",SUMIFS('RawData'!G:G,'RawData'!B:B,'RawData'!B582,'RawData'!C:C,"*World*"))</f>
        <v>3800</v>
      </c>
      <c r="I532" s="15">
        <f>IF(ISNUMBER(SEARCH("World",'RawData'!C582)),"",IFERROR(G532/H532,"-"))</f>
        <v>1.0263157894736842E-2</v>
      </c>
      <c r="J532" s="7">
        <f>IF(ISNUMBER(SEARCH("World",'RawData'!C582)),"",IF(ISNUMBER(SEARCH("Other",C532)),COUNTIFS('RawData'!B:B,B532,'RawData'!C:C,"&lt;&gt;*World*"),IF(OR(G532="",G532=0),"-",SUMPRODUCT(('RawData'!B$2:B$822=B532)*('RawData'!G$2:G$822&gt;G532)*(ISERROR(SEARCH("World",'RawData'!C$2:C$822)))*(ISERROR(SEARCH("Other",'RawData'!C$2:C$822))))+1)))</f>
        <v>14</v>
      </c>
      <c r="K532" s="14">
        <f>IF(ISNUMBER(SEARCH("World",'RawData'!C582)),"",'RawData'!H582)</f>
        <v>0</v>
      </c>
      <c r="L532" s="14">
        <f>IF(ISNUMBER(SEARCH("World",'RawData'!C582)),"",SUMIFS('RawData'!H:H,'RawData'!B:B,'RawData'!B582,'RawData'!C:C,"*World*"))</f>
        <v>0</v>
      </c>
      <c r="M532" s="15" t="str">
        <f>IF(ISNUMBER(SEARCH("World",'RawData'!C582)),"",IFERROR(K532/L532,"-"))</f>
        <v>-</v>
      </c>
      <c r="N532" s="7" t="str">
        <f>IF(ISNUMBER(SEARCH("World",'RawData'!C582)),"",IF(ISNUMBER(SEARCH("Other",C532)),COUNTIFS('RawData'!B:B,B532,'RawData'!C:C,"&lt;&gt;*World*"),IF(OR(K532="",K532=0),"-",SUMPRODUCT(('RawData'!B$2:B$822=B532)*('RawData'!H$2:H$822&gt;K532)*(ISERROR(SEARCH("World",'RawData'!C$2:C$822)))*(ISERROR(SEARCH("Other",'RawData'!C$2:C$822))))+1)))</f>
        <v>-</v>
      </c>
    </row>
    <row r="533" spans="1:14" x14ac:dyDescent="0.3">
      <c r="A533" s="4" t="str">
        <f>IF(ISNUMBER(SEARCH("World",'RawData'!C583)),"",'RawData'!A583)</f>
        <v>MCS2026</v>
      </c>
      <c r="B533" s="4" t="str">
        <f>IF(ISNUMBER(SEARCH("World",'RawData'!C583)),"",'RawData'!B583)</f>
        <v>Selenium</v>
      </c>
      <c r="C533" s="4" t="str">
        <f>IF(ISNUMBER(SEARCH("World",'RawData'!C583)),"",'RawData'!C583)</f>
        <v>Germany</v>
      </c>
      <c r="D533" s="4" t="str">
        <f>IF(ISNUMBER(SEARCH("World",'RawData'!C583)),"",'RawData'!D583)</f>
        <v>Refinery production, selenium content</v>
      </c>
      <c r="E533" s="4" t="str">
        <f>IF(ISNUMBER(SEARCH("World",'RawData'!C583)),"",IF('RawData'!E583="WT001","kg",IF('RawData'!E583="WT002","ton",IF('RawData'!E583="WT003","k ton",""))))</f>
        <v>ton</v>
      </c>
      <c r="F533" s="14">
        <f>IF(ISNUMBER(SEARCH("World",'RawData'!C583)),"",'RawData'!F583)</f>
        <v>49</v>
      </c>
      <c r="G533" s="14">
        <f>IF(ISNUMBER(SEARCH("World",'RawData'!C583)),"",'RawData'!G583)</f>
        <v>47</v>
      </c>
      <c r="H533" s="14">
        <f>IF(ISNUMBER(SEARCH("World",'RawData'!C583)),"",SUMIFS('RawData'!G:G,'RawData'!B:B,'RawData'!B583,'RawData'!C:C,"*World*"))</f>
        <v>3800</v>
      </c>
      <c r="I533" s="15">
        <f>IF(ISNUMBER(SEARCH("World",'RawData'!C583)),"",IFERROR(G533/H533,"-"))</f>
        <v>1.2368421052631579E-2</v>
      </c>
      <c r="J533" s="7">
        <f>IF(ISNUMBER(SEARCH("World",'RawData'!C583)),"",IF(ISNUMBER(SEARCH("Other",C533)),COUNTIFS('RawData'!B:B,B533,'RawData'!C:C,"&lt;&gt;*World*"),IF(OR(G533="",G533=0),"-",SUMPRODUCT(('RawData'!B$2:B$822=B533)*('RawData'!G$2:G$822&gt;G533)*(ISERROR(SEARCH("World",'RawData'!C$2:C$822)))*(ISERROR(SEARCH("Other",'RawData'!C$2:C$822))))+1)))</f>
        <v>12</v>
      </c>
      <c r="K533" s="14">
        <f>IF(ISNUMBER(SEARCH("World",'RawData'!C583)),"",'RawData'!H583)</f>
        <v>0</v>
      </c>
      <c r="L533" s="14">
        <f>IF(ISNUMBER(SEARCH("World",'RawData'!C583)),"",SUMIFS('RawData'!H:H,'RawData'!B:B,'RawData'!B583,'RawData'!C:C,"*World*"))</f>
        <v>0</v>
      </c>
      <c r="M533" s="15" t="str">
        <f>IF(ISNUMBER(SEARCH("World",'RawData'!C583)),"",IFERROR(K533/L533,"-"))</f>
        <v>-</v>
      </c>
      <c r="N533" s="7" t="str">
        <f>IF(ISNUMBER(SEARCH("World",'RawData'!C583)),"",IF(ISNUMBER(SEARCH("Other",C533)),COUNTIFS('RawData'!B:B,B533,'RawData'!C:C,"&lt;&gt;*World*"),IF(OR(K533="",K533=0),"-",SUMPRODUCT(('RawData'!B$2:B$822=B533)*('RawData'!H$2:H$822&gt;K533)*(ISERROR(SEARCH("World",'RawData'!C$2:C$822)))*(ISERROR(SEARCH("Other",'RawData'!C$2:C$822))))+1)))</f>
        <v>-</v>
      </c>
    </row>
    <row r="534" spans="1:14" x14ac:dyDescent="0.3">
      <c r="A534" s="4" t="str">
        <f>IF(ISNUMBER(SEARCH("World",'RawData'!C584)),"",'RawData'!A584)</f>
        <v>MCS2026</v>
      </c>
      <c r="B534" s="4" t="str">
        <f>IF(ISNUMBER(SEARCH("World",'RawData'!C584)),"",'RawData'!B584)</f>
        <v>Selenium</v>
      </c>
      <c r="C534" s="4" t="str">
        <f>IF(ISNUMBER(SEARCH("World",'RawData'!C584)),"",'RawData'!C584)</f>
        <v>India</v>
      </c>
      <c r="D534" s="4" t="str">
        <f>IF(ISNUMBER(SEARCH("World",'RawData'!C584)),"",'RawData'!D584)</f>
        <v>Refinery production, selenium content</v>
      </c>
      <c r="E534" s="4" t="str">
        <f>IF(ISNUMBER(SEARCH("World",'RawData'!C584)),"",IF('RawData'!E584="WT001","kg",IF('RawData'!E584="WT002","ton",IF('RawData'!E584="WT003","k ton",""))))</f>
        <v>ton</v>
      </c>
      <c r="F534" s="14">
        <f>IF(ISNUMBER(SEARCH("World",'RawData'!C584)),"",'RawData'!F584)</f>
        <v>88</v>
      </c>
      <c r="G534" s="14">
        <f>IF(ISNUMBER(SEARCH("World",'RawData'!C584)),"",'RawData'!G584)</f>
        <v>90</v>
      </c>
      <c r="H534" s="14">
        <f>IF(ISNUMBER(SEARCH("World",'RawData'!C584)),"",SUMIFS('RawData'!G:G,'RawData'!B:B,'RawData'!B584,'RawData'!C:C,"*World*"))</f>
        <v>3800</v>
      </c>
      <c r="I534" s="15">
        <f>IF(ISNUMBER(SEARCH("World",'RawData'!C584)),"",IFERROR(G534/H534,"-"))</f>
        <v>2.368421052631579E-2</v>
      </c>
      <c r="J534" s="7">
        <f>IF(ISNUMBER(SEARCH("World",'RawData'!C584)),"",IF(ISNUMBER(SEARCH("Other",C534)),COUNTIFS('RawData'!B:B,B534,'RawData'!C:C,"&lt;&gt;*World*"),IF(OR(G534="",G534=0),"-",SUMPRODUCT(('RawData'!B$2:B$822=B534)*('RawData'!G$2:G$822&gt;G534)*(ISERROR(SEARCH("World",'RawData'!C$2:C$822)))*(ISERROR(SEARCH("Other",'RawData'!C$2:C$822))))+1)))</f>
        <v>6</v>
      </c>
      <c r="K534" s="14">
        <f>IF(ISNUMBER(SEARCH("World",'RawData'!C584)),"",'RawData'!H584)</f>
        <v>0</v>
      </c>
      <c r="L534" s="14">
        <f>IF(ISNUMBER(SEARCH("World",'RawData'!C584)),"",SUMIFS('RawData'!H:H,'RawData'!B:B,'RawData'!B584,'RawData'!C:C,"*World*"))</f>
        <v>0</v>
      </c>
      <c r="M534" s="15" t="str">
        <f>IF(ISNUMBER(SEARCH("World",'RawData'!C584)),"",IFERROR(K534/L534,"-"))</f>
        <v>-</v>
      </c>
      <c r="N534" s="7" t="str">
        <f>IF(ISNUMBER(SEARCH("World",'RawData'!C584)),"",IF(ISNUMBER(SEARCH("Other",C534)),COUNTIFS('RawData'!B:B,B534,'RawData'!C:C,"&lt;&gt;*World*"),IF(OR(K534="",K534=0),"-",SUMPRODUCT(('RawData'!B$2:B$822=B534)*('RawData'!H$2:H$822&gt;K534)*(ISERROR(SEARCH("World",'RawData'!C$2:C$822)))*(ISERROR(SEARCH("Other",'RawData'!C$2:C$822))))+1)))</f>
        <v>-</v>
      </c>
    </row>
    <row r="535" spans="1:14" x14ac:dyDescent="0.3">
      <c r="A535" s="4" t="str">
        <f>IF(ISNUMBER(SEARCH("World",'RawData'!C585)),"",'RawData'!A585)</f>
        <v>MCS2026</v>
      </c>
      <c r="B535" s="4" t="str">
        <f>IF(ISNUMBER(SEARCH("World",'RawData'!C585)),"",'RawData'!B585)</f>
        <v>Selenium</v>
      </c>
      <c r="C535" s="4" t="str">
        <f>IF(ISNUMBER(SEARCH("World",'RawData'!C585)),"",'RawData'!C585)</f>
        <v>Japan</v>
      </c>
      <c r="D535" s="4" t="str">
        <f>IF(ISNUMBER(SEARCH("World",'RawData'!C585)),"",'RawData'!D585)</f>
        <v>Refinery production, selenium content</v>
      </c>
      <c r="E535" s="4" t="str">
        <f>IF(ISNUMBER(SEARCH("World",'RawData'!C585)),"",IF('RawData'!E585="WT001","kg",IF('RawData'!E585="WT002","ton",IF('RawData'!E585="WT003","k ton",""))))</f>
        <v>ton</v>
      </c>
      <c r="F535" s="14">
        <f>IF(ISNUMBER(SEARCH("World",'RawData'!C585)),"",'RawData'!F585)</f>
        <v>730</v>
      </c>
      <c r="G535" s="14">
        <f>IF(ISNUMBER(SEARCH("World",'RawData'!C585)),"",'RawData'!G585)</f>
        <v>640</v>
      </c>
      <c r="H535" s="14">
        <f>IF(ISNUMBER(SEARCH("World",'RawData'!C585)),"",SUMIFS('RawData'!G:G,'RawData'!B:B,'RawData'!B585,'RawData'!C:C,"*World*"))</f>
        <v>3800</v>
      </c>
      <c r="I535" s="15">
        <f>IF(ISNUMBER(SEARCH("World",'RawData'!C585)),"",IFERROR(G535/H535,"-"))</f>
        <v>0.16842105263157894</v>
      </c>
      <c r="J535" s="7">
        <f>IF(ISNUMBER(SEARCH("World",'RawData'!C585)),"",IF(ISNUMBER(SEARCH("Other",C535)),COUNTIFS('RawData'!B:B,B535,'RawData'!C:C,"&lt;&gt;*World*"),IF(OR(G535="",G535=0),"-",SUMPRODUCT(('RawData'!B$2:B$822=B535)*('RawData'!G$2:G$822&gt;G535)*(ISERROR(SEARCH("World",'RawData'!C$2:C$822)))*(ISERROR(SEARCH("Other",'RawData'!C$2:C$822))))+1)))</f>
        <v>2</v>
      </c>
      <c r="K535" s="14">
        <f>IF(ISNUMBER(SEARCH("World",'RawData'!C585)),"",'RawData'!H585)</f>
        <v>0</v>
      </c>
      <c r="L535" s="14">
        <f>IF(ISNUMBER(SEARCH("World",'RawData'!C585)),"",SUMIFS('RawData'!H:H,'RawData'!B:B,'RawData'!B585,'RawData'!C:C,"*World*"))</f>
        <v>0</v>
      </c>
      <c r="M535" s="15" t="str">
        <f>IF(ISNUMBER(SEARCH("World",'RawData'!C585)),"",IFERROR(K535/L535,"-"))</f>
        <v>-</v>
      </c>
      <c r="N535" s="7" t="str">
        <f>IF(ISNUMBER(SEARCH("World",'RawData'!C585)),"",IF(ISNUMBER(SEARCH("Other",C535)),COUNTIFS('RawData'!B:B,B535,'RawData'!C:C,"&lt;&gt;*World*"),IF(OR(K535="",K535=0),"-",SUMPRODUCT(('RawData'!B$2:B$822=B535)*('RawData'!H$2:H$822&gt;K535)*(ISERROR(SEARCH("World",'RawData'!C$2:C$822)))*(ISERROR(SEARCH("Other",'RawData'!C$2:C$822))))+1)))</f>
        <v>-</v>
      </c>
    </row>
    <row r="536" spans="1:14" x14ac:dyDescent="0.3">
      <c r="A536" s="4" t="str">
        <f>IF(ISNUMBER(SEARCH("World",'RawData'!C586)),"",'RawData'!A586)</f>
        <v>MCS2026</v>
      </c>
      <c r="B536" s="4" t="str">
        <f>IF(ISNUMBER(SEARCH("World",'RawData'!C586)),"",'RawData'!B586)</f>
        <v>Selenium</v>
      </c>
      <c r="C536" s="4" t="str">
        <f>IF(ISNUMBER(SEARCH("World",'RawData'!C586)),"",'RawData'!C586)</f>
        <v>Kazakhstan</v>
      </c>
      <c r="D536" s="4" t="str">
        <f>IF(ISNUMBER(SEARCH("World",'RawData'!C586)),"",'RawData'!D586)</f>
        <v>Refinery production, selenium content</v>
      </c>
      <c r="E536" s="4" t="str">
        <f>IF(ISNUMBER(SEARCH("World",'RawData'!C586)),"",IF('RawData'!E586="WT001","kg",IF('RawData'!E586="WT002","ton",IF('RawData'!E586="WT003","k ton",""))))</f>
        <v>ton</v>
      </c>
      <c r="F536" s="14">
        <f>IF(ISNUMBER(SEARCH("World",'RawData'!C586)),"",'RawData'!F586)</f>
        <v>2</v>
      </c>
      <c r="G536" s="14">
        <f>IF(ISNUMBER(SEARCH("World",'RawData'!C586)),"",'RawData'!G586)</f>
        <v>50</v>
      </c>
      <c r="H536" s="14">
        <f>IF(ISNUMBER(SEARCH("World",'RawData'!C586)),"",SUMIFS('RawData'!G:G,'RawData'!B:B,'RawData'!B586,'RawData'!C:C,"*World*"))</f>
        <v>3800</v>
      </c>
      <c r="I536" s="15">
        <f>IF(ISNUMBER(SEARCH("World",'RawData'!C586)),"",IFERROR(G536/H536,"-"))</f>
        <v>1.3157894736842105E-2</v>
      </c>
      <c r="J536" s="7">
        <f>IF(ISNUMBER(SEARCH("World",'RawData'!C586)),"",IF(ISNUMBER(SEARCH("Other",C536)),COUNTIFS('RawData'!B:B,B536,'RawData'!C:C,"&lt;&gt;*World*"),IF(OR(G536="",G536=0),"-",SUMPRODUCT(('RawData'!B$2:B$822=B536)*('RawData'!G$2:G$822&gt;G536)*(ISERROR(SEARCH("World",'RawData'!C$2:C$822)))*(ISERROR(SEARCH("Other",'RawData'!C$2:C$822))))+1)))</f>
        <v>10</v>
      </c>
      <c r="K536" s="14">
        <f>IF(ISNUMBER(SEARCH("World",'RawData'!C586)),"",'RawData'!H586)</f>
        <v>0</v>
      </c>
      <c r="L536" s="14">
        <f>IF(ISNUMBER(SEARCH("World",'RawData'!C586)),"",SUMIFS('RawData'!H:H,'RawData'!B:B,'RawData'!B586,'RawData'!C:C,"*World*"))</f>
        <v>0</v>
      </c>
      <c r="M536" s="15" t="str">
        <f>IF(ISNUMBER(SEARCH("World",'RawData'!C586)),"",IFERROR(K536/L536,"-"))</f>
        <v>-</v>
      </c>
      <c r="N536" s="7" t="str">
        <f>IF(ISNUMBER(SEARCH("World",'RawData'!C586)),"",IF(ISNUMBER(SEARCH("Other",C536)),COUNTIFS('RawData'!B:B,B536,'RawData'!C:C,"&lt;&gt;*World*"),IF(OR(K536="",K536=0),"-",SUMPRODUCT(('RawData'!B$2:B$822=B536)*('RawData'!H$2:H$822&gt;K536)*(ISERROR(SEARCH("World",'RawData'!C$2:C$822)))*(ISERROR(SEARCH("Other",'RawData'!C$2:C$822))))+1)))</f>
        <v>-</v>
      </c>
    </row>
    <row r="537" spans="1:14" x14ac:dyDescent="0.3">
      <c r="A537" s="4" t="str">
        <f>IF(ISNUMBER(SEARCH("World",'RawData'!C587)),"",'RawData'!A587)</f>
        <v>MCS2026</v>
      </c>
      <c r="B537" s="4" t="str">
        <f>IF(ISNUMBER(SEARCH("World",'RawData'!C587)),"",'RawData'!B587)</f>
        <v>Selenium</v>
      </c>
      <c r="C537" s="4" t="str">
        <f>IF(ISNUMBER(SEARCH("World",'RawData'!C587)),"",'RawData'!C587)</f>
        <v>Mexico</v>
      </c>
      <c r="D537" s="4" t="str">
        <f>IF(ISNUMBER(SEARCH("World",'RawData'!C587)),"",'RawData'!D587)</f>
        <v>Refinery production, selenium content</v>
      </c>
      <c r="E537" s="4" t="str">
        <f>IF(ISNUMBER(SEARCH("World",'RawData'!C587)),"",IF('RawData'!E587="WT001","kg",IF('RawData'!E587="WT002","ton",IF('RawData'!E587="WT003","k ton",""))))</f>
        <v>ton</v>
      </c>
      <c r="F537" s="14">
        <f>IF(ISNUMBER(SEARCH("World",'RawData'!C587)),"",'RawData'!F587)</f>
        <v>78</v>
      </c>
      <c r="G537" s="14">
        <f>IF(ISNUMBER(SEARCH("World",'RawData'!C587)),"",'RawData'!G587)</f>
        <v>88</v>
      </c>
      <c r="H537" s="14">
        <f>IF(ISNUMBER(SEARCH("World",'RawData'!C587)),"",SUMIFS('RawData'!G:G,'RawData'!B:B,'RawData'!B587,'RawData'!C:C,"*World*"))</f>
        <v>3800</v>
      </c>
      <c r="I537" s="15">
        <f>IF(ISNUMBER(SEARCH("World",'RawData'!C587)),"",IFERROR(G537/H537,"-"))</f>
        <v>2.3157894736842106E-2</v>
      </c>
      <c r="J537" s="7">
        <f>IF(ISNUMBER(SEARCH("World",'RawData'!C587)),"",IF(ISNUMBER(SEARCH("Other",C537)),COUNTIFS('RawData'!B:B,B537,'RawData'!C:C,"&lt;&gt;*World*"),IF(OR(G537="",G537=0),"-",SUMPRODUCT(('RawData'!B$2:B$822=B537)*('RawData'!G$2:G$822&gt;G537)*(ISERROR(SEARCH("World",'RawData'!C$2:C$822)))*(ISERROR(SEARCH("Other",'RawData'!C$2:C$822))))+1)))</f>
        <v>7</v>
      </c>
      <c r="K537" s="14">
        <f>IF(ISNUMBER(SEARCH("World",'RawData'!C587)),"",'RawData'!H587)</f>
        <v>0</v>
      </c>
      <c r="L537" s="14">
        <f>IF(ISNUMBER(SEARCH("World",'RawData'!C587)),"",SUMIFS('RawData'!H:H,'RawData'!B:B,'RawData'!B587,'RawData'!C:C,"*World*"))</f>
        <v>0</v>
      </c>
      <c r="M537" s="15" t="str">
        <f>IF(ISNUMBER(SEARCH("World",'RawData'!C587)),"",IFERROR(K537/L537,"-"))</f>
        <v>-</v>
      </c>
      <c r="N537" s="7" t="str">
        <f>IF(ISNUMBER(SEARCH("World",'RawData'!C587)),"",IF(ISNUMBER(SEARCH("Other",C537)),COUNTIFS('RawData'!B:B,B537,'RawData'!C:C,"&lt;&gt;*World*"),IF(OR(K537="",K537=0),"-",SUMPRODUCT(('RawData'!B$2:B$822=B537)*('RawData'!H$2:H$822&gt;K537)*(ISERROR(SEARCH("World",'RawData'!C$2:C$822)))*(ISERROR(SEARCH("Other",'RawData'!C$2:C$822))))+1)))</f>
        <v>-</v>
      </c>
    </row>
    <row r="538" spans="1:14" x14ac:dyDescent="0.3">
      <c r="A538" s="4" t="str">
        <f>IF(ISNUMBER(SEARCH("World",'RawData'!C588)),"",'RawData'!A588)</f>
        <v>MCS2026</v>
      </c>
      <c r="B538" s="4" t="str">
        <f>IF(ISNUMBER(SEARCH("World",'RawData'!C588)),"",'RawData'!B588)</f>
        <v>Selenium</v>
      </c>
      <c r="C538" s="4" t="str">
        <f>IF(ISNUMBER(SEARCH("World",'RawData'!C588)),"",'RawData'!C588)</f>
        <v>Other Countries</v>
      </c>
      <c r="D538" s="4" t="str">
        <f>IF(ISNUMBER(SEARCH("World",'RawData'!C588)),"",'RawData'!D588)</f>
        <v>Refinery production, selenium content</v>
      </c>
      <c r="E538" s="4" t="str">
        <f>IF(ISNUMBER(SEARCH("World",'RawData'!C588)),"",IF('RawData'!E588="WT001","kg",IF('RawData'!E588="WT002","ton",IF('RawData'!E588="WT003","k ton",""))))</f>
        <v>ton</v>
      </c>
      <c r="F538" s="14">
        <f>IF(ISNUMBER(SEARCH("World",'RawData'!C588)),"",'RawData'!F588)</f>
        <v>0</v>
      </c>
      <c r="G538" s="14">
        <f>IF(ISNUMBER(SEARCH("World",'RawData'!C588)),"",'RawData'!G588)</f>
        <v>0</v>
      </c>
      <c r="H538" s="14">
        <f>IF(ISNUMBER(SEARCH("World",'RawData'!C588)),"",SUMIFS('RawData'!G:G,'RawData'!B:B,'RawData'!B588,'RawData'!C:C,"*World*"))</f>
        <v>3800</v>
      </c>
      <c r="I538" s="15">
        <f>IF(ISNUMBER(SEARCH("World",'RawData'!C588)),"",IFERROR(G538/H538,"-"))</f>
        <v>0</v>
      </c>
      <c r="J538" s="7">
        <f>IF(ISNUMBER(SEARCH("World",'RawData'!C588)),"",IF(ISNUMBER(SEARCH("Other",C538)),COUNTIFS('RawData'!B:B,B538,'RawData'!C:C,"&lt;&gt;*World*"),IF(OR(G538="",G538=0),"-",SUMPRODUCT(('RawData'!B$2:B$822=B538)*('RawData'!G$2:G$822&gt;G538)*(ISERROR(SEARCH("World",'RawData'!C$2:C$822)))*(ISERROR(SEARCH("Other",'RawData'!C$2:C$822))))+1)))</f>
        <v>18</v>
      </c>
      <c r="K538" s="14">
        <f>IF(ISNUMBER(SEARCH("World",'RawData'!C588)),"",'RawData'!H588)</f>
        <v>0</v>
      </c>
      <c r="L538" s="14">
        <f>IF(ISNUMBER(SEARCH("World",'RawData'!C588)),"",SUMIFS('RawData'!H:H,'RawData'!B:B,'RawData'!B588,'RawData'!C:C,"*World*"))</f>
        <v>0</v>
      </c>
      <c r="M538" s="15" t="str">
        <f>IF(ISNUMBER(SEARCH("World",'RawData'!C588)),"",IFERROR(K538/L538,"-"))</f>
        <v>-</v>
      </c>
      <c r="N538" s="7">
        <f>IF(ISNUMBER(SEARCH("World",'RawData'!C588)),"",IF(ISNUMBER(SEARCH("Other",C538)),COUNTIFS('RawData'!B:B,B538,'RawData'!C:C,"&lt;&gt;*World*"),IF(OR(K538="",K538=0),"-",SUMPRODUCT(('RawData'!B$2:B$822=B538)*('RawData'!H$2:H$822&gt;K538)*(ISERROR(SEARCH("World",'RawData'!C$2:C$822)))*(ISERROR(SEARCH("Other",'RawData'!C$2:C$822))))+1)))</f>
        <v>18</v>
      </c>
    </row>
    <row r="539" spans="1:14" x14ac:dyDescent="0.3">
      <c r="A539" s="4" t="str">
        <f>IF(ISNUMBER(SEARCH("World",'RawData'!C589)),"",'RawData'!A589)</f>
        <v>MCS2026</v>
      </c>
      <c r="B539" s="4" t="str">
        <f>IF(ISNUMBER(SEARCH("World",'RawData'!C589)),"",'RawData'!B589)</f>
        <v>Selenium</v>
      </c>
      <c r="C539" s="4" t="str">
        <f>IF(ISNUMBER(SEARCH("World",'RawData'!C589)),"",'RawData'!C589)</f>
        <v>Peru</v>
      </c>
      <c r="D539" s="4" t="str">
        <f>IF(ISNUMBER(SEARCH("World",'RawData'!C589)),"",'RawData'!D589)</f>
        <v>Refinery production, selenium content</v>
      </c>
      <c r="E539" s="4" t="str">
        <f>IF(ISNUMBER(SEARCH("World",'RawData'!C589)),"",IF('RawData'!E589="WT001","kg",IF('RawData'!E589="WT002","ton",IF('RawData'!E589="WT003","k ton",""))))</f>
        <v>ton</v>
      </c>
      <c r="F539" s="14">
        <f>IF(ISNUMBER(SEARCH("World",'RawData'!C589)),"",'RawData'!F589)</f>
        <v>53</v>
      </c>
      <c r="G539" s="14">
        <f>IF(ISNUMBER(SEARCH("World",'RawData'!C589)),"",'RawData'!G589)</f>
        <v>48</v>
      </c>
      <c r="H539" s="14">
        <f>IF(ISNUMBER(SEARCH("World",'RawData'!C589)),"",SUMIFS('RawData'!G:G,'RawData'!B:B,'RawData'!B589,'RawData'!C:C,"*World*"))</f>
        <v>3800</v>
      </c>
      <c r="I539" s="15">
        <f>IF(ISNUMBER(SEARCH("World",'RawData'!C589)),"",IFERROR(G539/H539,"-"))</f>
        <v>1.2631578947368421E-2</v>
      </c>
      <c r="J539" s="7">
        <f>IF(ISNUMBER(SEARCH("World",'RawData'!C589)),"",IF(ISNUMBER(SEARCH("Other",C539)),COUNTIFS('RawData'!B:B,B539,'RawData'!C:C,"&lt;&gt;*World*"),IF(OR(G539="",G539=0),"-",SUMPRODUCT(('RawData'!B$2:B$822=B539)*('RawData'!G$2:G$822&gt;G539)*(ISERROR(SEARCH("World",'RawData'!C$2:C$822)))*(ISERROR(SEARCH("Other",'RawData'!C$2:C$822))))+1)))</f>
        <v>11</v>
      </c>
      <c r="K539" s="14">
        <f>IF(ISNUMBER(SEARCH("World",'RawData'!C589)),"",'RawData'!H589)</f>
        <v>0</v>
      </c>
      <c r="L539" s="14">
        <f>IF(ISNUMBER(SEARCH("World",'RawData'!C589)),"",SUMIFS('RawData'!H:H,'RawData'!B:B,'RawData'!B589,'RawData'!C:C,"*World*"))</f>
        <v>0</v>
      </c>
      <c r="M539" s="15" t="str">
        <f>IF(ISNUMBER(SEARCH("World",'RawData'!C589)),"",IFERROR(K539/L539,"-"))</f>
        <v>-</v>
      </c>
      <c r="N539" s="7" t="str">
        <f>IF(ISNUMBER(SEARCH("World",'RawData'!C589)),"",IF(ISNUMBER(SEARCH("Other",C539)),COUNTIFS('RawData'!B:B,B539,'RawData'!C:C,"&lt;&gt;*World*"),IF(OR(K539="",K539=0),"-",SUMPRODUCT(('RawData'!B$2:B$822=B539)*('RawData'!H$2:H$822&gt;K539)*(ISERROR(SEARCH("World",'RawData'!C$2:C$822)))*(ISERROR(SEARCH("Other",'RawData'!C$2:C$822))))+1)))</f>
        <v>-</v>
      </c>
    </row>
    <row r="540" spans="1:14" x14ac:dyDescent="0.3">
      <c r="A540" s="4" t="str">
        <f>IF(ISNUMBER(SEARCH("World",'RawData'!C590)),"",'RawData'!A590)</f>
        <v>MCS2026</v>
      </c>
      <c r="B540" s="4" t="str">
        <f>IF(ISNUMBER(SEARCH("World",'RawData'!C590)),"",'RawData'!B590)</f>
        <v>Selenium</v>
      </c>
      <c r="C540" s="4" t="str">
        <f>IF(ISNUMBER(SEARCH("World",'RawData'!C590)),"",'RawData'!C590)</f>
        <v>Poland</v>
      </c>
      <c r="D540" s="4" t="str">
        <f>IF(ISNUMBER(SEARCH("World",'RawData'!C590)),"",'RawData'!D590)</f>
        <v>Refinery production, selenium content</v>
      </c>
      <c r="E540" s="4" t="str">
        <f>IF(ISNUMBER(SEARCH("World",'RawData'!C590)),"",IF('RawData'!E590="WT001","kg",IF('RawData'!E590="WT002","ton",IF('RawData'!E590="WT003","k ton",""))))</f>
        <v>ton</v>
      </c>
      <c r="F540" s="14">
        <f>IF(ISNUMBER(SEARCH("World",'RawData'!C590)),"",'RawData'!F590)</f>
        <v>68</v>
      </c>
      <c r="G540" s="14">
        <f>IF(ISNUMBER(SEARCH("World",'RawData'!C590)),"",'RawData'!G590)</f>
        <v>67</v>
      </c>
      <c r="H540" s="14">
        <f>IF(ISNUMBER(SEARCH("World",'RawData'!C590)),"",SUMIFS('RawData'!G:G,'RawData'!B:B,'RawData'!B590,'RawData'!C:C,"*World*"))</f>
        <v>3800</v>
      </c>
      <c r="I540" s="15">
        <f>IF(ISNUMBER(SEARCH("World",'RawData'!C590)),"",IFERROR(G540/H540,"-"))</f>
        <v>1.7631578947368422E-2</v>
      </c>
      <c r="J540" s="7">
        <f>IF(ISNUMBER(SEARCH("World",'RawData'!C590)),"",IF(ISNUMBER(SEARCH("Other",C540)),COUNTIFS('RawData'!B:B,B540,'RawData'!C:C,"&lt;&gt;*World*"),IF(OR(G540="",G540=0),"-",SUMPRODUCT(('RawData'!B$2:B$822=B540)*('RawData'!G$2:G$822&gt;G540)*(ISERROR(SEARCH("World",'RawData'!C$2:C$822)))*(ISERROR(SEARCH("Other",'RawData'!C$2:C$822))))+1)))</f>
        <v>9</v>
      </c>
      <c r="K540" s="14">
        <f>IF(ISNUMBER(SEARCH("World",'RawData'!C590)),"",'RawData'!H590)</f>
        <v>0</v>
      </c>
      <c r="L540" s="14">
        <f>IF(ISNUMBER(SEARCH("World",'RawData'!C590)),"",SUMIFS('RawData'!H:H,'RawData'!B:B,'RawData'!B590,'RawData'!C:C,"*World*"))</f>
        <v>0</v>
      </c>
      <c r="M540" s="15" t="str">
        <f>IF(ISNUMBER(SEARCH("World",'RawData'!C590)),"",IFERROR(K540/L540,"-"))</f>
        <v>-</v>
      </c>
      <c r="N540" s="7" t="str">
        <f>IF(ISNUMBER(SEARCH("World",'RawData'!C590)),"",IF(ISNUMBER(SEARCH("Other",C540)),COUNTIFS('RawData'!B:B,B540,'RawData'!C:C,"&lt;&gt;*World*"),IF(OR(K540="",K540=0),"-",SUMPRODUCT(('RawData'!B$2:B$822=B540)*('RawData'!H$2:H$822&gt;K540)*(ISERROR(SEARCH("World",'RawData'!C$2:C$822)))*(ISERROR(SEARCH("Other",'RawData'!C$2:C$822))))+1)))</f>
        <v>-</v>
      </c>
    </row>
    <row r="541" spans="1:14" x14ac:dyDescent="0.3">
      <c r="A541" s="4" t="str">
        <f>IF(ISNUMBER(SEARCH("World",'RawData'!C591)),"",'RawData'!A591)</f>
        <v>MCS2026</v>
      </c>
      <c r="B541" s="4" t="str">
        <f>IF(ISNUMBER(SEARCH("World",'RawData'!C591)),"",'RawData'!B591)</f>
        <v>Selenium</v>
      </c>
      <c r="C541" s="4" t="str">
        <f>IF(ISNUMBER(SEARCH("World",'RawData'!C591)),"",'RawData'!C591)</f>
        <v>Turkiye</v>
      </c>
      <c r="D541" s="4" t="str">
        <f>IF(ISNUMBER(SEARCH("World",'RawData'!C591)),"",'RawData'!D591)</f>
        <v>Refinery production, selenium content</v>
      </c>
      <c r="E541" s="4" t="str">
        <f>IF(ISNUMBER(SEARCH("World",'RawData'!C591)),"",IF('RawData'!E591="WT001","kg",IF('RawData'!E591="WT002","ton",IF('RawData'!E591="WT003","k ton",""))))</f>
        <v>ton</v>
      </c>
      <c r="F541" s="14">
        <f>IF(ISNUMBER(SEARCH("World",'RawData'!C591)),"",'RawData'!F591)</f>
        <v>43</v>
      </c>
      <c r="G541" s="14">
        <f>IF(ISNUMBER(SEARCH("World",'RawData'!C591)),"",'RawData'!G591)</f>
        <v>43</v>
      </c>
      <c r="H541" s="14">
        <f>IF(ISNUMBER(SEARCH("World",'RawData'!C591)),"",SUMIFS('RawData'!G:G,'RawData'!B:B,'RawData'!B591,'RawData'!C:C,"*World*"))</f>
        <v>3800</v>
      </c>
      <c r="I541" s="15">
        <f>IF(ISNUMBER(SEARCH("World",'RawData'!C591)),"",IFERROR(G541/H541,"-"))</f>
        <v>1.1315789473684211E-2</v>
      </c>
      <c r="J541" s="7">
        <f>IF(ISNUMBER(SEARCH("World",'RawData'!C591)),"",IF(ISNUMBER(SEARCH("Other",C541)),COUNTIFS('RawData'!B:B,B541,'RawData'!C:C,"&lt;&gt;*World*"),IF(OR(G541="",G541=0),"-",SUMPRODUCT(('RawData'!B$2:B$822=B541)*('RawData'!G$2:G$822&gt;G541)*(ISERROR(SEARCH("World",'RawData'!C$2:C$822)))*(ISERROR(SEARCH("Other",'RawData'!C$2:C$822))))+1)))</f>
        <v>13</v>
      </c>
      <c r="K541" s="14">
        <f>IF(ISNUMBER(SEARCH("World",'RawData'!C591)),"",'RawData'!H591)</f>
        <v>0</v>
      </c>
      <c r="L541" s="14">
        <f>IF(ISNUMBER(SEARCH("World",'RawData'!C591)),"",SUMIFS('RawData'!H:H,'RawData'!B:B,'RawData'!B591,'RawData'!C:C,"*World*"))</f>
        <v>0</v>
      </c>
      <c r="M541" s="15" t="str">
        <f>IF(ISNUMBER(SEARCH("World",'RawData'!C591)),"",IFERROR(K541/L541,"-"))</f>
        <v>-</v>
      </c>
      <c r="N541" s="7" t="str">
        <f>IF(ISNUMBER(SEARCH("World",'RawData'!C591)),"",IF(ISNUMBER(SEARCH("Other",C541)),COUNTIFS('RawData'!B:B,B541,'RawData'!C:C,"&lt;&gt;*World*"),IF(OR(K541="",K541=0),"-",SUMPRODUCT(('RawData'!B$2:B$822=B541)*('RawData'!H$2:H$822&gt;K541)*(ISERROR(SEARCH("World",'RawData'!C$2:C$822)))*(ISERROR(SEARCH("Other",'RawData'!C$2:C$822))))+1)))</f>
        <v>-</v>
      </c>
    </row>
    <row r="542" spans="1:14" x14ac:dyDescent="0.3">
      <c r="A542" s="4" t="str">
        <f>IF(ISNUMBER(SEARCH("World",'RawData'!C592)),"",'RawData'!A592)</f>
        <v>MCS2026</v>
      </c>
      <c r="B542" s="4" t="str">
        <f>IF(ISNUMBER(SEARCH("World",'RawData'!C592)),"",'RawData'!B592)</f>
        <v>Selenium</v>
      </c>
      <c r="C542" s="4" t="str">
        <f>IF(ISNUMBER(SEARCH("World",'RawData'!C592)),"",'RawData'!C592)</f>
        <v xml:space="preserve">Russia </v>
      </c>
      <c r="D542" s="4" t="str">
        <f>IF(ISNUMBER(SEARCH("World",'RawData'!C592)),"",'RawData'!D592)</f>
        <v>Refinery production, selenium content</v>
      </c>
      <c r="E542" s="4" t="str">
        <f>IF(ISNUMBER(SEARCH("World",'RawData'!C592)),"",IF('RawData'!E592="WT001","kg",IF('RawData'!E592="WT002","ton",IF('RawData'!E592="WT003","k ton",""))))</f>
        <v>ton</v>
      </c>
      <c r="F542" s="14">
        <f>IF(ISNUMBER(SEARCH("World",'RawData'!C592)),"",'RawData'!F592)</f>
        <v>310</v>
      </c>
      <c r="G542" s="14">
        <f>IF(ISNUMBER(SEARCH("World",'RawData'!C592)),"",'RawData'!G592)</f>
        <v>320</v>
      </c>
      <c r="H542" s="14">
        <f>IF(ISNUMBER(SEARCH("World",'RawData'!C592)),"",SUMIFS('RawData'!G:G,'RawData'!B:B,'RawData'!B592,'RawData'!C:C,"*World*"))</f>
        <v>3800</v>
      </c>
      <c r="I542" s="15">
        <f>IF(ISNUMBER(SEARCH("World",'RawData'!C592)),"",IFERROR(G542/H542,"-"))</f>
        <v>8.4210526315789472E-2</v>
      </c>
      <c r="J542" s="7">
        <f>IF(ISNUMBER(SEARCH("World",'RawData'!C592)),"",IF(ISNUMBER(SEARCH("Other",C542)),COUNTIFS('RawData'!B:B,B542,'RawData'!C:C,"&lt;&gt;*World*"),IF(OR(G542="",G542=0),"-",SUMPRODUCT(('RawData'!B$2:B$822=B542)*('RawData'!G$2:G$822&gt;G542)*(ISERROR(SEARCH("World",'RawData'!C$2:C$822)))*(ISERROR(SEARCH("Other",'RawData'!C$2:C$822))))+1)))</f>
        <v>3</v>
      </c>
      <c r="K542" s="14">
        <f>IF(ISNUMBER(SEARCH("World",'RawData'!C592)),"",'RawData'!H592)</f>
        <v>0</v>
      </c>
      <c r="L542" s="14">
        <f>IF(ISNUMBER(SEARCH("World",'RawData'!C592)),"",SUMIFS('RawData'!H:H,'RawData'!B:B,'RawData'!B592,'RawData'!C:C,"*World*"))</f>
        <v>0</v>
      </c>
      <c r="M542" s="15" t="str">
        <f>IF(ISNUMBER(SEARCH("World",'RawData'!C592)),"",IFERROR(K542/L542,"-"))</f>
        <v>-</v>
      </c>
      <c r="N542" s="7" t="str">
        <f>IF(ISNUMBER(SEARCH("World",'RawData'!C592)),"",IF(ISNUMBER(SEARCH("Other",C542)),COUNTIFS('RawData'!B:B,B542,'RawData'!C:C,"&lt;&gt;*World*"),IF(OR(K542="",K542=0),"-",SUMPRODUCT(('RawData'!B$2:B$822=B542)*('RawData'!H$2:H$822&gt;K542)*(ISERROR(SEARCH("World",'RawData'!C$2:C$822)))*(ISERROR(SEARCH("Other",'RawData'!C$2:C$822))))+1)))</f>
        <v>-</v>
      </c>
    </row>
    <row r="543" spans="1:14" x14ac:dyDescent="0.3">
      <c r="A543" s="4" t="str">
        <f>IF(ISNUMBER(SEARCH("World",'RawData'!C593)),"",'RawData'!A593)</f>
        <v>MCS2026</v>
      </c>
      <c r="B543" s="4" t="str">
        <f>IF(ISNUMBER(SEARCH("World",'RawData'!C593)),"",'RawData'!B593)</f>
        <v>Selenium</v>
      </c>
      <c r="C543" s="4" t="str">
        <f>IF(ISNUMBER(SEARCH("World",'RawData'!C593)),"",'RawData'!C593)</f>
        <v>Serbia</v>
      </c>
      <c r="D543" s="4" t="str">
        <f>IF(ISNUMBER(SEARCH("World",'RawData'!C593)),"",'RawData'!D593)</f>
        <v>Refinery production, selenium content</v>
      </c>
      <c r="E543" s="4" t="str">
        <f>IF(ISNUMBER(SEARCH("World",'RawData'!C593)),"",IF('RawData'!E593="WT001","kg",IF('RawData'!E593="WT002","ton",IF('RawData'!E593="WT003","k ton",""))))</f>
        <v>ton</v>
      </c>
      <c r="F543" s="14">
        <f>IF(ISNUMBER(SEARCH("World",'RawData'!C593)),"",'RawData'!F593)</f>
        <v>69</v>
      </c>
      <c r="G543" s="14">
        <f>IF(ISNUMBER(SEARCH("World",'RawData'!C593)),"",'RawData'!G593)</f>
        <v>71</v>
      </c>
      <c r="H543" s="14">
        <f>IF(ISNUMBER(SEARCH("World",'RawData'!C593)),"",SUMIFS('RawData'!G:G,'RawData'!B:B,'RawData'!B593,'RawData'!C:C,"*World*"))</f>
        <v>3800</v>
      </c>
      <c r="I543" s="15">
        <f>IF(ISNUMBER(SEARCH("World",'RawData'!C593)),"",IFERROR(G543/H543,"-"))</f>
        <v>1.8684210526315789E-2</v>
      </c>
      <c r="J543" s="7">
        <f>IF(ISNUMBER(SEARCH("World",'RawData'!C593)),"",IF(ISNUMBER(SEARCH("Other",C543)),COUNTIFS('RawData'!B:B,B543,'RawData'!C:C,"&lt;&gt;*World*"),IF(OR(G543="",G543=0),"-",SUMPRODUCT(('RawData'!B$2:B$822=B543)*('RawData'!G$2:G$822&gt;G543)*(ISERROR(SEARCH("World",'RawData'!C$2:C$822)))*(ISERROR(SEARCH("Other",'RawData'!C$2:C$822))))+1)))</f>
        <v>8</v>
      </c>
      <c r="K543" s="14">
        <f>IF(ISNUMBER(SEARCH("World",'RawData'!C593)),"",'RawData'!H593)</f>
        <v>0</v>
      </c>
      <c r="L543" s="14">
        <f>IF(ISNUMBER(SEARCH("World",'RawData'!C593)),"",SUMIFS('RawData'!H:H,'RawData'!B:B,'RawData'!B593,'RawData'!C:C,"*World*"))</f>
        <v>0</v>
      </c>
      <c r="M543" s="15" t="str">
        <f>IF(ISNUMBER(SEARCH("World",'RawData'!C593)),"",IFERROR(K543/L543,"-"))</f>
        <v>-</v>
      </c>
      <c r="N543" s="7" t="str">
        <f>IF(ISNUMBER(SEARCH("World",'RawData'!C593)),"",IF(ISNUMBER(SEARCH("Other",C543)),COUNTIFS('RawData'!B:B,B543,'RawData'!C:C,"&lt;&gt;*World*"),IF(OR(K543="",K543=0),"-",SUMPRODUCT(('RawData'!B$2:B$822=B543)*('RawData'!H$2:H$822&gt;K543)*(ISERROR(SEARCH("World",'RawData'!C$2:C$822)))*(ISERROR(SEARCH("Other",'RawData'!C$2:C$822))))+1)))</f>
        <v>-</v>
      </c>
    </row>
    <row r="544" spans="1:14" x14ac:dyDescent="0.3">
      <c r="A544" s="4" t="str">
        <f>IF(ISNUMBER(SEARCH("World",'RawData'!C594)),"",'RawData'!A594)</f>
        <v>MCS2026</v>
      </c>
      <c r="B544" s="4" t="str">
        <f>IF(ISNUMBER(SEARCH("World",'RawData'!C594)),"",'RawData'!B594)</f>
        <v>Selenium</v>
      </c>
      <c r="C544" s="4" t="str">
        <f>IF(ISNUMBER(SEARCH("World",'RawData'!C594)),"",'RawData'!C594)</f>
        <v xml:space="preserve">South Africa </v>
      </c>
      <c r="D544" s="4" t="str">
        <f>IF(ISNUMBER(SEARCH("World",'RawData'!C594)),"",'RawData'!D594)</f>
        <v>Refinery production, selenium content</v>
      </c>
      <c r="E544" s="4" t="str">
        <f>IF(ISNUMBER(SEARCH("World",'RawData'!C594)),"",IF('RawData'!E594="WT001","kg",IF('RawData'!E594="WT002","ton",IF('RawData'!E594="WT003","k ton",""))))</f>
        <v>ton</v>
      </c>
      <c r="F544" s="14">
        <f>IF(ISNUMBER(SEARCH("World",'RawData'!C594)),"",'RawData'!F594)</f>
        <v>11</v>
      </c>
      <c r="G544" s="14">
        <f>IF(ISNUMBER(SEARCH("World",'RawData'!C594)),"",'RawData'!G594)</f>
        <v>10</v>
      </c>
      <c r="H544" s="14">
        <f>IF(ISNUMBER(SEARCH("World",'RawData'!C594)),"",SUMIFS('RawData'!G:G,'RawData'!B:B,'RawData'!B594,'RawData'!C:C,"*World*"))</f>
        <v>3800</v>
      </c>
      <c r="I544" s="15">
        <f>IF(ISNUMBER(SEARCH("World",'RawData'!C594)),"",IFERROR(G544/H544,"-"))</f>
        <v>2.631578947368421E-3</v>
      </c>
      <c r="J544" s="7">
        <f>IF(ISNUMBER(SEARCH("World",'RawData'!C594)),"",IF(ISNUMBER(SEARCH("Other",C544)),COUNTIFS('RawData'!B:B,B544,'RawData'!C:C,"&lt;&gt;*World*"),IF(OR(G544="",G544=0),"-",SUMPRODUCT(('RawData'!B$2:B$822=B544)*('RawData'!G$2:G$822&gt;G544)*(ISERROR(SEARCH("World",'RawData'!C$2:C$822)))*(ISERROR(SEARCH("Other",'RawData'!C$2:C$822))))+1)))</f>
        <v>15</v>
      </c>
      <c r="K544" s="14">
        <f>IF(ISNUMBER(SEARCH("World",'RawData'!C594)),"",'RawData'!H594)</f>
        <v>0</v>
      </c>
      <c r="L544" s="14">
        <f>IF(ISNUMBER(SEARCH("World",'RawData'!C594)),"",SUMIFS('RawData'!H:H,'RawData'!B:B,'RawData'!B594,'RawData'!C:C,"*World*"))</f>
        <v>0</v>
      </c>
      <c r="M544" s="15" t="str">
        <f>IF(ISNUMBER(SEARCH("World",'RawData'!C594)),"",IFERROR(K544/L544,"-"))</f>
        <v>-</v>
      </c>
      <c r="N544" s="7" t="str">
        <f>IF(ISNUMBER(SEARCH("World",'RawData'!C594)),"",IF(ISNUMBER(SEARCH("Other",C544)),COUNTIFS('RawData'!B:B,B544,'RawData'!C:C,"&lt;&gt;*World*"),IF(OR(K544="",K544=0),"-",SUMPRODUCT(('RawData'!B$2:B$822=B544)*('RawData'!H$2:H$822&gt;K544)*(ISERROR(SEARCH("World",'RawData'!C$2:C$822)))*(ISERROR(SEARCH("Other",'RawData'!C$2:C$822))))+1)))</f>
        <v>-</v>
      </c>
    </row>
    <row r="545" spans="1:14" x14ac:dyDescent="0.3">
      <c r="A545" s="4" t="str">
        <f>IF(ISNUMBER(SEARCH("World",'RawData'!C595)),"",'RawData'!A595)</f>
        <v>MCS2026</v>
      </c>
      <c r="B545" s="4" t="str">
        <f>IF(ISNUMBER(SEARCH("World",'RawData'!C595)),"",'RawData'!B595)</f>
        <v>Selenium</v>
      </c>
      <c r="C545" s="4" t="str">
        <f>IF(ISNUMBER(SEARCH("World",'RawData'!C595)),"",'RawData'!C595)</f>
        <v>United States</v>
      </c>
      <c r="D545" s="4" t="str">
        <f>IF(ISNUMBER(SEARCH("World",'RawData'!C595)),"",'RawData'!D595)</f>
        <v>Refinery production, selenium content</v>
      </c>
      <c r="E545" s="4" t="str">
        <f>IF(ISNUMBER(SEARCH("World",'RawData'!C595)),"",IF('RawData'!E595="WT001","kg",IF('RawData'!E595="WT002","ton",IF('RawData'!E595="WT003","k ton",""))))</f>
        <v>ton</v>
      </c>
      <c r="F545" s="14">
        <f>IF(ISNUMBER(SEARCH("World",'RawData'!C595)),"",'RawData'!F595)</f>
        <v>0</v>
      </c>
      <c r="G545" s="14">
        <f>IF(ISNUMBER(SEARCH("World",'RawData'!C595)),"",'RawData'!G595)</f>
        <v>0</v>
      </c>
      <c r="H545" s="14">
        <f>IF(ISNUMBER(SEARCH("World",'RawData'!C595)),"",SUMIFS('RawData'!G:G,'RawData'!B:B,'RawData'!B595,'RawData'!C:C,"*World*"))</f>
        <v>3800</v>
      </c>
      <c r="I545" s="15">
        <f>IF(ISNUMBER(SEARCH("World",'RawData'!C595)),"",IFERROR(G545/H545,"-"))</f>
        <v>0</v>
      </c>
      <c r="J545" s="7" t="str">
        <f>IF(ISNUMBER(SEARCH("World",'RawData'!C595)),"",IF(ISNUMBER(SEARCH("Other",C545)),COUNTIFS('RawData'!B:B,B545,'RawData'!C:C,"&lt;&gt;*World*"),IF(OR(G545="",G545=0),"-",SUMPRODUCT(('RawData'!B$2:B$822=B545)*('RawData'!G$2:G$822&gt;G545)*(ISERROR(SEARCH("World",'RawData'!C$2:C$822)))*(ISERROR(SEARCH("Other",'RawData'!C$2:C$822))))+1)))</f>
        <v>-</v>
      </c>
      <c r="K545" s="14">
        <f>IF(ISNUMBER(SEARCH("World",'RawData'!C595)),"",'RawData'!H595)</f>
        <v>0</v>
      </c>
      <c r="L545" s="14">
        <f>IF(ISNUMBER(SEARCH("World",'RawData'!C595)),"",SUMIFS('RawData'!H:H,'RawData'!B:B,'RawData'!B595,'RawData'!C:C,"*World*"))</f>
        <v>0</v>
      </c>
      <c r="M545" s="15" t="str">
        <f>IF(ISNUMBER(SEARCH("World",'RawData'!C595)),"",IFERROR(K545/L545,"-"))</f>
        <v>-</v>
      </c>
      <c r="N545" s="7" t="str">
        <f>IF(ISNUMBER(SEARCH("World",'RawData'!C595)),"",IF(ISNUMBER(SEARCH("Other",C545)),COUNTIFS('RawData'!B:B,B545,'RawData'!C:C,"&lt;&gt;*World*"),IF(OR(K545="",K545=0),"-",SUMPRODUCT(('RawData'!B$2:B$822=B545)*('RawData'!H$2:H$822&gt;K545)*(ISERROR(SEARCH("World",'RawData'!C$2:C$822)))*(ISERROR(SEARCH("Other",'RawData'!C$2:C$822))))+1)))</f>
        <v>-</v>
      </c>
    </row>
    <row r="546" spans="1:14" x14ac:dyDescent="0.3">
      <c r="A546" s="4" t="str">
        <f>IF(ISNUMBER(SEARCH("World",'RawData'!C596)),"",'RawData'!A596)</f>
        <v>MCS2026</v>
      </c>
      <c r="B546" s="4" t="str">
        <f>IF(ISNUMBER(SEARCH("World",'RawData'!C596)),"",'RawData'!B596)</f>
        <v>Selenium</v>
      </c>
      <c r="C546" s="4" t="str">
        <f>IF(ISNUMBER(SEARCH("World",'RawData'!C596)),"",'RawData'!C596)</f>
        <v>Uzbekistan</v>
      </c>
      <c r="D546" s="4" t="str">
        <f>IF(ISNUMBER(SEARCH("World",'RawData'!C596)),"",'RawData'!D596)</f>
        <v>Refinery production, selenium content</v>
      </c>
      <c r="E546" s="4" t="str">
        <f>IF(ISNUMBER(SEARCH("World",'RawData'!C596)),"",IF('RawData'!E596="WT001","kg",IF('RawData'!E596="WT002","ton",IF('RawData'!E596="WT003","k ton",""))))</f>
        <v>ton</v>
      </c>
      <c r="F546" s="14">
        <f>IF(ISNUMBER(SEARCH("World",'RawData'!C596)),"",'RawData'!F596)</f>
        <v>2</v>
      </c>
      <c r="G546" s="14">
        <f>IF(ISNUMBER(SEARCH("World",'RawData'!C596)),"",'RawData'!G596)</f>
        <v>2</v>
      </c>
      <c r="H546" s="14">
        <f>IF(ISNUMBER(SEARCH("World",'RawData'!C596)),"",SUMIFS('RawData'!G:G,'RawData'!B:B,'RawData'!B596,'RawData'!C:C,"*World*"))</f>
        <v>3800</v>
      </c>
      <c r="I546" s="15">
        <f>IF(ISNUMBER(SEARCH("World",'RawData'!C596)),"",IFERROR(G546/H546,"-"))</f>
        <v>5.263157894736842E-4</v>
      </c>
      <c r="J546" s="7">
        <f>IF(ISNUMBER(SEARCH("World",'RawData'!C596)),"",IF(ISNUMBER(SEARCH("Other",C546)),COUNTIFS('RawData'!B:B,B546,'RawData'!C:C,"&lt;&gt;*World*"),IF(OR(G546="",G546=0),"-",SUMPRODUCT(('RawData'!B$2:B$822=B546)*('RawData'!G$2:G$822&gt;G546)*(ISERROR(SEARCH("World",'RawData'!C$2:C$822)))*(ISERROR(SEARCH("Other",'RawData'!C$2:C$822))))+1)))</f>
        <v>16</v>
      </c>
      <c r="K546" s="14">
        <f>IF(ISNUMBER(SEARCH("World",'RawData'!C596)),"",'RawData'!H596)</f>
        <v>0</v>
      </c>
      <c r="L546" s="14">
        <f>IF(ISNUMBER(SEARCH("World",'RawData'!C596)),"",SUMIFS('RawData'!H:H,'RawData'!B:B,'RawData'!B596,'RawData'!C:C,"*World*"))</f>
        <v>0</v>
      </c>
      <c r="M546" s="15" t="str">
        <f>IF(ISNUMBER(SEARCH("World",'RawData'!C596)),"",IFERROR(K546/L546,"-"))</f>
        <v>-</v>
      </c>
      <c r="N546" s="7" t="str">
        <f>IF(ISNUMBER(SEARCH("World",'RawData'!C596)),"",IF(ISNUMBER(SEARCH("Other",C546)),COUNTIFS('RawData'!B:B,B546,'RawData'!C:C,"&lt;&gt;*World*"),IF(OR(K546="",K546=0),"-",SUMPRODUCT(('RawData'!B$2:B$822=B546)*('RawData'!H$2:H$822&gt;K546)*(ISERROR(SEARCH("World",'RawData'!C$2:C$822)))*(ISERROR(SEARCH("Other",'RawData'!C$2:C$822))))+1)))</f>
        <v>-</v>
      </c>
    </row>
    <row r="547" spans="1:14" x14ac:dyDescent="0.3">
      <c r="A547" s="4" t="str">
        <f>IF(ISNUMBER(SEARCH("World",'RawData'!C598)),"",'RawData'!A598)</f>
        <v>MCS2026</v>
      </c>
      <c r="B547" s="4" t="str">
        <f>IF(ISNUMBER(SEARCH("World",'RawData'!C598)),"",'RawData'!B598)</f>
        <v>Silicon</v>
      </c>
      <c r="C547" s="4" t="str">
        <f>IF(ISNUMBER(SEARCH("World",'RawData'!C598)),"",'RawData'!C598)</f>
        <v>Australia</v>
      </c>
      <c r="D547" s="4" t="str">
        <f>IF(ISNUMBER(SEARCH("World",'RawData'!C598)),"",'RawData'!D598)</f>
        <v>Plant production, Ferosilicon, silicon content + 메탈 합산</v>
      </c>
      <c r="E547" s="4" t="str">
        <f>IF(ISNUMBER(SEARCH("World",'RawData'!C598)),"",IF('RawData'!E598="WT001","kg",IF('RawData'!E598="WT002","ton",IF('RawData'!E598="WT003","k ton",""))))</f>
        <v>k ton</v>
      </c>
      <c r="F547" s="14">
        <f>IF(ISNUMBER(SEARCH("World",'RawData'!C598)),"",'RawData'!F598)</f>
        <v>47</v>
      </c>
      <c r="G547" s="14">
        <f>IF(ISNUMBER(SEARCH("World",'RawData'!C598)),"",'RawData'!G598)</f>
        <v>47</v>
      </c>
      <c r="H547" s="14">
        <f>IF(ISNUMBER(SEARCH("World",'RawData'!C598)),"",SUMIFS('RawData'!G:G,'RawData'!B:B,'RawData'!B598,'RawData'!C:C,"*World*"))</f>
        <v>9600</v>
      </c>
      <c r="I547" s="15">
        <f>IF(ISNUMBER(SEARCH("World",'RawData'!C598)),"",IFERROR(G547/H547,"-"))</f>
        <v>4.8958333333333336E-3</v>
      </c>
      <c r="J547" s="7">
        <f>IF(ISNUMBER(SEARCH("World",'RawData'!C598)),"",IF(ISNUMBER(SEARCH("Other",C547)),COUNTIFS('RawData'!B:B,B547,'RawData'!C:C,"&lt;&gt;*World*"),IF(OR(G547="",G547=0),"-",SUMPRODUCT(('RawData'!B$2:B$822=B547)*('RawData'!G$2:G$822&gt;G547)*(ISERROR(SEARCH("World",'RawData'!C$2:C$822)))*(ISERROR(SEARCH("Other",'RawData'!C$2:C$822))))+1)))</f>
        <v>12</v>
      </c>
      <c r="K547" s="14">
        <f>IF(ISNUMBER(SEARCH("World",'RawData'!C598)),"",'RawData'!H598)</f>
        <v>0</v>
      </c>
      <c r="L547" s="14">
        <f>IF(ISNUMBER(SEARCH("World",'RawData'!C598)),"",SUMIFS('RawData'!H:H,'RawData'!B:B,'RawData'!B598,'RawData'!C:C,"*World*"))</f>
        <v>0</v>
      </c>
      <c r="M547" s="15" t="str">
        <f>IF(ISNUMBER(SEARCH("World",'RawData'!C598)),"",IFERROR(K547/L547,"-"))</f>
        <v>-</v>
      </c>
      <c r="N547" s="7" t="str">
        <f>IF(ISNUMBER(SEARCH("World",'RawData'!C598)),"",IF(ISNUMBER(SEARCH("Other",C547)),COUNTIFS('RawData'!B:B,B547,'RawData'!C:C,"&lt;&gt;*World*"),IF(OR(K547="",K547=0),"-",SUMPRODUCT(('RawData'!B$2:B$822=B547)*('RawData'!H$2:H$822&gt;K547)*(ISERROR(SEARCH("World",'RawData'!C$2:C$822)))*(ISERROR(SEARCH("Other",'RawData'!C$2:C$822))))+1)))</f>
        <v>-</v>
      </c>
    </row>
    <row r="548" spans="1:14" x14ac:dyDescent="0.3">
      <c r="A548" s="4" t="str">
        <f>IF(ISNUMBER(SEARCH("World",'RawData'!C599)),"",'RawData'!A599)</f>
        <v>MCS2026</v>
      </c>
      <c r="B548" s="4" t="str">
        <f>IF(ISNUMBER(SEARCH("World",'RawData'!C599)),"",'RawData'!B599)</f>
        <v>Silicon</v>
      </c>
      <c r="C548" s="4" t="str">
        <f>IF(ISNUMBER(SEARCH("World",'RawData'!C599)),"",'RawData'!C599)</f>
        <v>Bhutan</v>
      </c>
      <c r="D548" s="4" t="str">
        <f>IF(ISNUMBER(SEARCH("World",'RawData'!C599)),"",'RawData'!D599)</f>
        <v>Plant production, Ferosilicon, silicon content + 메탈 합산</v>
      </c>
      <c r="E548" s="4" t="str">
        <f>IF(ISNUMBER(SEARCH("World",'RawData'!C599)),"",IF('RawData'!E599="WT001","kg",IF('RawData'!E599="WT002","ton",IF('RawData'!E599="WT003","k ton",""))))</f>
        <v>k ton</v>
      </c>
      <c r="F548" s="14">
        <f>IF(ISNUMBER(SEARCH("World",'RawData'!C599)),"",'RawData'!F599)</f>
        <v>98</v>
      </c>
      <c r="G548" s="14">
        <f>IF(ISNUMBER(SEARCH("World",'RawData'!C599)),"",'RawData'!G599)</f>
        <v>98</v>
      </c>
      <c r="H548" s="14">
        <f>IF(ISNUMBER(SEARCH("World",'RawData'!C599)),"",SUMIFS('RawData'!G:G,'RawData'!B:B,'RawData'!B599,'RawData'!C:C,"*World*"))</f>
        <v>9600</v>
      </c>
      <c r="I548" s="15">
        <f>IF(ISNUMBER(SEARCH("World",'RawData'!C599)),"",IFERROR(G548/H548,"-"))</f>
        <v>1.0208333333333333E-2</v>
      </c>
      <c r="J548" s="7">
        <f>IF(ISNUMBER(SEARCH("World",'RawData'!C599)),"",IF(ISNUMBER(SEARCH("Other",C548)),COUNTIFS('RawData'!B:B,B548,'RawData'!C:C,"&lt;&gt;*World*"),IF(OR(G548="",G548=0),"-",SUMPRODUCT(('RawData'!B$2:B$822=B548)*('RawData'!G$2:G$822&gt;G548)*(ISERROR(SEARCH("World",'RawData'!C$2:C$822)))*(ISERROR(SEARCH("Other",'RawData'!C$2:C$822))))+1)))</f>
        <v>7</v>
      </c>
      <c r="K548" s="14">
        <f>IF(ISNUMBER(SEARCH("World",'RawData'!C599)),"",'RawData'!H599)</f>
        <v>0</v>
      </c>
      <c r="L548" s="14">
        <f>IF(ISNUMBER(SEARCH("World",'RawData'!C599)),"",SUMIFS('RawData'!H:H,'RawData'!B:B,'RawData'!B599,'RawData'!C:C,"*World*"))</f>
        <v>0</v>
      </c>
      <c r="M548" s="15" t="str">
        <f>IF(ISNUMBER(SEARCH("World",'RawData'!C599)),"",IFERROR(K548/L548,"-"))</f>
        <v>-</v>
      </c>
      <c r="N548" s="7" t="str">
        <f>IF(ISNUMBER(SEARCH("World",'RawData'!C599)),"",IF(ISNUMBER(SEARCH("Other",C548)),COUNTIFS('RawData'!B:B,B548,'RawData'!C:C,"&lt;&gt;*World*"),IF(OR(K548="",K548=0),"-",SUMPRODUCT(('RawData'!B$2:B$822=B548)*('RawData'!H$2:H$822&gt;K548)*(ISERROR(SEARCH("World",'RawData'!C$2:C$822)))*(ISERROR(SEARCH("Other",'RawData'!C$2:C$822))))+1)))</f>
        <v>-</v>
      </c>
    </row>
    <row r="549" spans="1:14" x14ac:dyDescent="0.3">
      <c r="A549" s="4" t="str">
        <f>IF(ISNUMBER(SEARCH("World",'RawData'!C600)),"",'RawData'!A600)</f>
        <v>MCS2026</v>
      </c>
      <c r="B549" s="4" t="str">
        <f>IF(ISNUMBER(SEARCH("World",'RawData'!C600)),"",'RawData'!B600)</f>
        <v>Silicon</v>
      </c>
      <c r="C549" s="4" t="str">
        <f>IF(ISNUMBER(SEARCH("World",'RawData'!C600)),"",'RawData'!C600)</f>
        <v>Brazil</v>
      </c>
      <c r="D549" s="4" t="str">
        <f>IF(ISNUMBER(SEARCH("World",'RawData'!C600)),"",'RawData'!D600)</f>
        <v>Plant production, Ferosilicon, silicon content + 메탈 합산</v>
      </c>
      <c r="E549" s="4" t="str">
        <f>IF(ISNUMBER(SEARCH("World",'RawData'!C600)),"",IF('RawData'!E600="WT001","kg",IF('RawData'!E600="WT002","ton",IF('RawData'!E600="WT003","k ton",""))))</f>
        <v>k ton</v>
      </c>
      <c r="F549" s="14">
        <f>IF(ISNUMBER(SEARCH("World",'RawData'!C600)),"",'RawData'!F600)</f>
        <v>350</v>
      </c>
      <c r="G549" s="14">
        <f>IF(ISNUMBER(SEARCH("World",'RawData'!C600)),"",'RawData'!G600)</f>
        <v>350</v>
      </c>
      <c r="H549" s="14">
        <f>IF(ISNUMBER(SEARCH("World",'RawData'!C600)),"",SUMIFS('RawData'!G:G,'RawData'!B:B,'RawData'!B600,'RawData'!C:C,"*World*"))</f>
        <v>9600</v>
      </c>
      <c r="I549" s="15">
        <f>IF(ISNUMBER(SEARCH("World",'RawData'!C600)),"",IFERROR(G549/H549,"-"))</f>
        <v>3.6458333333333336E-2</v>
      </c>
      <c r="J549" s="7">
        <f>IF(ISNUMBER(SEARCH("World",'RawData'!C600)),"",IF(ISNUMBER(SEARCH("Other",C549)),COUNTIFS('RawData'!B:B,B549,'RawData'!C:C,"&lt;&gt;*World*"),IF(OR(G549="",G549=0),"-",SUMPRODUCT(('RawData'!B$2:B$822=B549)*('RawData'!G$2:G$822&gt;G549)*(ISERROR(SEARCH("World",'RawData'!C$2:C$822)))*(ISERROR(SEARCH("Other",'RawData'!C$2:C$822))))+1)))</f>
        <v>3</v>
      </c>
      <c r="K549" s="14">
        <f>IF(ISNUMBER(SEARCH("World",'RawData'!C600)),"",'RawData'!H600)</f>
        <v>0</v>
      </c>
      <c r="L549" s="14">
        <f>IF(ISNUMBER(SEARCH("World",'RawData'!C600)),"",SUMIFS('RawData'!H:H,'RawData'!B:B,'RawData'!B600,'RawData'!C:C,"*World*"))</f>
        <v>0</v>
      </c>
      <c r="M549" s="15" t="str">
        <f>IF(ISNUMBER(SEARCH("World",'RawData'!C600)),"",IFERROR(K549/L549,"-"))</f>
        <v>-</v>
      </c>
      <c r="N549" s="7" t="str">
        <f>IF(ISNUMBER(SEARCH("World",'RawData'!C600)),"",IF(ISNUMBER(SEARCH("Other",C549)),COUNTIFS('RawData'!B:B,B549,'RawData'!C:C,"&lt;&gt;*World*"),IF(OR(K549="",K549=0),"-",SUMPRODUCT(('RawData'!B$2:B$822=B549)*('RawData'!H$2:H$822&gt;K549)*(ISERROR(SEARCH("World",'RawData'!C$2:C$822)))*(ISERROR(SEARCH("Other",'RawData'!C$2:C$822))))+1)))</f>
        <v>-</v>
      </c>
    </row>
    <row r="550" spans="1:14" x14ac:dyDescent="0.3">
      <c r="A550" s="4" t="str">
        <f>IF(ISNUMBER(SEARCH("World",'RawData'!C601)),"",'RawData'!A601)</f>
        <v>MCS2026</v>
      </c>
      <c r="B550" s="4" t="str">
        <f>IF(ISNUMBER(SEARCH("World",'RawData'!C601)),"",'RawData'!B601)</f>
        <v>Silicon</v>
      </c>
      <c r="C550" s="4" t="str">
        <f>IF(ISNUMBER(SEARCH("World",'RawData'!C601)),"",'RawData'!C601)</f>
        <v xml:space="preserve">Canada </v>
      </c>
      <c r="D550" s="4" t="str">
        <f>IF(ISNUMBER(SEARCH("World",'RawData'!C601)),"",'RawData'!D601)</f>
        <v>Plant production, Ferosilicon, silicon content + 메탈 합산</v>
      </c>
      <c r="E550" s="4" t="str">
        <f>IF(ISNUMBER(SEARCH("World",'RawData'!C601)),"",IF('RawData'!E601="WT001","kg",IF('RawData'!E601="WT002","ton",IF('RawData'!E601="WT003","k ton",""))))</f>
        <v>k ton</v>
      </c>
      <c r="F550" s="14">
        <f>IF(ISNUMBER(SEARCH("World",'RawData'!C601)),"",'RawData'!F601)</f>
        <v>57</v>
      </c>
      <c r="G550" s="14">
        <f>IF(ISNUMBER(SEARCH("World",'RawData'!C601)),"",'RawData'!G601)</f>
        <v>57</v>
      </c>
      <c r="H550" s="14">
        <f>IF(ISNUMBER(SEARCH("World",'RawData'!C601)),"",SUMIFS('RawData'!G:G,'RawData'!B:B,'RawData'!B601,'RawData'!C:C,"*World*"))</f>
        <v>9600</v>
      </c>
      <c r="I550" s="15">
        <f>IF(ISNUMBER(SEARCH("World",'RawData'!C601)),"",IFERROR(G550/H550,"-"))</f>
        <v>5.9375000000000001E-3</v>
      </c>
      <c r="J550" s="7">
        <f>IF(ISNUMBER(SEARCH("World",'RawData'!C601)),"",IF(ISNUMBER(SEARCH("Other",C550)),COUNTIFS('RawData'!B:B,B550,'RawData'!C:C,"&lt;&gt;*World*"),IF(OR(G550="",G550=0),"-",SUMPRODUCT(('RawData'!B$2:B$822=B550)*('RawData'!G$2:G$822&gt;G550)*(ISERROR(SEARCH("World",'RawData'!C$2:C$822)))*(ISERROR(SEARCH("Other",'RawData'!C$2:C$822))))+1)))</f>
        <v>11</v>
      </c>
      <c r="K550" s="14">
        <f>IF(ISNUMBER(SEARCH("World",'RawData'!C601)),"",'RawData'!H601)</f>
        <v>0</v>
      </c>
      <c r="L550" s="14">
        <f>IF(ISNUMBER(SEARCH("World",'RawData'!C601)),"",SUMIFS('RawData'!H:H,'RawData'!B:B,'RawData'!B601,'RawData'!C:C,"*World*"))</f>
        <v>0</v>
      </c>
      <c r="M550" s="15" t="str">
        <f>IF(ISNUMBER(SEARCH("World",'RawData'!C601)),"",IFERROR(K550/L550,"-"))</f>
        <v>-</v>
      </c>
      <c r="N550" s="7" t="str">
        <f>IF(ISNUMBER(SEARCH("World",'RawData'!C601)),"",IF(ISNUMBER(SEARCH("Other",C550)),COUNTIFS('RawData'!B:B,B550,'RawData'!C:C,"&lt;&gt;*World*"),IF(OR(K550="",K550=0),"-",SUMPRODUCT(('RawData'!B$2:B$822=B550)*('RawData'!H$2:H$822&gt;K550)*(ISERROR(SEARCH("World",'RawData'!C$2:C$822)))*(ISERROR(SEARCH("Other",'RawData'!C$2:C$822))))+1)))</f>
        <v>-</v>
      </c>
    </row>
    <row r="551" spans="1:14" x14ac:dyDescent="0.3">
      <c r="A551" s="4" t="str">
        <f>IF(ISNUMBER(SEARCH("World",'RawData'!C602)),"",'RawData'!A602)</f>
        <v>MCS2026</v>
      </c>
      <c r="B551" s="4" t="str">
        <f>IF(ISNUMBER(SEARCH("World",'RawData'!C602)),"",'RawData'!B602)</f>
        <v>Silicon</v>
      </c>
      <c r="C551" s="4" t="str">
        <f>IF(ISNUMBER(SEARCH("World",'RawData'!C602)),"",'RawData'!C602)</f>
        <v>China</v>
      </c>
      <c r="D551" s="4" t="str">
        <f>IF(ISNUMBER(SEARCH("World",'RawData'!C602)),"",'RawData'!D602)</f>
        <v>Plant production, Ferosilicon, silicon content + 메탈 합산</v>
      </c>
      <c r="E551" s="4" t="str">
        <f>IF(ISNUMBER(SEARCH("World",'RawData'!C602)),"",IF('RawData'!E602="WT001","kg",IF('RawData'!E602="WT002","ton",IF('RawData'!E602="WT003","k ton",""))))</f>
        <v>k ton</v>
      </c>
      <c r="F551" s="14">
        <f>IF(ISNUMBER(SEARCH("World",'RawData'!C602)),"",'RawData'!F602)</f>
        <v>7900</v>
      </c>
      <c r="G551" s="14">
        <f>IF(ISNUMBER(SEARCH("World",'RawData'!C602)),"",'RawData'!G602)</f>
        <v>7500</v>
      </c>
      <c r="H551" s="14">
        <f>IF(ISNUMBER(SEARCH("World",'RawData'!C602)),"",SUMIFS('RawData'!G:G,'RawData'!B:B,'RawData'!B602,'RawData'!C:C,"*World*"))</f>
        <v>9600</v>
      </c>
      <c r="I551" s="15">
        <f>IF(ISNUMBER(SEARCH("World",'RawData'!C602)),"",IFERROR(G551/H551,"-"))</f>
        <v>0.78125</v>
      </c>
      <c r="J551" s="7">
        <f>IF(ISNUMBER(SEARCH("World",'RawData'!C602)),"",IF(ISNUMBER(SEARCH("Other",C551)),COUNTIFS('RawData'!B:B,B551,'RawData'!C:C,"&lt;&gt;*World*"),IF(OR(G551="",G551=0),"-",SUMPRODUCT(('RawData'!B$2:B$822=B551)*('RawData'!G$2:G$822&gt;G551)*(ISERROR(SEARCH("World",'RawData'!C$2:C$822)))*(ISERROR(SEARCH("Other",'RawData'!C$2:C$822))))+1)))</f>
        <v>1</v>
      </c>
      <c r="K551" s="14">
        <f>IF(ISNUMBER(SEARCH("World",'RawData'!C602)),"",'RawData'!H602)</f>
        <v>0</v>
      </c>
      <c r="L551" s="14">
        <f>IF(ISNUMBER(SEARCH("World",'RawData'!C602)),"",SUMIFS('RawData'!H:H,'RawData'!B:B,'RawData'!B602,'RawData'!C:C,"*World*"))</f>
        <v>0</v>
      </c>
      <c r="M551" s="15" t="str">
        <f>IF(ISNUMBER(SEARCH("World",'RawData'!C602)),"",IFERROR(K551/L551,"-"))</f>
        <v>-</v>
      </c>
      <c r="N551" s="7" t="str">
        <f>IF(ISNUMBER(SEARCH("World",'RawData'!C602)),"",IF(ISNUMBER(SEARCH("Other",C551)),COUNTIFS('RawData'!B:B,B551,'RawData'!C:C,"&lt;&gt;*World*"),IF(OR(K551="",K551=0),"-",SUMPRODUCT(('RawData'!B$2:B$822=B551)*('RawData'!H$2:H$822&gt;K551)*(ISERROR(SEARCH("World",'RawData'!C$2:C$822)))*(ISERROR(SEARCH("Other",'RawData'!C$2:C$822))))+1)))</f>
        <v>-</v>
      </c>
    </row>
    <row r="552" spans="1:14" x14ac:dyDescent="0.3">
      <c r="A552" s="4" t="str">
        <f>IF(ISNUMBER(SEARCH("World",'RawData'!C603)),"",'RawData'!A603)</f>
        <v>MCS2026</v>
      </c>
      <c r="B552" s="4" t="str">
        <f>IF(ISNUMBER(SEARCH("World",'RawData'!C603)),"",'RawData'!B603)</f>
        <v>Silicon</v>
      </c>
      <c r="C552" s="4" t="str">
        <f>IF(ISNUMBER(SEARCH("World",'RawData'!C603)),"",'RawData'!C603)</f>
        <v>France</v>
      </c>
      <c r="D552" s="4" t="str">
        <f>IF(ISNUMBER(SEARCH("World",'RawData'!C603)),"",'RawData'!D603)</f>
        <v>Plant production, Ferosilicon, silicon content + 메탈 합산</v>
      </c>
      <c r="E552" s="4" t="str">
        <f>IF(ISNUMBER(SEARCH("World",'RawData'!C603)),"",IF('RawData'!E603="WT001","kg",IF('RawData'!E603="WT002","ton",IF('RawData'!E603="WT003","k ton",""))))</f>
        <v>k ton</v>
      </c>
      <c r="F552" s="14">
        <f>IF(ISNUMBER(SEARCH("World",'RawData'!C603)),"",'RawData'!F603)</f>
        <v>111</v>
      </c>
      <c r="G552" s="14">
        <f>IF(ISNUMBER(SEARCH("World",'RawData'!C603)),"",'RawData'!G603)</f>
        <v>89</v>
      </c>
      <c r="H552" s="14">
        <f>IF(ISNUMBER(SEARCH("World",'RawData'!C603)),"",SUMIFS('RawData'!G:G,'RawData'!B:B,'RawData'!B603,'RawData'!C:C,"*World*"))</f>
        <v>9600</v>
      </c>
      <c r="I552" s="15">
        <f>IF(ISNUMBER(SEARCH("World",'RawData'!C603)),"",IFERROR(G552/H552,"-"))</f>
        <v>9.2708333333333341E-3</v>
      </c>
      <c r="J552" s="7">
        <f>IF(ISNUMBER(SEARCH("World",'RawData'!C603)),"",IF(ISNUMBER(SEARCH("Other",C552)),COUNTIFS('RawData'!B:B,B552,'RawData'!C:C,"&lt;&gt;*World*"),IF(OR(G552="",G552=0),"-",SUMPRODUCT(('RawData'!B$2:B$822=B552)*('RawData'!G$2:G$822&gt;G552)*(ISERROR(SEARCH("World",'RawData'!C$2:C$822)))*(ISERROR(SEARCH("Other",'RawData'!C$2:C$822))))+1)))</f>
        <v>8</v>
      </c>
      <c r="K552" s="14">
        <f>IF(ISNUMBER(SEARCH("World",'RawData'!C603)),"",'RawData'!H603)</f>
        <v>0</v>
      </c>
      <c r="L552" s="14">
        <f>IF(ISNUMBER(SEARCH("World",'RawData'!C603)),"",SUMIFS('RawData'!H:H,'RawData'!B:B,'RawData'!B603,'RawData'!C:C,"*World*"))</f>
        <v>0</v>
      </c>
      <c r="M552" s="15" t="str">
        <f>IF(ISNUMBER(SEARCH("World",'RawData'!C603)),"",IFERROR(K552/L552,"-"))</f>
        <v>-</v>
      </c>
      <c r="N552" s="7" t="str">
        <f>IF(ISNUMBER(SEARCH("World",'RawData'!C603)),"",IF(ISNUMBER(SEARCH("Other",C552)),COUNTIFS('RawData'!B:B,B552,'RawData'!C:C,"&lt;&gt;*World*"),IF(OR(K552="",K552=0),"-",SUMPRODUCT(('RawData'!B$2:B$822=B552)*('RawData'!H$2:H$822&gt;K552)*(ISERROR(SEARCH("World",'RawData'!C$2:C$822)))*(ISERROR(SEARCH("Other",'RawData'!C$2:C$822))))+1)))</f>
        <v>-</v>
      </c>
    </row>
    <row r="553" spans="1:14" x14ac:dyDescent="0.3">
      <c r="A553" s="4" t="str">
        <f>IF(ISNUMBER(SEARCH("World",'RawData'!C604)),"",'RawData'!A604)</f>
        <v>MCS2026</v>
      </c>
      <c r="B553" s="4" t="str">
        <f>IF(ISNUMBER(SEARCH("World",'RawData'!C604)),"",'RawData'!B604)</f>
        <v>Silicon</v>
      </c>
      <c r="C553" s="4" t="str">
        <f>IF(ISNUMBER(SEARCH("World",'RawData'!C604)),"",'RawData'!C604)</f>
        <v>Germany</v>
      </c>
      <c r="D553" s="4" t="str">
        <f>IF(ISNUMBER(SEARCH("World",'RawData'!C604)),"",'RawData'!D604)</f>
        <v>Plant production, Ferosilicon, silicon content + 메탈 합산</v>
      </c>
      <c r="E553" s="4" t="str">
        <f>IF(ISNUMBER(SEARCH("World",'RawData'!C604)),"",IF('RawData'!E604="WT001","kg",IF('RawData'!E604="WT002","ton",IF('RawData'!E604="WT003","k ton",""))))</f>
        <v>k ton</v>
      </c>
      <c r="F553" s="14">
        <f>IF(ISNUMBER(SEARCH("World",'RawData'!C604)),"",'RawData'!F604)</f>
        <v>29</v>
      </c>
      <c r="G553" s="14">
        <f>IF(ISNUMBER(SEARCH("World",'RawData'!C604)),"",'RawData'!G604)</f>
        <v>13</v>
      </c>
      <c r="H553" s="14">
        <f>IF(ISNUMBER(SEARCH("World",'RawData'!C604)),"",SUMIFS('RawData'!G:G,'RawData'!B:B,'RawData'!B604,'RawData'!C:C,"*World*"))</f>
        <v>9600</v>
      </c>
      <c r="I553" s="15">
        <f>IF(ISNUMBER(SEARCH("World",'RawData'!C604)),"",IFERROR(G553/H553,"-"))</f>
        <v>1.3541666666666667E-3</v>
      </c>
      <c r="J553" s="7">
        <f>IF(ISNUMBER(SEARCH("World",'RawData'!C604)),"",IF(ISNUMBER(SEARCH("Other",C553)),COUNTIFS('RawData'!B:B,B553,'RawData'!C:C,"&lt;&gt;*World*"),IF(OR(G553="",G553=0),"-",SUMPRODUCT(('RawData'!B$2:B$822=B553)*('RawData'!G$2:G$822&gt;G553)*(ISERROR(SEARCH("World",'RawData'!C$2:C$822)))*(ISERROR(SEARCH("Other",'RawData'!C$2:C$822))))+1)))</f>
        <v>15</v>
      </c>
      <c r="K553" s="14">
        <f>IF(ISNUMBER(SEARCH("World",'RawData'!C604)),"",'RawData'!H604)</f>
        <v>0</v>
      </c>
      <c r="L553" s="14">
        <f>IF(ISNUMBER(SEARCH("World",'RawData'!C604)),"",SUMIFS('RawData'!H:H,'RawData'!B:B,'RawData'!B604,'RawData'!C:C,"*World*"))</f>
        <v>0</v>
      </c>
      <c r="M553" s="15" t="str">
        <f>IF(ISNUMBER(SEARCH("World",'RawData'!C604)),"",IFERROR(K553/L553,"-"))</f>
        <v>-</v>
      </c>
      <c r="N553" s="7" t="str">
        <f>IF(ISNUMBER(SEARCH("World",'RawData'!C604)),"",IF(ISNUMBER(SEARCH("Other",C553)),COUNTIFS('RawData'!B:B,B553,'RawData'!C:C,"&lt;&gt;*World*"),IF(OR(K553="",K553=0),"-",SUMPRODUCT(('RawData'!B$2:B$822=B553)*('RawData'!H$2:H$822&gt;K553)*(ISERROR(SEARCH("World",'RawData'!C$2:C$822)))*(ISERROR(SEARCH("Other",'RawData'!C$2:C$822))))+1)))</f>
        <v>-</v>
      </c>
    </row>
    <row r="554" spans="1:14" x14ac:dyDescent="0.3">
      <c r="A554" s="4" t="str">
        <f>IF(ISNUMBER(SEARCH("World",'RawData'!C605)),"",'RawData'!A605)</f>
        <v>MCS2026</v>
      </c>
      <c r="B554" s="4" t="str">
        <f>IF(ISNUMBER(SEARCH("World",'RawData'!C605)),"",'RawData'!B605)</f>
        <v>Silicon</v>
      </c>
      <c r="C554" s="4" t="str">
        <f>IF(ISNUMBER(SEARCH("World",'RawData'!C605)),"",'RawData'!C605)</f>
        <v>India</v>
      </c>
      <c r="D554" s="4" t="str">
        <f>IF(ISNUMBER(SEARCH("World",'RawData'!C605)),"",'RawData'!D605)</f>
        <v>Plant production, Ferosilicon, silicon content + 메탈 합산</v>
      </c>
      <c r="E554" s="4" t="str">
        <f>IF(ISNUMBER(SEARCH("World",'RawData'!C605)),"",IF('RawData'!E605="WT001","kg",IF('RawData'!E605="WT002","ton",IF('RawData'!E605="WT003","k ton",""))))</f>
        <v>k ton</v>
      </c>
      <c r="F554" s="14">
        <f>IF(ISNUMBER(SEARCH("World",'RawData'!C605)),"",'RawData'!F605)</f>
        <v>59</v>
      </c>
      <c r="G554" s="14">
        <f>IF(ISNUMBER(SEARCH("World",'RawData'!C605)),"",'RawData'!G605)</f>
        <v>59</v>
      </c>
      <c r="H554" s="14">
        <f>IF(ISNUMBER(SEARCH("World",'RawData'!C605)),"",SUMIFS('RawData'!G:G,'RawData'!B:B,'RawData'!B605,'RawData'!C:C,"*World*"))</f>
        <v>9600</v>
      </c>
      <c r="I554" s="15">
        <f>IF(ISNUMBER(SEARCH("World",'RawData'!C605)),"",IFERROR(G554/H554,"-"))</f>
        <v>6.145833333333333E-3</v>
      </c>
      <c r="J554" s="7">
        <f>IF(ISNUMBER(SEARCH("World",'RawData'!C605)),"",IF(ISNUMBER(SEARCH("Other",C554)),COUNTIFS('RawData'!B:B,B554,'RawData'!C:C,"&lt;&gt;*World*"),IF(OR(G554="",G554=0),"-",SUMPRODUCT(('RawData'!B$2:B$822=B554)*('RawData'!G$2:G$822&gt;G554)*(ISERROR(SEARCH("World",'RawData'!C$2:C$822)))*(ISERROR(SEARCH("Other",'RawData'!C$2:C$822))))+1)))</f>
        <v>10</v>
      </c>
      <c r="K554" s="14">
        <f>IF(ISNUMBER(SEARCH("World",'RawData'!C605)),"",'RawData'!H605)</f>
        <v>0</v>
      </c>
      <c r="L554" s="14">
        <f>IF(ISNUMBER(SEARCH("World",'RawData'!C605)),"",SUMIFS('RawData'!H:H,'RawData'!B:B,'RawData'!B605,'RawData'!C:C,"*World*"))</f>
        <v>0</v>
      </c>
      <c r="M554" s="15" t="str">
        <f>IF(ISNUMBER(SEARCH("World",'RawData'!C605)),"",IFERROR(K554/L554,"-"))</f>
        <v>-</v>
      </c>
      <c r="N554" s="7" t="str">
        <f>IF(ISNUMBER(SEARCH("World",'RawData'!C605)),"",IF(ISNUMBER(SEARCH("Other",C554)),COUNTIFS('RawData'!B:B,B554,'RawData'!C:C,"&lt;&gt;*World*"),IF(OR(K554="",K554=0),"-",SUMPRODUCT(('RawData'!B$2:B$822=B554)*('RawData'!H$2:H$822&gt;K554)*(ISERROR(SEARCH("World",'RawData'!C$2:C$822)))*(ISERROR(SEARCH("Other",'RawData'!C$2:C$822))))+1)))</f>
        <v>-</v>
      </c>
    </row>
    <row r="555" spans="1:14" x14ac:dyDescent="0.3">
      <c r="A555" s="4" t="str">
        <f>IF(ISNUMBER(SEARCH("World",'RawData'!C606)),"",'RawData'!A606)</f>
        <v>MCS2026</v>
      </c>
      <c r="B555" s="4" t="str">
        <f>IF(ISNUMBER(SEARCH("World",'RawData'!C606)),"",'RawData'!B606)</f>
        <v>Silicon</v>
      </c>
      <c r="C555" s="4" t="str">
        <f>IF(ISNUMBER(SEARCH("World",'RawData'!C606)),"",'RawData'!C606)</f>
        <v>Island</v>
      </c>
      <c r="D555" s="4" t="str">
        <f>IF(ISNUMBER(SEARCH("World",'RawData'!C606)),"",'RawData'!D606)</f>
        <v>Plant production, Ferosilicon, silicon content + 메탈 합산</v>
      </c>
      <c r="E555" s="4" t="str">
        <f>IF(ISNUMBER(SEARCH("World",'RawData'!C606)),"",IF('RawData'!E606="WT001","kg",IF('RawData'!E606="WT002","ton",IF('RawData'!E606="WT003","k ton",""))))</f>
        <v>k ton</v>
      </c>
      <c r="F555" s="14">
        <f>IF(ISNUMBER(SEARCH("World",'RawData'!C606)),"",'RawData'!F606)</f>
        <v>118</v>
      </c>
      <c r="G555" s="14">
        <f>IF(ISNUMBER(SEARCH("World",'RawData'!C606)),"",'RawData'!G606)</f>
        <v>88</v>
      </c>
      <c r="H555" s="14">
        <f>IF(ISNUMBER(SEARCH("World",'RawData'!C606)),"",SUMIFS('RawData'!G:G,'RawData'!B:B,'RawData'!B606,'RawData'!C:C,"*World*"))</f>
        <v>9600</v>
      </c>
      <c r="I555" s="15">
        <f>IF(ISNUMBER(SEARCH("World",'RawData'!C606)),"",IFERROR(G555/H555,"-"))</f>
        <v>9.1666666666666667E-3</v>
      </c>
      <c r="J555" s="7">
        <f>IF(ISNUMBER(SEARCH("World",'RawData'!C606)),"",IF(ISNUMBER(SEARCH("Other",C555)),COUNTIFS('RawData'!B:B,B555,'RawData'!C:C,"&lt;&gt;*World*"),IF(OR(G555="",G555=0),"-",SUMPRODUCT(('RawData'!B$2:B$822=B555)*('RawData'!G$2:G$822&gt;G555)*(ISERROR(SEARCH("World",'RawData'!C$2:C$822)))*(ISERROR(SEARCH("Other",'RawData'!C$2:C$822))))+1)))</f>
        <v>9</v>
      </c>
      <c r="K555" s="14">
        <f>IF(ISNUMBER(SEARCH("World",'RawData'!C606)),"",'RawData'!H606)</f>
        <v>0</v>
      </c>
      <c r="L555" s="14">
        <f>IF(ISNUMBER(SEARCH("World",'RawData'!C606)),"",SUMIFS('RawData'!H:H,'RawData'!B:B,'RawData'!B606,'RawData'!C:C,"*World*"))</f>
        <v>0</v>
      </c>
      <c r="M555" s="15" t="str">
        <f>IF(ISNUMBER(SEARCH("World",'RawData'!C606)),"",IFERROR(K555/L555,"-"))</f>
        <v>-</v>
      </c>
      <c r="N555" s="7" t="str">
        <f>IF(ISNUMBER(SEARCH("World",'RawData'!C606)),"",IF(ISNUMBER(SEARCH("Other",C555)),COUNTIFS('RawData'!B:B,B555,'RawData'!C:C,"&lt;&gt;*World*"),IF(OR(K555="",K555=0),"-",SUMPRODUCT(('RawData'!B$2:B$822=B555)*('RawData'!H$2:H$822&gt;K555)*(ISERROR(SEARCH("World",'RawData'!C$2:C$822)))*(ISERROR(SEARCH("Other",'RawData'!C$2:C$822))))+1)))</f>
        <v>-</v>
      </c>
    </row>
    <row r="556" spans="1:14" x14ac:dyDescent="0.3">
      <c r="A556" s="4" t="str">
        <f>IF(ISNUMBER(SEARCH("World",'RawData'!C607)),"",'RawData'!A607)</f>
        <v>MCS2026</v>
      </c>
      <c r="B556" s="4" t="str">
        <f>IF(ISNUMBER(SEARCH("World",'RawData'!C607)),"",'RawData'!B607)</f>
        <v>Silicon</v>
      </c>
      <c r="C556" s="4" t="str">
        <f>IF(ISNUMBER(SEARCH("World",'RawData'!C607)),"",'RawData'!C607)</f>
        <v>Kazakhstan</v>
      </c>
      <c r="D556" s="4" t="str">
        <f>IF(ISNUMBER(SEARCH("World",'RawData'!C607)),"",'RawData'!D607)</f>
        <v>Plant production, Ferosilicon, silicon content + 메탈 합산</v>
      </c>
      <c r="E556" s="4" t="str">
        <f>IF(ISNUMBER(SEARCH("World",'RawData'!C607)),"",IF('RawData'!E607="WT001","kg",IF('RawData'!E607="WT002","ton",IF('RawData'!E607="WT003","k ton",""))))</f>
        <v>k ton</v>
      </c>
      <c r="F556" s="14">
        <f>IF(ISNUMBER(SEARCH("World",'RawData'!C607)),"",'RawData'!F607)</f>
        <v>127</v>
      </c>
      <c r="G556" s="14">
        <f>IF(ISNUMBER(SEARCH("World",'RawData'!C607)),"",'RawData'!G607)</f>
        <v>127</v>
      </c>
      <c r="H556" s="14">
        <f>IF(ISNUMBER(SEARCH("World",'RawData'!C607)),"",SUMIFS('RawData'!G:G,'RawData'!B:B,'RawData'!B607,'RawData'!C:C,"*World*"))</f>
        <v>9600</v>
      </c>
      <c r="I556" s="15">
        <f>IF(ISNUMBER(SEARCH("World",'RawData'!C607)),"",IFERROR(G556/H556,"-"))</f>
        <v>1.3229166666666667E-2</v>
      </c>
      <c r="J556" s="7">
        <f>IF(ISNUMBER(SEARCH("World",'RawData'!C607)),"",IF(ISNUMBER(SEARCH("Other",C556)),COUNTIFS('RawData'!B:B,B556,'RawData'!C:C,"&lt;&gt;*World*"),IF(OR(G556="",G556=0),"-",SUMPRODUCT(('RawData'!B$2:B$822=B556)*('RawData'!G$2:G$822&gt;G556)*(ISERROR(SEARCH("World",'RawData'!C$2:C$822)))*(ISERROR(SEARCH("Other",'RawData'!C$2:C$822))))+1)))</f>
        <v>5</v>
      </c>
      <c r="K556" s="14">
        <f>IF(ISNUMBER(SEARCH("World",'RawData'!C607)),"",'RawData'!H607)</f>
        <v>0</v>
      </c>
      <c r="L556" s="14">
        <f>IF(ISNUMBER(SEARCH("World",'RawData'!C607)),"",SUMIFS('RawData'!H:H,'RawData'!B:B,'RawData'!B607,'RawData'!C:C,"*World*"))</f>
        <v>0</v>
      </c>
      <c r="M556" s="15" t="str">
        <f>IF(ISNUMBER(SEARCH("World",'RawData'!C607)),"",IFERROR(K556/L556,"-"))</f>
        <v>-</v>
      </c>
      <c r="N556" s="7" t="str">
        <f>IF(ISNUMBER(SEARCH("World",'RawData'!C607)),"",IF(ISNUMBER(SEARCH("Other",C556)),COUNTIFS('RawData'!B:B,B556,'RawData'!C:C,"&lt;&gt;*World*"),IF(OR(K556="",K556=0),"-",SUMPRODUCT(('RawData'!B$2:B$822=B556)*('RawData'!H$2:H$822&gt;K556)*(ISERROR(SEARCH("World",'RawData'!C$2:C$822)))*(ISERROR(SEARCH("Other",'RawData'!C$2:C$822))))+1)))</f>
        <v>-</v>
      </c>
    </row>
    <row r="557" spans="1:14" x14ac:dyDescent="0.3">
      <c r="A557" s="4" t="str">
        <f>IF(ISNUMBER(SEARCH("World",'RawData'!C608)),"",'RawData'!A608)</f>
        <v>MCS2026</v>
      </c>
      <c r="B557" s="4" t="str">
        <f>IF(ISNUMBER(SEARCH("World",'RawData'!C608)),"",'RawData'!B608)</f>
        <v>Silicon</v>
      </c>
      <c r="C557" s="4" t="str">
        <f>IF(ISNUMBER(SEARCH("World",'RawData'!C608)),"",'RawData'!C608)</f>
        <v>Malaysia</v>
      </c>
      <c r="D557" s="4" t="str">
        <f>IF(ISNUMBER(SEARCH("World",'RawData'!C608)),"",'RawData'!D608)</f>
        <v>Plant production, Ferosilicon, silicon content + 메탈 합산</v>
      </c>
      <c r="E557" s="4" t="str">
        <f>IF(ISNUMBER(SEARCH("World",'RawData'!C608)),"",IF('RawData'!E608="WT001","kg",IF('RawData'!E608="WT002","ton",IF('RawData'!E608="WT003","k ton",""))))</f>
        <v>k ton</v>
      </c>
      <c r="F557" s="14">
        <f>IF(ISNUMBER(SEARCH("World",'RawData'!C608)),"",'RawData'!F608)</f>
        <v>120</v>
      </c>
      <c r="G557" s="14">
        <f>IF(ISNUMBER(SEARCH("World",'RawData'!C608)),"",'RawData'!G608)</f>
        <v>120</v>
      </c>
      <c r="H557" s="14">
        <f>IF(ISNUMBER(SEARCH("World",'RawData'!C608)),"",SUMIFS('RawData'!G:G,'RawData'!B:B,'RawData'!B608,'RawData'!C:C,"*World*"))</f>
        <v>9600</v>
      </c>
      <c r="I557" s="15">
        <f>IF(ISNUMBER(SEARCH("World",'RawData'!C608)),"",IFERROR(G557/H557,"-"))</f>
        <v>1.2500000000000001E-2</v>
      </c>
      <c r="J557" s="7">
        <f>IF(ISNUMBER(SEARCH("World",'RawData'!C608)),"",IF(ISNUMBER(SEARCH("Other",C557)),COUNTIFS('RawData'!B:B,B557,'RawData'!C:C,"&lt;&gt;*World*"),IF(OR(G557="",G557=0),"-",SUMPRODUCT(('RawData'!B$2:B$822=B557)*('RawData'!G$2:G$822&gt;G557)*(ISERROR(SEARCH("World",'RawData'!C$2:C$822)))*(ISERROR(SEARCH("Other",'RawData'!C$2:C$822))))+1)))</f>
        <v>6</v>
      </c>
      <c r="K557" s="14">
        <f>IF(ISNUMBER(SEARCH("World",'RawData'!C608)),"",'RawData'!H608)</f>
        <v>0</v>
      </c>
      <c r="L557" s="14">
        <f>IF(ISNUMBER(SEARCH("World",'RawData'!C608)),"",SUMIFS('RawData'!H:H,'RawData'!B:B,'RawData'!B608,'RawData'!C:C,"*World*"))</f>
        <v>0</v>
      </c>
      <c r="M557" s="15" t="str">
        <f>IF(ISNUMBER(SEARCH("World",'RawData'!C608)),"",IFERROR(K557/L557,"-"))</f>
        <v>-</v>
      </c>
      <c r="N557" s="7" t="str">
        <f>IF(ISNUMBER(SEARCH("World",'RawData'!C608)),"",IF(ISNUMBER(SEARCH("Other",C557)),COUNTIFS('RawData'!B:B,B557,'RawData'!C:C,"&lt;&gt;*World*"),IF(OR(K557="",K557=0),"-",SUMPRODUCT(('RawData'!B$2:B$822=B557)*('RawData'!H$2:H$822&gt;K557)*(ISERROR(SEARCH("World",'RawData'!C$2:C$822)))*(ISERROR(SEARCH("Other",'RawData'!C$2:C$822))))+1)))</f>
        <v>-</v>
      </c>
    </row>
    <row r="558" spans="1:14" x14ac:dyDescent="0.3">
      <c r="A558" s="4" t="str">
        <f>IF(ISNUMBER(SEARCH("World",'RawData'!C609)),"",'RawData'!A609)</f>
        <v>MCS2026</v>
      </c>
      <c r="B558" s="4" t="str">
        <f>IF(ISNUMBER(SEARCH("World",'RawData'!C609)),"",'RawData'!B609)</f>
        <v>Silicon</v>
      </c>
      <c r="C558" s="4" t="str">
        <f>IF(ISNUMBER(SEARCH("World",'RawData'!C609)),"",'RawData'!C609)</f>
        <v>Norway</v>
      </c>
      <c r="D558" s="4" t="str">
        <f>IF(ISNUMBER(SEARCH("World",'RawData'!C609)),"",'RawData'!D609)</f>
        <v>Plant production, Ferosilicon, silicon content + 메탈 합산</v>
      </c>
      <c r="E558" s="4" t="str">
        <f>IF(ISNUMBER(SEARCH("World",'RawData'!C609)),"",IF('RawData'!E609="WT001","kg",IF('RawData'!E609="WT002","ton",IF('RawData'!E609="WT003","k ton",""))))</f>
        <v>k ton</v>
      </c>
      <c r="F558" s="14">
        <f>IF(ISNUMBER(SEARCH("World",'RawData'!C609)),"",'RawData'!F609)</f>
        <v>300</v>
      </c>
      <c r="G558" s="14">
        <f>IF(ISNUMBER(SEARCH("World",'RawData'!C609)),"",'RawData'!G609)</f>
        <v>280</v>
      </c>
      <c r="H558" s="14">
        <f>IF(ISNUMBER(SEARCH("World",'RawData'!C609)),"",SUMIFS('RawData'!G:G,'RawData'!B:B,'RawData'!B609,'RawData'!C:C,"*World*"))</f>
        <v>9600</v>
      </c>
      <c r="I558" s="15">
        <f>IF(ISNUMBER(SEARCH("World",'RawData'!C609)),"",IFERROR(G558/H558,"-"))</f>
        <v>2.9166666666666667E-2</v>
      </c>
      <c r="J558" s="7">
        <f>IF(ISNUMBER(SEARCH("World",'RawData'!C609)),"",IF(ISNUMBER(SEARCH("Other",C558)),COUNTIFS('RawData'!B:B,B558,'RawData'!C:C,"&lt;&gt;*World*"),IF(OR(G558="",G558=0),"-",SUMPRODUCT(('RawData'!B$2:B$822=B558)*('RawData'!G$2:G$822&gt;G558)*(ISERROR(SEARCH("World",'RawData'!C$2:C$822)))*(ISERROR(SEARCH("Other",'RawData'!C$2:C$822))))+1)))</f>
        <v>4</v>
      </c>
      <c r="K558" s="14">
        <f>IF(ISNUMBER(SEARCH("World",'RawData'!C609)),"",'RawData'!H609)</f>
        <v>0</v>
      </c>
      <c r="L558" s="14">
        <f>IF(ISNUMBER(SEARCH("World",'RawData'!C609)),"",SUMIFS('RawData'!H:H,'RawData'!B:B,'RawData'!B609,'RawData'!C:C,"*World*"))</f>
        <v>0</v>
      </c>
      <c r="M558" s="15" t="str">
        <f>IF(ISNUMBER(SEARCH("World",'RawData'!C609)),"",IFERROR(K558/L558,"-"))</f>
        <v>-</v>
      </c>
      <c r="N558" s="7" t="str">
        <f>IF(ISNUMBER(SEARCH("World",'RawData'!C609)),"",IF(ISNUMBER(SEARCH("Other",C558)),COUNTIFS('RawData'!B:B,B558,'RawData'!C:C,"&lt;&gt;*World*"),IF(OR(K558="",K558=0),"-",SUMPRODUCT(('RawData'!B$2:B$822=B558)*('RawData'!H$2:H$822&gt;K558)*(ISERROR(SEARCH("World",'RawData'!C$2:C$822)))*(ISERROR(SEARCH("Other",'RawData'!C$2:C$822))))+1)))</f>
        <v>-</v>
      </c>
    </row>
    <row r="559" spans="1:14" x14ac:dyDescent="0.3">
      <c r="A559" s="4" t="str">
        <f>IF(ISNUMBER(SEARCH("World",'RawData'!C610)),"",'RawData'!A610)</f>
        <v>MCS2026</v>
      </c>
      <c r="B559" s="4" t="str">
        <f>IF(ISNUMBER(SEARCH("World",'RawData'!C610)),"",'RawData'!B610)</f>
        <v>Silicon</v>
      </c>
      <c r="C559" s="4" t="str">
        <f>IF(ISNUMBER(SEARCH("World",'RawData'!C610)),"",'RawData'!C610)</f>
        <v>Other Countries</v>
      </c>
      <c r="D559" s="4" t="str">
        <f>IF(ISNUMBER(SEARCH("World",'RawData'!C610)),"",'RawData'!D610)</f>
        <v>Plant production, Ferosilicon, silicon content + 메탈 합산</v>
      </c>
      <c r="E559" s="4" t="str">
        <f>IF(ISNUMBER(SEARCH("World",'RawData'!C610)),"",IF('RawData'!E610="WT001","kg",IF('RawData'!E610="WT002","ton",IF('RawData'!E610="WT003","k ton",""))))</f>
        <v>k ton</v>
      </c>
      <c r="F559" s="14">
        <f>IF(ISNUMBER(SEARCH("World",'RawData'!C610)),"",'RawData'!F610)</f>
        <v>162</v>
      </c>
      <c r="G559" s="14">
        <f>IF(ISNUMBER(SEARCH("World",'RawData'!C610)),"",'RawData'!G610)</f>
        <v>86</v>
      </c>
      <c r="H559" s="14">
        <f>IF(ISNUMBER(SEARCH("World",'RawData'!C610)),"",SUMIFS('RawData'!G:G,'RawData'!B:B,'RawData'!B610,'RawData'!C:C,"*World*"))</f>
        <v>9600</v>
      </c>
      <c r="I559" s="15">
        <f>IF(ISNUMBER(SEARCH("World",'RawData'!C610)),"",IFERROR(G559/H559,"-"))</f>
        <v>8.9583333333333338E-3</v>
      </c>
      <c r="J559" s="7">
        <f>IF(ISNUMBER(SEARCH("World",'RawData'!C610)),"",IF(ISNUMBER(SEARCH("Other",C559)),COUNTIFS('RawData'!B:B,B559,'RawData'!C:C,"&lt;&gt;*World*"),IF(OR(G559="",G559=0),"-",SUMPRODUCT(('RawData'!B$2:B$822=B559)*('RawData'!G$2:G$822&gt;G559)*(ISERROR(SEARCH("World",'RawData'!C$2:C$822)))*(ISERROR(SEARCH("Other",'RawData'!C$2:C$822))))+1)))</f>
        <v>17</v>
      </c>
      <c r="K559" s="14">
        <f>IF(ISNUMBER(SEARCH("World",'RawData'!C610)),"",'RawData'!H610)</f>
        <v>0</v>
      </c>
      <c r="L559" s="14">
        <f>IF(ISNUMBER(SEARCH("World",'RawData'!C610)),"",SUMIFS('RawData'!H:H,'RawData'!B:B,'RawData'!B610,'RawData'!C:C,"*World*"))</f>
        <v>0</v>
      </c>
      <c r="M559" s="15" t="str">
        <f>IF(ISNUMBER(SEARCH("World",'RawData'!C610)),"",IFERROR(K559/L559,"-"))</f>
        <v>-</v>
      </c>
      <c r="N559" s="7">
        <f>IF(ISNUMBER(SEARCH("World",'RawData'!C610)),"",IF(ISNUMBER(SEARCH("Other",C559)),COUNTIFS('RawData'!B:B,B559,'RawData'!C:C,"&lt;&gt;*World*"),IF(OR(K559="",K559=0),"-",SUMPRODUCT(('RawData'!B$2:B$822=B559)*('RawData'!H$2:H$822&gt;K559)*(ISERROR(SEARCH("World",'RawData'!C$2:C$822)))*(ISERROR(SEARCH("Other",'RawData'!C$2:C$822))))+1)))</f>
        <v>17</v>
      </c>
    </row>
    <row r="560" spans="1:14" x14ac:dyDescent="0.3">
      <c r="A560" s="4" t="str">
        <f>IF(ISNUMBER(SEARCH("World",'RawData'!C611)),"",'RawData'!A611)</f>
        <v>MCS2026</v>
      </c>
      <c r="B560" s="4" t="str">
        <f>IF(ISNUMBER(SEARCH("World",'RawData'!C611)),"",'RawData'!B611)</f>
        <v>Silicon</v>
      </c>
      <c r="C560" s="4" t="str">
        <f>IF(ISNUMBER(SEARCH("World",'RawData'!C611)),"",'RawData'!C611)</f>
        <v xml:space="preserve">Russia </v>
      </c>
      <c r="D560" s="4" t="str">
        <f>IF(ISNUMBER(SEARCH("World",'RawData'!C611)),"",'RawData'!D611)</f>
        <v>Plant production, Ferosilicon, silicon content + 메탈 합산</v>
      </c>
      <c r="E560" s="4" t="str">
        <f>IF(ISNUMBER(SEARCH("World",'RawData'!C611)),"",IF('RawData'!E611="WT001","kg",IF('RawData'!E611="WT002","ton",IF('RawData'!E611="WT003","k ton",""))))</f>
        <v>k ton</v>
      </c>
      <c r="F560" s="14">
        <f>IF(ISNUMBER(SEARCH("World",'RawData'!C611)),"",'RawData'!F611)</f>
        <v>479</v>
      </c>
      <c r="G560" s="14">
        <f>IF(ISNUMBER(SEARCH("World",'RawData'!C611)),"",'RawData'!G611)</f>
        <v>455</v>
      </c>
      <c r="H560" s="14">
        <f>IF(ISNUMBER(SEARCH("World",'RawData'!C611)),"",SUMIFS('RawData'!G:G,'RawData'!B:B,'RawData'!B611,'RawData'!C:C,"*World*"))</f>
        <v>9600</v>
      </c>
      <c r="I560" s="15">
        <f>IF(ISNUMBER(SEARCH("World",'RawData'!C611)),"",IFERROR(G560/H560,"-"))</f>
        <v>4.7395833333333331E-2</v>
      </c>
      <c r="J560" s="7">
        <f>IF(ISNUMBER(SEARCH("World",'RawData'!C611)),"",IF(ISNUMBER(SEARCH("Other",C560)),COUNTIFS('RawData'!B:B,B560,'RawData'!C:C,"&lt;&gt;*World*"),IF(OR(G560="",G560=0),"-",SUMPRODUCT(('RawData'!B$2:B$822=B560)*('RawData'!G$2:G$822&gt;G560)*(ISERROR(SEARCH("World",'RawData'!C$2:C$822)))*(ISERROR(SEARCH("Other",'RawData'!C$2:C$822))))+1)))</f>
        <v>2</v>
      </c>
      <c r="K560" s="14">
        <f>IF(ISNUMBER(SEARCH("World",'RawData'!C611)),"",'RawData'!H611)</f>
        <v>0</v>
      </c>
      <c r="L560" s="14">
        <f>IF(ISNUMBER(SEARCH("World",'RawData'!C611)),"",SUMIFS('RawData'!H:H,'RawData'!B:B,'RawData'!B611,'RawData'!C:C,"*World*"))</f>
        <v>0</v>
      </c>
      <c r="M560" s="15" t="str">
        <f>IF(ISNUMBER(SEARCH("World",'RawData'!C611)),"",IFERROR(K560/L560,"-"))</f>
        <v>-</v>
      </c>
      <c r="N560" s="7" t="str">
        <f>IF(ISNUMBER(SEARCH("World",'RawData'!C611)),"",IF(ISNUMBER(SEARCH("Other",C560)),COUNTIFS('RawData'!B:B,B560,'RawData'!C:C,"&lt;&gt;*World*"),IF(OR(K560="",K560=0),"-",SUMPRODUCT(('RawData'!B$2:B$822=B560)*('RawData'!H$2:H$822&gt;K560)*(ISERROR(SEARCH("World",'RawData'!C$2:C$822)))*(ISERROR(SEARCH("Other",'RawData'!C$2:C$822))))+1)))</f>
        <v>-</v>
      </c>
    </row>
    <row r="561" spans="1:14" x14ac:dyDescent="0.3">
      <c r="A561" s="4" t="str">
        <f>IF(ISNUMBER(SEARCH("World",'RawData'!C612)),"",'RawData'!A612)</f>
        <v>MCS2026</v>
      </c>
      <c r="B561" s="4" t="str">
        <f>IF(ISNUMBER(SEARCH("World",'RawData'!C612)),"",'RawData'!B612)</f>
        <v>Silicon</v>
      </c>
      <c r="C561" s="4" t="str">
        <f>IF(ISNUMBER(SEARCH("World",'RawData'!C612)),"",'RawData'!C612)</f>
        <v xml:space="preserve">South Africa </v>
      </c>
      <c r="D561" s="4" t="str">
        <f>IF(ISNUMBER(SEARCH("World",'RawData'!C612)),"",'RawData'!D612)</f>
        <v>Plant production, Ferosilicon, silicon content + 메탈 합산</v>
      </c>
      <c r="E561" s="4" t="str">
        <f>IF(ISNUMBER(SEARCH("World",'RawData'!C612)),"",IF('RawData'!E612="WT001","kg",IF('RawData'!E612="WT002","ton",IF('RawData'!E612="WT003","k ton",""))))</f>
        <v>k ton</v>
      </c>
      <c r="F561" s="14">
        <f>IF(ISNUMBER(SEARCH("World",'RawData'!C612)),"",'RawData'!F612)</f>
        <v>51</v>
      </c>
      <c r="G561" s="14">
        <f>IF(ISNUMBER(SEARCH("World",'RawData'!C612)),"",'RawData'!G612)</f>
        <v>45</v>
      </c>
      <c r="H561" s="14">
        <f>IF(ISNUMBER(SEARCH("World",'RawData'!C612)),"",SUMIFS('RawData'!G:G,'RawData'!B:B,'RawData'!B612,'RawData'!C:C,"*World*"))</f>
        <v>9600</v>
      </c>
      <c r="I561" s="15">
        <f>IF(ISNUMBER(SEARCH("World",'RawData'!C612)),"",IFERROR(G561/H561,"-"))</f>
        <v>4.6874999999999998E-3</v>
      </c>
      <c r="J561" s="7">
        <f>IF(ISNUMBER(SEARCH("World",'RawData'!C612)),"",IF(ISNUMBER(SEARCH("Other",C561)),COUNTIFS('RawData'!B:B,B561,'RawData'!C:C,"&lt;&gt;*World*"),IF(OR(G561="",G561=0),"-",SUMPRODUCT(('RawData'!B$2:B$822=B561)*('RawData'!G$2:G$822&gt;G561)*(ISERROR(SEARCH("World",'RawData'!C$2:C$822)))*(ISERROR(SEARCH("Other",'RawData'!C$2:C$822))))+1)))</f>
        <v>13</v>
      </c>
      <c r="K561" s="14">
        <f>IF(ISNUMBER(SEARCH("World",'RawData'!C612)),"",'RawData'!H612)</f>
        <v>0</v>
      </c>
      <c r="L561" s="14">
        <f>IF(ISNUMBER(SEARCH("World",'RawData'!C612)),"",SUMIFS('RawData'!H:H,'RawData'!B:B,'RawData'!B612,'RawData'!C:C,"*World*"))</f>
        <v>0</v>
      </c>
      <c r="M561" s="15" t="str">
        <f>IF(ISNUMBER(SEARCH("World",'RawData'!C612)),"",IFERROR(K561/L561,"-"))</f>
        <v>-</v>
      </c>
      <c r="N561" s="7" t="str">
        <f>IF(ISNUMBER(SEARCH("World",'RawData'!C612)),"",IF(ISNUMBER(SEARCH("Other",C561)),COUNTIFS('RawData'!B:B,B561,'RawData'!C:C,"&lt;&gt;*World*"),IF(OR(K561="",K561=0),"-",SUMPRODUCT(('RawData'!B$2:B$822=B561)*('RawData'!H$2:H$822&gt;K561)*(ISERROR(SEARCH("World",'RawData'!C$2:C$822)))*(ISERROR(SEARCH("Other",'RawData'!C$2:C$822))))+1)))</f>
        <v>-</v>
      </c>
    </row>
    <row r="562" spans="1:14" x14ac:dyDescent="0.3">
      <c r="A562" s="4" t="str">
        <f>IF(ISNUMBER(SEARCH("World",'RawData'!C613)),"",'RawData'!A613)</f>
        <v>MCS2026</v>
      </c>
      <c r="B562" s="4" t="str">
        <f>IF(ISNUMBER(SEARCH("World",'RawData'!C613)),"",'RawData'!B613)</f>
        <v>Silicon</v>
      </c>
      <c r="C562" s="4" t="str">
        <f>IF(ISNUMBER(SEARCH("World",'RawData'!C613)),"",'RawData'!C613)</f>
        <v>Spain</v>
      </c>
      <c r="D562" s="4" t="str">
        <f>IF(ISNUMBER(SEARCH("World",'RawData'!C613)),"",'RawData'!D613)</f>
        <v>Plant production, Ferosilicon, silicon content + 메탈 합산</v>
      </c>
      <c r="E562" s="4" t="str">
        <f>IF(ISNUMBER(SEARCH("World",'RawData'!C613)),"",IF('RawData'!E613="WT001","kg",IF('RawData'!E613="WT002","ton",IF('RawData'!E613="WT003","k ton",""))))</f>
        <v>k ton</v>
      </c>
      <c r="F562" s="14">
        <f>IF(ISNUMBER(SEARCH("World",'RawData'!C613)),"",'RawData'!F613)</f>
        <v>47</v>
      </c>
      <c r="G562" s="14">
        <f>IF(ISNUMBER(SEARCH("World",'RawData'!C613)),"",'RawData'!G613)</f>
        <v>44</v>
      </c>
      <c r="H562" s="14">
        <f>IF(ISNUMBER(SEARCH("World",'RawData'!C613)),"",SUMIFS('RawData'!G:G,'RawData'!B:B,'RawData'!B613,'RawData'!C:C,"*World*"))</f>
        <v>9600</v>
      </c>
      <c r="I562" s="15">
        <f>IF(ISNUMBER(SEARCH("World",'RawData'!C613)),"",IFERROR(G562/H562,"-"))</f>
        <v>4.5833333333333334E-3</v>
      </c>
      <c r="J562" s="7">
        <f>IF(ISNUMBER(SEARCH("World",'RawData'!C613)),"",IF(ISNUMBER(SEARCH("Other",C562)),COUNTIFS('RawData'!B:B,B562,'RawData'!C:C,"&lt;&gt;*World*"),IF(OR(G562="",G562=0),"-",SUMPRODUCT(('RawData'!B$2:B$822=B562)*('RawData'!G$2:G$822&gt;G562)*(ISERROR(SEARCH("World",'RawData'!C$2:C$822)))*(ISERROR(SEARCH("Other",'RawData'!C$2:C$822))))+1)))</f>
        <v>14</v>
      </c>
      <c r="K562" s="14">
        <f>IF(ISNUMBER(SEARCH("World",'RawData'!C613)),"",'RawData'!H613)</f>
        <v>0</v>
      </c>
      <c r="L562" s="14">
        <f>IF(ISNUMBER(SEARCH("World",'RawData'!C613)),"",SUMIFS('RawData'!H:H,'RawData'!B:B,'RawData'!B613,'RawData'!C:C,"*World*"))</f>
        <v>0</v>
      </c>
      <c r="M562" s="15" t="str">
        <f>IF(ISNUMBER(SEARCH("World",'RawData'!C613)),"",IFERROR(K562/L562,"-"))</f>
        <v>-</v>
      </c>
      <c r="N562" s="7" t="str">
        <f>IF(ISNUMBER(SEARCH("World",'RawData'!C613)),"",IF(ISNUMBER(SEARCH("Other",C562)),COUNTIFS('RawData'!B:B,B562,'RawData'!C:C,"&lt;&gt;*World*"),IF(OR(K562="",K562=0),"-",SUMPRODUCT(('RawData'!B$2:B$822=B562)*('RawData'!H$2:H$822&gt;K562)*(ISERROR(SEARCH("World",'RawData'!C$2:C$822)))*(ISERROR(SEARCH("Other",'RawData'!C$2:C$822))))+1)))</f>
        <v>-</v>
      </c>
    </row>
    <row r="563" spans="1:14" x14ac:dyDescent="0.3">
      <c r="A563" s="4" t="str">
        <f>IF(ISNUMBER(SEARCH("World",'RawData'!C614)),"",'RawData'!A614)</f>
        <v>MCS2026</v>
      </c>
      <c r="B563" s="4" t="str">
        <f>IF(ISNUMBER(SEARCH("World",'RawData'!C614)),"",'RawData'!B614)</f>
        <v>Silicon</v>
      </c>
      <c r="C563" s="4" t="str">
        <f>IF(ISNUMBER(SEARCH("World",'RawData'!C614)),"",'RawData'!C614)</f>
        <v>United States</v>
      </c>
      <c r="D563" s="4" t="str">
        <f>IF(ISNUMBER(SEARCH("World",'RawData'!C614)),"",'RawData'!D614)</f>
        <v>Plant production, Ferosilicon, silicon content + 메탈 합산</v>
      </c>
      <c r="E563" s="4" t="str">
        <f>IF(ISNUMBER(SEARCH("World",'RawData'!C614)),"",IF('RawData'!E614="WT001","kg",IF('RawData'!E614="WT002","ton",IF('RawData'!E614="WT003","k ton",""))))</f>
        <v>k ton</v>
      </c>
      <c r="F563" s="14">
        <f>IF(ISNUMBER(SEARCH("World",'RawData'!C614)),"",'RawData'!F614)</f>
        <v>0</v>
      </c>
      <c r="G563" s="14">
        <f>IF(ISNUMBER(SEARCH("World",'RawData'!C614)),"",'RawData'!G614)</f>
        <v>0</v>
      </c>
      <c r="H563" s="14">
        <f>IF(ISNUMBER(SEARCH("World",'RawData'!C614)),"",SUMIFS('RawData'!G:G,'RawData'!B:B,'RawData'!B614,'RawData'!C:C,"*World*"))</f>
        <v>9600</v>
      </c>
      <c r="I563" s="15">
        <f>IF(ISNUMBER(SEARCH("World",'RawData'!C614)),"",IFERROR(G563/H563,"-"))</f>
        <v>0</v>
      </c>
      <c r="J563" s="7" t="str">
        <f>IF(ISNUMBER(SEARCH("World",'RawData'!C614)),"",IF(ISNUMBER(SEARCH("Other",C563)),COUNTIFS('RawData'!B:B,B563,'RawData'!C:C,"&lt;&gt;*World*"),IF(OR(G563="",G563=0),"-",SUMPRODUCT(('RawData'!B$2:B$822=B563)*('RawData'!G$2:G$822&gt;G563)*(ISERROR(SEARCH("World",'RawData'!C$2:C$822)))*(ISERROR(SEARCH("Other",'RawData'!C$2:C$822))))+1)))</f>
        <v>-</v>
      </c>
      <c r="K563" s="14">
        <f>IF(ISNUMBER(SEARCH("World",'RawData'!C614)),"",'RawData'!H614)</f>
        <v>0</v>
      </c>
      <c r="L563" s="14">
        <f>IF(ISNUMBER(SEARCH("World",'RawData'!C614)),"",SUMIFS('RawData'!H:H,'RawData'!B:B,'RawData'!B614,'RawData'!C:C,"*World*"))</f>
        <v>0</v>
      </c>
      <c r="M563" s="15" t="str">
        <f>IF(ISNUMBER(SEARCH("World",'RawData'!C614)),"",IFERROR(K563/L563,"-"))</f>
        <v>-</v>
      </c>
      <c r="N563" s="7" t="str">
        <f>IF(ISNUMBER(SEARCH("World",'RawData'!C614)),"",IF(ISNUMBER(SEARCH("Other",C563)),COUNTIFS('RawData'!B:B,B563,'RawData'!C:C,"&lt;&gt;*World*"),IF(OR(K563="",K563=0),"-",SUMPRODUCT(('RawData'!B$2:B$822=B563)*('RawData'!H$2:H$822&gt;K563)*(ISERROR(SEARCH("World",'RawData'!C$2:C$822)))*(ISERROR(SEARCH("Other",'RawData'!C$2:C$822))))+1)))</f>
        <v>-</v>
      </c>
    </row>
    <row r="564" spans="1:14" x14ac:dyDescent="0.3">
      <c r="A564" s="4" t="str">
        <f>IF(ISNUMBER(SEARCH("World",'RawData'!C616)),"",'RawData'!A616)</f>
        <v>MCS2026</v>
      </c>
      <c r="B564" s="4" t="str">
        <f>IF(ISNUMBER(SEARCH("World",'RawData'!C616)),"",'RawData'!B616)</f>
        <v>Silver</v>
      </c>
      <c r="C564" s="4" t="str">
        <f>IF(ISNUMBER(SEARCH("World",'RawData'!C616)),"",'RawData'!C616)</f>
        <v>Argentina</v>
      </c>
      <c r="D564" s="4" t="str">
        <f>IF(ISNUMBER(SEARCH("World",'RawData'!C616)),"",'RawData'!D616)</f>
        <v>Mine production, silver content</v>
      </c>
      <c r="E564" s="4" t="str">
        <f>IF(ISNUMBER(SEARCH("World",'RawData'!C616)),"",IF('RawData'!E616="WT001","kg",IF('RawData'!E616="WT002","ton",IF('RawData'!E616="WT003","k ton",""))))</f>
        <v>ton</v>
      </c>
      <c r="F564" s="14">
        <f>IF(ISNUMBER(SEARCH("World",'RawData'!C616)),"",'RawData'!F616)</f>
        <v>774</v>
      </c>
      <c r="G564" s="14">
        <f>IF(ISNUMBER(SEARCH("World",'RawData'!C616)),"",'RawData'!G616)</f>
        <v>800</v>
      </c>
      <c r="H564" s="14">
        <f>IF(ISNUMBER(SEARCH("World",'RawData'!C616)),"",SUMIFS('RawData'!G:G,'RawData'!B:B,'RawData'!B616,'RawData'!C:C,"*World*"))</f>
        <v>26000</v>
      </c>
      <c r="I564" s="15">
        <f>IF(ISNUMBER(SEARCH("World",'RawData'!C616)),"",IFERROR(G564/H564,"-"))</f>
        <v>3.0769230769230771E-2</v>
      </c>
      <c r="J564" s="7">
        <f>IF(ISNUMBER(SEARCH("World",'RawData'!C616)),"",IF(ISNUMBER(SEARCH("Other",C564)),COUNTIFS('RawData'!B:B,B564,'RawData'!C:C,"&lt;&gt;*World*"),IF(OR(G564="",G564=0),"-",SUMPRODUCT(('RawData'!B$2:B$822=B564)*('RawData'!G$2:G$822&gt;G564)*(ISERROR(SEARCH("World",'RawData'!C$2:C$822)))*(ISERROR(SEARCH("Other",'RawData'!C$2:C$822))))+1)))</f>
        <v>10</v>
      </c>
      <c r="K564" s="14">
        <f>IF(ISNUMBER(SEARCH("World",'RawData'!C616)),"",'RawData'!H616)</f>
        <v>6500</v>
      </c>
      <c r="L564" s="14">
        <f>IF(ISNUMBER(SEARCH("World",'RawData'!C616)),"",SUMIFS('RawData'!H:H,'RawData'!B:B,'RawData'!B616,'RawData'!C:C,"*World*"))</f>
        <v>610000</v>
      </c>
      <c r="M564" s="15">
        <f>IF(ISNUMBER(SEARCH("World",'RawData'!C616)),"",IFERROR(K564/L564,"-"))</f>
        <v>1.0655737704918032E-2</v>
      </c>
      <c r="N564" s="7">
        <f>IF(ISNUMBER(SEARCH("World",'RawData'!C616)),"",IF(ISNUMBER(SEARCH("Other",C564)),COUNTIFS('RawData'!B:B,B564,'RawData'!C:C,"&lt;&gt;*World*"),IF(OR(K564="",K564=0),"-",SUMPRODUCT(('RawData'!B$2:B$822=B564)*('RawData'!H$2:H$822&gt;K564)*(ISERROR(SEARCH("World",'RawData'!C$2:C$822)))*(ISERROR(SEARCH("Other",'RawData'!C$2:C$822))))+1)))</f>
        <v>11</v>
      </c>
    </row>
    <row r="565" spans="1:14" x14ac:dyDescent="0.3">
      <c r="A565" s="4" t="str">
        <f>IF(ISNUMBER(SEARCH("World",'RawData'!C617)),"",'RawData'!A617)</f>
        <v>MCS2026</v>
      </c>
      <c r="B565" s="4" t="str">
        <f>IF(ISNUMBER(SEARCH("World",'RawData'!C617)),"",'RawData'!B617)</f>
        <v>Silver</v>
      </c>
      <c r="C565" s="4" t="str">
        <f>IF(ISNUMBER(SEARCH("World",'RawData'!C617)),"",'RawData'!C617)</f>
        <v>Australia</v>
      </c>
      <c r="D565" s="4" t="str">
        <f>IF(ISNUMBER(SEARCH("World",'RawData'!C617)),"",'RawData'!D617)</f>
        <v>Mine production, silver content</v>
      </c>
      <c r="E565" s="4" t="str">
        <f>IF(ISNUMBER(SEARCH("World",'RawData'!C617)),"",IF('RawData'!E617="WT001","kg",IF('RawData'!E617="WT002","ton",IF('RawData'!E617="WT003","k ton",""))))</f>
        <v>ton</v>
      </c>
      <c r="F565" s="14">
        <f>IF(ISNUMBER(SEARCH("World",'RawData'!C617)),"",'RawData'!F617)</f>
        <v>1050</v>
      </c>
      <c r="G565" s="14">
        <f>IF(ISNUMBER(SEARCH("World",'RawData'!C617)),"",'RawData'!G617)</f>
        <v>1000</v>
      </c>
      <c r="H565" s="14">
        <f>IF(ISNUMBER(SEARCH("World",'RawData'!C617)),"",SUMIFS('RawData'!G:G,'RawData'!B:B,'RawData'!B617,'RawData'!C:C,"*World*"))</f>
        <v>26000</v>
      </c>
      <c r="I565" s="15">
        <f>IF(ISNUMBER(SEARCH("World",'RawData'!C617)),"",IFERROR(G565/H565,"-"))</f>
        <v>3.8461538461538464E-2</v>
      </c>
      <c r="J565" s="7">
        <f>IF(ISNUMBER(SEARCH("World",'RawData'!C617)),"",IF(ISNUMBER(SEARCH("Other",C565)),COUNTIFS('RawData'!B:B,B565,'RawData'!C:C,"&lt;&gt;*World*"),IF(OR(G565="",G565=0),"-",SUMPRODUCT(('RawData'!B$2:B$822=B565)*('RawData'!G$2:G$822&gt;G565)*(ISERROR(SEARCH("World",'RawData'!C$2:C$822)))*(ISERROR(SEARCH("Other",'RawData'!C$2:C$822))))+1)))</f>
        <v>9</v>
      </c>
      <c r="K565" s="14">
        <f>IF(ISNUMBER(SEARCH("World",'RawData'!C617)),"",'RawData'!H617)</f>
        <v>91000</v>
      </c>
      <c r="L565" s="14">
        <f>IF(ISNUMBER(SEARCH("World",'RawData'!C617)),"",SUMIFS('RawData'!H:H,'RawData'!B:B,'RawData'!B617,'RawData'!C:C,"*World*"))</f>
        <v>610000</v>
      </c>
      <c r="M565" s="15">
        <f>IF(ISNUMBER(SEARCH("World",'RawData'!C617)),"",IFERROR(K565/L565,"-"))</f>
        <v>0.14918032786885246</v>
      </c>
      <c r="N565" s="7">
        <f>IF(ISNUMBER(SEARCH("World",'RawData'!C617)),"",IF(ISNUMBER(SEARCH("Other",C565)),COUNTIFS('RawData'!B:B,B565,'RawData'!C:C,"&lt;&gt;*World*"),IF(OR(K565="",K565=0),"-",SUMPRODUCT(('RawData'!B$2:B$822=B565)*('RawData'!H$2:H$822&gt;K565)*(ISERROR(SEARCH("World",'RawData'!C$2:C$822)))*(ISERROR(SEARCH("Other",'RawData'!C$2:C$822))))+1)))</f>
        <v>3</v>
      </c>
    </row>
    <row r="566" spans="1:14" x14ac:dyDescent="0.3">
      <c r="A566" s="4" t="str">
        <f>IF(ISNUMBER(SEARCH("World",'RawData'!C618)),"",'RawData'!A618)</f>
        <v>MCS2026</v>
      </c>
      <c r="B566" s="4" t="str">
        <f>IF(ISNUMBER(SEARCH("World",'RawData'!C618)),"",'RawData'!B618)</f>
        <v>Silver</v>
      </c>
      <c r="C566" s="4" t="str">
        <f>IF(ISNUMBER(SEARCH("World",'RawData'!C618)),"",'RawData'!C618)</f>
        <v>Bolivia</v>
      </c>
      <c r="D566" s="4" t="str">
        <f>IF(ISNUMBER(SEARCH("World",'RawData'!C618)),"",'RawData'!D618)</f>
        <v>Mine production, silver content</v>
      </c>
      <c r="E566" s="4" t="str">
        <f>IF(ISNUMBER(SEARCH("World",'RawData'!C618)),"",IF('RawData'!E618="WT001","kg",IF('RawData'!E618="WT002","ton",IF('RawData'!E618="WT003","k ton",""))))</f>
        <v>ton</v>
      </c>
      <c r="F566" s="14">
        <f>IF(ISNUMBER(SEARCH("World",'RawData'!C618)),"",'RawData'!F618)</f>
        <v>1490</v>
      </c>
      <c r="G566" s="14">
        <f>IF(ISNUMBER(SEARCH("World",'RawData'!C618)),"",'RawData'!G618)</f>
        <v>1500</v>
      </c>
      <c r="H566" s="14">
        <f>IF(ISNUMBER(SEARCH("World",'RawData'!C618)),"",SUMIFS('RawData'!G:G,'RawData'!B:B,'RawData'!B618,'RawData'!C:C,"*World*"))</f>
        <v>26000</v>
      </c>
      <c r="I566" s="15">
        <f>IF(ISNUMBER(SEARCH("World",'RawData'!C618)),"",IFERROR(G566/H566,"-"))</f>
        <v>5.7692307692307696E-2</v>
      </c>
      <c r="J566" s="7">
        <f>IF(ISNUMBER(SEARCH("World",'RawData'!C618)),"",IF(ISNUMBER(SEARCH("Other",C566)),COUNTIFS('RawData'!B:B,B566,'RawData'!C:C,"&lt;&gt;*World*"),IF(OR(G566="",G566=0),"-",SUMPRODUCT(('RawData'!B$2:B$822=B566)*('RawData'!G$2:G$822&gt;G566)*(ISERROR(SEARCH("World",'RawData'!C$2:C$822)))*(ISERROR(SEARCH("Other",'RawData'!C$2:C$822))))+1)))</f>
        <v>4</v>
      </c>
      <c r="K566" s="14">
        <f>IF(ISNUMBER(SEARCH("World",'RawData'!C618)),"",'RawData'!H618)</f>
        <v>22000</v>
      </c>
      <c r="L566" s="14">
        <f>IF(ISNUMBER(SEARCH("World",'RawData'!C618)),"",SUMIFS('RawData'!H:H,'RawData'!B:B,'RawData'!B618,'RawData'!C:C,"*World*"))</f>
        <v>610000</v>
      </c>
      <c r="M566" s="15">
        <f>IF(ISNUMBER(SEARCH("World",'RawData'!C618)),"",IFERROR(K566/L566,"-"))</f>
        <v>3.6065573770491806E-2</v>
      </c>
      <c r="N566" s="7">
        <f>IF(ISNUMBER(SEARCH("World",'RawData'!C618)),"",IF(ISNUMBER(SEARCH("Other",C566)),COUNTIFS('RawData'!B:B,B566,'RawData'!C:C,"&lt;&gt;*World*"),IF(OR(K566="",K566=0),"-",SUMPRODUCT(('RawData'!B$2:B$822=B566)*('RawData'!H$2:H$822&gt;K566)*(ISERROR(SEARCH("World",'RawData'!C$2:C$822)))*(ISERROR(SEARCH("Other",'RawData'!C$2:C$822))))+1)))</f>
        <v>9</v>
      </c>
    </row>
    <row r="567" spans="1:14" x14ac:dyDescent="0.3">
      <c r="A567" s="4" t="str">
        <f>IF(ISNUMBER(SEARCH("World",'RawData'!C619)),"",'RawData'!A619)</f>
        <v>MCS2026</v>
      </c>
      <c r="B567" s="4" t="str">
        <f>IF(ISNUMBER(SEARCH("World",'RawData'!C619)),"",'RawData'!B619)</f>
        <v>Silver</v>
      </c>
      <c r="C567" s="4" t="str">
        <f>IF(ISNUMBER(SEARCH("World",'RawData'!C619)),"",'RawData'!C619)</f>
        <v xml:space="preserve">Canada </v>
      </c>
      <c r="D567" s="4" t="str">
        <f>IF(ISNUMBER(SEARCH("World",'RawData'!C619)),"",'RawData'!D619)</f>
        <v>Mine production, silver content</v>
      </c>
      <c r="E567" s="4" t="str">
        <f>IF(ISNUMBER(SEARCH("World",'RawData'!C619)),"",IF('RawData'!E619="WT001","kg",IF('RawData'!E619="WT002","ton",IF('RawData'!E619="WT003","k ton",""))))</f>
        <v>ton</v>
      </c>
      <c r="F567" s="14">
        <f>IF(ISNUMBER(SEARCH("World",'RawData'!C619)),"",'RawData'!F619)</f>
        <v>366</v>
      </c>
      <c r="G567" s="14">
        <f>IF(ISNUMBER(SEARCH("World",'RawData'!C619)),"",'RawData'!G619)</f>
        <v>400</v>
      </c>
      <c r="H567" s="14">
        <f>IF(ISNUMBER(SEARCH("World",'RawData'!C619)),"",SUMIFS('RawData'!G:G,'RawData'!B:B,'RawData'!B619,'RawData'!C:C,"*World*"))</f>
        <v>26000</v>
      </c>
      <c r="I567" s="15">
        <f>IF(ISNUMBER(SEARCH("World",'RawData'!C619)),"",IFERROR(G567/H567,"-"))</f>
        <v>1.5384615384615385E-2</v>
      </c>
      <c r="J567" s="7">
        <f>IF(ISNUMBER(SEARCH("World",'RawData'!C619)),"",IF(ISNUMBER(SEARCH("Other",C567)),COUNTIFS('RawData'!B:B,B567,'RawData'!C:C,"&lt;&gt;*World*"),IF(OR(G567="",G567=0),"-",SUMPRODUCT(('RawData'!B$2:B$822=B567)*('RawData'!G$2:G$822&gt;G567)*(ISERROR(SEARCH("World",'RawData'!C$2:C$822)))*(ISERROR(SEARCH("Other",'RawData'!C$2:C$822))))+1)))</f>
        <v>13</v>
      </c>
      <c r="K567" s="14">
        <f>IF(ISNUMBER(SEARCH("World",'RawData'!C619)),"",'RawData'!H619)</f>
        <v>4900</v>
      </c>
      <c r="L567" s="14">
        <f>IF(ISNUMBER(SEARCH("World",'RawData'!C619)),"",SUMIFS('RawData'!H:H,'RawData'!B:B,'RawData'!B619,'RawData'!C:C,"*World*"))</f>
        <v>610000</v>
      </c>
      <c r="M567" s="15">
        <f>IF(ISNUMBER(SEARCH("World",'RawData'!C619)),"",IFERROR(K567/L567,"-"))</f>
        <v>8.032786885245901E-3</v>
      </c>
      <c r="N567" s="7">
        <f>IF(ISNUMBER(SEARCH("World",'RawData'!C619)),"",IF(ISNUMBER(SEARCH("Other",C567)),COUNTIFS('RawData'!B:B,B567,'RawData'!C:C,"&lt;&gt;*World*"),IF(OR(K567="",K567=0),"-",SUMPRODUCT(('RawData'!B$2:B$822=B567)*('RawData'!H$2:H$822&gt;K567)*(ISERROR(SEARCH("World",'RawData'!C$2:C$822)))*(ISERROR(SEARCH("Other",'RawData'!C$2:C$822))))+1)))</f>
        <v>12</v>
      </c>
    </row>
    <row r="568" spans="1:14" x14ac:dyDescent="0.3">
      <c r="A568" s="4" t="str">
        <f>IF(ISNUMBER(SEARCH("World",'RawData'!C620)),"",'RawData'!A620)</f>
        <v>MCS2026</v>
      </c>
      <c r="B568" s="4" t="str">
        <f>IF(ISNUMBER(SEARCH("World",'RawData'!C620)),"",'RawData'!B620)</f>
        <v>Silver</v>
      </c>
      <c r="C568" s="4" t="str">
        <f>IF(ISNUMBER(SEARCH("World",'RawData'!C620)),"",'RawData'!C620)</f>
        <v>Chile</v>
      </c>
      <c r="D568" s="4" t="str">
        <f>IF(ISNUMBER(SEARCH("World",'RawData'!C620)),"",'RawData'!D620)</f>
        <v>Mine production, silver content</v>
      </c>
      <c r="E568" s="4" t="str">
        <f>IF(ISNUMBER(SEARCH("World",'RawData'!C620)),"",IF('RawData'!E620="WT001","kg",IF('RawData'!E620="WT002","ton",IF('RawData'!E620="WT003","k ton",""))))</f>
        <v>ton</v>
      </c>
      <c r="F568" s="14">
        <f>IF(ISNUMBER(SEARCH("World",'RawData'!C620)),"",'RawData'!F620)</f>
        <v>1200</v>
      </c>
      <c r="G568" s="14">
        <f>IF(ISNUMBER(SEARCH("World",'RawData'!C620)),"",'RawData'!G620)</f>
        <v>1400</v>
      </c>
      <c r="H568" s="14">
        <f>IF(ISNUMBER(SEARCH("World",'RawData'!C620)),"",SUMIFS('RawData'!G:G,'RawData'!B:B,'RawData'!B620,'RawData'!C:C,"*World*"))</f>
        <v>26000</v>
      </c>
      <c r="I568" s="15">
        <f>IF(ISNUMBER(SEARCH("World",'RawData'!C620)),"",IFERROR(G568/H568,"-"))</f>
        <v>5.3846153846153849E-2</v>
      </c>
      <c r="J568" s="7">
        <f>IF(ISNUMBER(SEARCH("World",'RawData'!C620)),"",IF(ISNUMBER(SEARCH("Other",C568)),COUNTIFS('RawData'!B:B,B568,'RawData'!C:C,"&lt;&gt;*World*"),IF(OR(G568="",G568=0),"-",SUMPRODUCT(('RawData'!B$2:B$822=B568)*('RawData'!G$2:G$822&gt;G568)*(ISERROR(SEARCH("World",'RawData'!C$2:C$822)))*(ISERROR(SEARCH("Other",'RawData'!C$2:C$822))))+1)))</f>
        <v>5</v>
      </c>
      <c r="K568" s="14">
        <f>IF(ISNUMBER(SEARCH("World",'RawData'!C620)),"",'RawData'!H620)</f>
        <v>33000</v>
      </c>
      <c r="L568" s="14">
        <f>IF(ISNUMBER(SEARCH("World",'RawData'!C620)),"",SUMIFS('RawData'!H:H,'RawData'!B:B,'RawData'!B620,'RawData'!C:C,"*World*"))</f>
        <v>610000</v>
      </c>
      <c r="M568" s="15">
        <f>IF(ISNUMBER(SEARCH("World",'RawData'!C620)),"",IFERROR(K568/L568,"-"))</f>
        <v>5.4098360655737705E-2</v>
      </c>
      <c r="N568" s="7">
        <f>IF(ISNUMBER(SEARCH("World",'RawData'!C620)),"",IF(ISNUMBER(SEARCH("Other",C568)),COUNTIFS('RawData'!B:B,B568,'RawData'!C:C,"&lt;&gt;*World*"),IF(OR(K568="",K568=0),"-",SUMPRODUCT(('RawData'!B$2:B$822=B568)*('RawData'!H$2:H$822&gt;K568)*(ISERROR(SEARCH("World",'RawData'!C$2:C$822)))*(ISERROR(SEARCH("Other",'RawData'!C$2:C$822))))+1)))</f>
        <v>7</v>
      </c>
    </row>
    <row r="569" spans="1:14" x14ac:dyDescent="0.3">
      <c r="A569" s="4" t="str">
        <f>IF(ISNUMBER(SEARCH("World",'RawData'!C621)),"",'RawData'!A621)</f>
        <v>MCS2026</v>
      </c>
      <c r="B569" s="4" t="str">
        <f>IF(ISNUMBER(SEARCH("World",'RawData'!C621)),"",'RawData'!B621)</f>
        <v>Silver</v>
      </c>
      <c r="C569" s="4" t="str">
        <f>IF(ISNUMBER(SEARCH("World",'RawData'!C621)),"",'RawData'!C621)</f>
        <v>China</v>
      </c>
      <c r="D569" s="4" t="str">
        <f>IF(ISNUMBER(SEARCH("World",'RawData'!C621)),"",'RawData'!D621)</f>
        <v>Mine production, silver content</v>
      </c>
      <c r="E569" s="4" t="str">
        <f>IF(ISNUMBER(SEARCH("World",'RawData'!C621)),"",IF('RawData'!E621="WT001","kg",IF('RawData'!E621="WT002","ton",IF('RawData'!E621="WT003","k ton",""))))</f>
        <v>ton</v>
      </c>
      <c r="F569" s="14">
        <f>IF(ISNUMBER(SEARCH("World",'RawData'!C621)),"",'RawData'!F621)</f>
        <v>3430</v>
      </c>
      <c r="G569" s="14">
        <f>IF(ISNUMBER(SEARCH("World",'RawData'!C621)),"",'RawData'!G621)</f>
        <v>3400</v>
      </c>
      <c r="H569" s="14">
        <f>IF(ISNUMBER(SEARCH("World",'RawData'!C621)),"",SUMIFS('RawData'!G:G,'RawData'!B:B,'RawData'!B621,'RawData'!C:C,"*World*"))</f>
        <v>26000</v>
      </c>
      <c r="I569" s="15">
        <f>IF(ISNUMBER(SEARCH("World",'RawData'!C621)),"",IFERROR(G569/H569,"-"))</f>
        <v>0.13076923076923078</v>
      </c>
      <c r="J569" s="7">
        <f>IF(ISNUMBER(SEARCH("World",'RawData'!C621)),"",IF(ISNUMBER(SEARCH("Other",C569)),COUNTIFS('RawData'!B:B,B569,'RawData'!C:C,"&lt;&gt;*World*"),IF(OR(G569="",G569=0),"-",SUMPRODUCT(('RawData'!B$2:B$822=B569)*('RawData'!G$2:G$822&gt;G569)*(ISERROR(SEARCH("World",'RawData'!C$2:C$822)))*(ISERROR(SEARCH("Other",'RawData'!C$2:C$822))))+1)))</f>
        <v>3</v>
      </c>
      <c r="K569" s="14">
        <f>IF(ISNUMBER(SEARCH("World",'RawData'!C621)),"",'RawData'!H621)</f>
        <v>67000</v>
      </c>
      <c r="L569" s="14">
        <f>IF(ISNUMBER(SEARCH("World",'RawData'!C621)),"",SUMIFS('RawData'!H:H,'RawData'!B:B,'RawData'!B621,'RawData'!C:C,"*World*"))</f>
        <v>610000</v>
      </c>
      <c r="M569" s="15">
        <f>IF(ISNUMBER(SEARCH("World",'RawData'!C621)),"",IFERROR(K569/L569,"-"))</f>
        <v>0.10983606557377049</v>
      </c>
      <c r="N569" s="7">
        <f>IF(ISNUMBER(SEARCH("World",'RawData'!C621)),"",IF(ISNUMBER(SEARCH("Other",C569)),COUNTIFS('RawData'!B:B,B569,'RawData'!C:C,"&lt;&gt;*World*"),IF(OR(K569="",K569=0),"-",SUMPRODUCT(('RawData'!B$2:B$822=B569)*('RawData'!H$2:H$822&gt;K569)*(ISERROR(SEARCH("World",'RawData'!C$2:C$822)))*(ISERROR(SEARCH("Other",'RawData'!C$2:C$822))))+1)))</f>
        <v>4</v>
      </c>
    </row>
    <row r="570" spans="1:14" x14ac:dyDescent="0.3">
      <c r="A570" s="4" t="str">
        <f>IF(ISNUMBER(SEARCH("World",'RawData'!C622)),"",'RawData'!A622)</f>
        <v>MCS2026</v>
      </c>
      <c r="B570" s="4" t="str">
        <f>IF(ISNUMBER(SEARCH("World",'RawData'!C622)),"",'RawData'!B622)</f>
        <v>Silver</v>
      </c>
      <c r="C570" s="4" t="str">
        <f>IF(ISNUMBER(SEARCH("World",'RawData'!C622)),"",'RawData'!C622)</f>
        <v>India</v>
      </c>
      <c r="D570" s="4" t="str">
        <f>IF(ISNUMBER(SEARCH("World",'RawData'!C622)),"",'RawData'!D622)</f>
        <v>Mine production, silver content</v>
      </c>
      <c r="E570" s="4" t="str">
        <f>IF(ISNUMBER(SEARCH("World",'RawData'!C622)),"",IF('RawData'!E622="WT001","kg",IF('RawData'!E622="WT002","ton",IF('RawData'!E622="WT003","k ton",""))))</f>
        <v>ton</v>
      </c>
      <c r="F570" s="14">
        <f>IF(ISNUMBER(SEARCH("World",'RawData'!C622)),"",'RawData'!F622)</f>
        <v>700</v>
      </c>
      <c r="G570" s="14">
        <f>IF(ISNUMBER(SEARCH("World",'RawData'!C622)),"",'RawData'!G622)</f>
        <v>800</v>
      </c>
      <c r="H570" s="14">
        <f>IF(ISNUMBER(SEARCH("World",'RawData'!C622)),"",SUMIFS('RawData'!G:G,'RawData'!B:B,'RawData'!B622,'RawData'!C:C,"*World*"))</f>
        <v>26000</v>
      </c>
      <c r="I570" s="15">
        <f>IF(ISNUMBER(SEARCH("World",'RawData'!C622)),"",IFERROR(G570/H570,"-"))</f>
        <v>3.0769230769230771E-2</v>
      </c>
      <c r="J570" s="7">
        <f>IF(ISNUMBER(SEARCH("World",'RawData'!C622)),"",IF(ISNUMBER(SEARCH("Other",C570)),COUNTIFS('RawData'!B:B,B570,'RawData'!C:C,"&lt;&gt;*World*"),IF(OR(G570="",G570=0),"-",SUMPRODUCT(('RawData'!B$2:B$822=B570)*('RawData'!G$2:G$822&gt;G570)*(ISERROR(SEARCH("World",'RawData'!C$2:C$822)))*(ISERROR(SEARCH("Other",'RawData'!C$2:C$822))))+1)))</f>
        <v>10</v>
      </c>
      <c r="K570" s="14">
        <f>IF(ISNUMBER(SEARCH("World",'RawData'!C622)),"",'RawData'!H622)</f>
        <v>8000</v>
      </c>
      <c r="L570" s="14">
        <f>IF(ISNUMBER(SEARCH("World",'RawData'!C622)),"",SUMIFS('RawData'!H:H,'RawData'!B:B,'RawData'!B622,'RawData'!C:C,"*World*"))</f>
        <v>610000</v>
      </c>
      <c r="M570" s="15">
        <f>IF(ISNUMBER(SEARCH("World",'RawData'!C622)),"",IFERROR(K570/L570,"-"))</f>
        <v>1.3114754098360656E-2</v>
      </c>
      <c r="N570" s="7">
        <f>IF(ISNUMBER(SEARCH("World",'RawData'!C622)),"",IF(ISNUMBER(SEARCH("Other",C570)),COUNTIFS('RawData'!B:B,B570,'RawData'!C:C,"&lt;&gt;*World*"),IF(OR(K570="",K570=0),"-",SUMPRODUCT(('RawData'!B$2:B$822=B570)*('RawData'!H$2:H$822&gt;K570)*(ISERROR(SEARCH("World",'RawData'!C$2:C$822)))*(ISERROR(SEARCH("Other",'RawData'!C$2:C$822))))+1)))</f>
        <v>10</v>
      </c>
    </row>
    <row r="571" spans="1:14" x14ac:dyDescent="0.3">
      <c r="A571" s="4" t="str">
        <f>IF(ISNUMBER(SEARCH("World",'RawData'!C623)),"",'RawData'!A623)</f>
        <v>MCS2026</v>
      </c>
      <c r="B571" s="4" t="str">
        <f>IF(ISNUMBER(SEARCH("World",'RawData'!C623)),"",'RawData'!B623)</f>
        <v>Silver</v>
      </c>
      <c r="C571" s="4" t="str">
        <f>IF(ISNUMBER(SEARCH("World",'RawData'!C623)),"",'RawData'!C623)</f>
        <v>Kazakhstan</v>
      </c>
      <c r="D571" s="4" t="str">
        <f>IF(ISNUMBER(SEARCH("World",'RawData'!C623)),"",'RawData'!D623)</f>
        <v>Mine production, silver content</v>
      </c>
      <c r="E571" s="4" t="str">
        <f>IF(ISNUMBER(SEARCH("World",'RawData'!C623)),"",IF('RawData'!E623="WT001","kg",IF('RawData'!E623="WT002","ton",IF('RawData'!E623="WT003","k ton",""))))</f>
        <v>ton</v>
      </c>
      <c r="F571" s="14">
        <f>IF(ISNUMBER(SEARCH("World",'RawData'!C623)),"",'RawData'!F623)</f>
        <v>850</v>
      </c>
      <c r="G571" s="14">
        <f>IF(ISNUMBER(SEARCH("World",'RawData'!C623)),"",'RawData'!G623)</f>
        <v>630</v>
      </c>
      <c r="H571" s="14">
        <f>IF(ISNUMBER(SEARCH("World",'RawData'!C623)),"",SUMIFS('RawData'!G:G,'RawData'!B:B,'RawData'!B623,'RawData'!C:C,"*World*"))</f>
        <v>26000</v>
      </c>
      <c r="I571" s="15">
        <f>IF(ISNUMBER(SEARCH("World",'RawData'!C623)),"",IFERROR(G571/H571,"-"))</f>
        <v>2.4230769230769229E-2</v>
      </c>
      <c r="J571" s="7">
        <f>IF(ISNUMBER(SEARCH("World",'RawData'!C623)),"",IF(ISNUMBER(SEARCH("Other",C571)),COUNTIFS('RawData'!B:B,B571,'RawData'!C:C,"&lt;&gt;*World*"),IF(OR(G571="",G571=0),"-",SUMPRODUCT(('RawData'!B$2:B$822=B571)*('RawData'!G$2:G$822&gt;G571)*(ISERROR(SEARCH("World",'RawData'!C$2:C$822)))*(ISERROR(SEARCH("Other",'RawData'!C$2:C$822))))+1)))</f>
        <v>12</v>
      </c>
      <c r="K571" s="14">
        <f>IF(ISNUMBER(SEARCH("World",'RawData'!C623)),"",'RawData'!H623)</f>
        <v>0</v>
      </c>
      <c r="L571" s="14">
        <f>IF(ISNUMBER(SEARCH("World",'RawData'!C623)),"",SUMIFS('RawData'!H:H,'RawData'!B:B,'RawData'!B623,'RawData'!C:C,"*World*"))</f>
        <v>610000</v>
      </c>
      <c r="M571" s="15">
        <f>IF(ISNUMBER(SEARCH("World",'RawData'!C623)),"",IFERROR(K571/L571,"-"))</f>
        <v>0</v>
      </c>
      <c r="N571" s="7" t="str">
        <f>IF(ISNUMBER(SEARCH("World",'RawData'!C623)),"",IF(ISNUMBER(SEARCH("Other",C571)),COUNTIFS('RawData'!B:B,B571,'RawData'!C:C,"&lt;&gt;*World*"),IF(OR(K571="",K571=0),"-",SUMPRODUCT(('RawData'!B$2:B$822=B571)*('RawData'!H$2:H$822&gt;K571)*(ISERROR(SEARCH("World",'RawData'!C$2:C$822)))*(ISERROR(SEARCH("Other",'RawData'!C$2:C$822))))+1)))</f>
        <v>-</v>
      </c>
    </row>
    <row r="572" spans="1:14" x14ac:dyDescent="0.3">
      <c r="A572" s="4" t="str">
        <f>IF(ISNUMBER(SEARCH("World",'RawData'!C624)),"",'RawData'!A624)</f>
        <v>MCS2026</v>
      </c>
      <c r="B572" s="4" t="str">
        <f>IF(ISNUMBER(SEARCH("World",'RawData'!C624)),"",'RawData'!B624)</f>
        <v>Silver</v>
      </c>
      <c r="C572" s="4" t="str">
        <f>IF(ISNUMBER(SEARCH("World",'RawData'!C624)),"",'RawData'!C624)</f>
        <v>Mexico</v>
      </c>
      <c r="D572" s="4" t="str">
        <f>IF(ISNUMBER(SEARCH("World",'RawData'!C624)),"",'RawData'!D624)</f>
        <v>Mine production, silver content</v>
      </c>
      <c r="E572" s="4" t="str">
        <f>IF(ISNUMBER(SEARCH("World",'RawData'!C624)),"",IF('RawData'!E624="WT001","kg",IF('RawData'!E624="WT002","ton",IF('RawData'!E624="WT003","k ton",""))))</f>
        <v>ton</v>
      </c>
      <c r="F572" s="14">
        <f>IF(ISNUMBER(SEARCH("World",'RawData'!C624)),"",'RawData'!F624)</f>
        <v>5780</v>
      </c>
      <c r="G572" s="14">
        <f>IF(ISNUMBER(SEARCH("World",'RawData'!C624)),"",'RawData'!G624)</f>
        <v>6300</v>
      </c>
      <c r="H572" s="14">
        <f>IF(ISNUMBER(SEARCH("World",'RawData'!C624)),"",SUMIFS('RawData'!G:G,'RawData'!B:B,'RawData'!B624,'RawData'!C:C,"*World*"))</f>
        <v>26000</v>
      </c>
      <c r="I572" s="15">
        <f>IF(ISNUMBER(SEARCH("World",'RawData'!C624)),"",IFERROR(G572/H572,"-"))</f>
        <v>0.24230769230769231</v>
      </c>
      <c r="J572" s="7">
        <f>IF(ISNUMBER(SEARCH("World",'RawData'!C624)),"",IF(ISNUMBER(SEARCH("Other",C572)),COUNTIFS('RawData'!B:B,B572,'RawData'!C:C,"&lt;&gt;*World*"),IF(OR(G572="",G572=0),"-",SUMPRODUCT(('RawData'!B$2:B$822=B572)*('RawData'!G$2:G$822&gt;G572)*(ISERROR(SEARCH("World",'RawData'!C$2:C$822)))*(ISERROR(SEARCH("Other",'RawData'!C$2:C$822))))+1)))</f>
        <v>1</v>
      </c>
      <c r="K572" s="14">
        <f>IF(ISNUMBER(SEARCH("World",'RawData'!C624)),"",'RawData'!H624)</f>
        <v>37000</v>
      </c>
      <c r="L572" s="14">
        <f>IF(ISNUMBER(SEARCH("World",'RawData'!C624)),"",SUMIFS('RawData'!H:H,'RawData'!B:B,'RawData'!B624,'RawData'!C:C,"*World*"))</f>
        <v>610000</v>
      </c>
      <c r="M572" s="15">
        <f>IF(ISNUMBER(SEARCH("World",'RawData'!C624)),"",IFERROR(K572/L572,"-"))</f>
        <v>6.0655737704918035E-2</v>
      </c>
      <c r="N572" s="7">
        <f>IF(ISNUMBER(SEARCH("World",'RawData'!C624)),"",IF(ISNUMBER(SEARCH("Other",C572)),COUNTIFS('RawData'!B:B,B572,'RawData'!C:C,"&lt;&gt;*World*"),IF(OR(K572="",K572=0),"-",SUMPRODUCT(('RawData'!B$2:B$822=B572)*('RawData'!H$2:H$822&gt;K572)*(ISERROR(SEARCH("World",'RawData'!C$2:C$822)))*(ISERROR(SEARCH("Other",'RawData'!C$2:C$822))))+1)))</f>
        <v>6</v>
      </c>
    </row>
    <row r="573" spans="1:14" x14ac:dyDescent="0.3">
      <c r="A573" s="4" t="str">
        <f>IF(ISNUMBER(SEARCH("World",'RawData'!C625)),"",'RawData'!A625)</f>
        <v>MCS2026</v>
      </c>
      <c r="B573" s="4" t="str">
        <f>IF(ISNUMBER(SEARCH("World",'RawData'!C625)),"",'RawData'!B625)</f>
        <v>Silver</v>
      </c>
      <c r="C573" s="4" t="str">
        <f>IF(ISNUMBER(SEARCH("World",'RawData'!C625)),"",'RawData'!C625)</f>
        <v>Other Countries</v>
      </c>
      <c r="D573" s="4" t="str">
        <f>IF(ISNUMBER(SEARCH("World",'RawData'!C625)),"",'RawData'!D625)</f>
        <v>Mine production, silver content</v>
      </c>
      <c r="E573" s="4" t="str">
        <f>IF(ISNUMBER(SEARCH("World",'RawData'!C625)),"",IF('RawData'!E625="WT001","kg",IF('RawData'!E625="WT002","ton",IF('RawData'!E625="WT003","k ton",""))))</f>
        <v>ton</v>
      </c>
      <c r="F573" s="14">
        <f>IF(ISNUMBER(SEARCH("World",'RawData'!C625)),"",'RawData'!F625)</f>
        <v>2110</v>
      </c>
      <c r="G573" s="14">
        <f>IF(ISNUMBER(SEARCH("World",'RawData'!C625)),"",'RawData'!G625)</f>
        <v>2100</v>
      </c>
      <c r="H573" s="14">
        <f>IF(ISNUMBER(SEARCH("World",'RawData'!C625)),"",SUMIFS('RawData'!G:G,'RawData'!B:B,'RawData'!B625,'RawData'!C:C,"*World*"))</f>
        <v>26000</v>
      </c>
      <c r="I573" s="15">
        <f>IF(ISNUMBER(SEARCH("World",'RawData'!C625)),"",IFERROR(G573/H573,"-"))</f>
        <v>8.0769230769230774E-2</v>
      </c>
      <c r="J573" s="7">
        <f>IF(ISNUMBER(SEARCH("World",'RawData'!C625)),"",IF(ISNUMBER(SEARCH("Other",C573)),COUNTIFS('RawData'!B:B,B573,'RawData'!C:C,"&lt;&gt;*World*"),IF(OR(G573="",G573=0),"-",SUMPRODUCT(('RawData'!B$2:B$822=B573)*('RawData'!G$2:G$822&gt;G573)*(ISERROR(SEARCH("World",'RawData'!C$2:C$822)))*(ISERROR(SEARCH("Other",'RawData'!C$2:C$822))))+1)))</f>
        <v>15</v>
      </c>
      <c r="K573" s="14">
        <f>IF(ISNUMBER(SEARCH("World",'RawData'!C625)),"",'RawData'!H625)</f>
        <v>57000</v>
      </c>
      <c r="L573" s="14">
        <f>IF(ISNUMBER(SEARCH("World",'RawData'!C625)),"",SUMIFS('RawData'!H:H,'RawData'!B:B,'RawData'!B625,'RawData'!C:C,"*World*"))</f>
        <v>610000</v>
      </c>
      <c r="M573" s="15">
        <f>IF(ISNUMBER(SEARCH("World",'RawData'!C625)),"",IFERROR(K573/L573,"-"))</f>
        <v>9.3442622950819676E-2</v>
      </c>
      <c r="N573" s="7">
        <f>IF(ISNUMBER(SEARCH("World",'RawData'!C625)),"",IF(ISNUMBER(SEARCH("Other",C573)),COUNTIFS('RawData'!B:B,B573,'RawData'!C:C,"&lt;&gt;*World*"),IF(OR(K573="",K573=0),"-",SUMPRODUCT(('RawData'!B$2:B$822=B573)*('RawData'!H$2:H$822&gt;K573)*(ISERROR(SEARCH("World",'RawData'!C$2:C$822)))*(ISERROR(SEARCH("Other",'RawData'!C$2:C$822))))+1)))</f>
        <v>15</v>
      </c>
    </row>
    <row r="574" spans="1:14" x14ac:dyDescent="0.3">
      <c r="A574" s="4" t="str">
        <f>IF(ISNUMBER(SEARCH("World",'RawData'!C626)),"",'RawData'!A626)</f>
        <v>MCS2026</v>
      </c>
      <c r="B574" s="4" t="str">
        <f>IF(ISNUMBER(SEARCH("World",'RawData'!C626)),"",'RawData'!B626)</f>
        <v>Silver</v>
      </c>
      <c r="C574" s="4" t="str">
        <f>IF(ISNUMBER(SEARCH("World",'RawData'!C626)),"",'RawData'!C626)</f>
        <v>Peru</v>
      </c>
      <c r="D574" s="4" t="str">
        <f>IF(ISNUMBER(SEARCH("World",'RawData'!C626)),"",'RawData'!D626)</f>
        <v>Mine production, silver content</v>
      </c>
      <c r="E574" s="4" t="str">
        <f>IF(ISNUMBER(SEARCH("World",'RawData'!C626)),"",IF('RawData'!E626="WT001","kg",IF('RawData'!E626="WT002","ton",IF('RawData'!E626="WT003","k ton",""))))</f>
        <v>ton</v>
      </c>
      <c r="F574" s="14">
        <f>IF(ISNUMBER(SEARCH("World",'RawData'!C626)),"",'RawData'!F626)</f>
        <v>3510</v>
      </c>
      <c r="G574" s="14">
        <f>IF(ISNUMBER(SEARCH("World",'RawData'!C626)),"",'RawData'!G626)</f>
        <v>3600</v>
      </c>
      <c r="H574" s="14">
        <f>IF(ISNUMBER(SEARCH("World",'RawData'!C626)),"",SUMIFS('RawData'!G:G,'RawData'!B:B,'RawData'!B626,'RawData'!C:C,"*World*"))</f>
        <v>26000</v>
      </c>
      <c r="I574" s="15">
        <f>IF(ISNUMBER(SEARCH("World",'RawData'!C626)),"",IFERROR(G574/H574,"-"))</f>
        <v>0.13846153846153847</v>
      </c>
      <c r="J574" s="7">
        <f>IF(ISNUMBER(SEARCH("World",'RawData'!C626)),"",IF(ISNUMBER(SEARCH("Other",C574)),COUNTIFS('RawData'!B:B,B574,'RawData'!C:C,"&lt;&gt;*World*"),IF(OR(G574="",G574=0),"-",SUMPRODUCT(('RawData'!B$2:B$822=B574)*('RawData'!G$2:G$822&gt;G574)*(ISERROR(SEARCH("World",'RawData'!C$2:C$822)))*(ISERROR(SEARCH("Other",'RawData'!C$2:C$822))))+1)))</f>
        <v>2</v>
      </c>
      <c r="K574" s="14">
        <f>IF(ISNUMBER(SEARCH("World",'RawData'!C626)),"",'RawData'!H626)</f>
        <v>110000</v>
      </c>
      <c r="L574" s="14">
        <f>IF(ISNUMBER(SEARCH("World",'RawData'!C626)),"",SUMIFS('RawData'!H:H,'RawData'!B:B,'RawData'!B626,'RawData'!C:C,"*World*"))</f>
        <v>610000</v>
      </c>
      <c r="M574" s="15">
        <f>IF(ISNUMBER(SEARCH("World",'RawData'!C626)),"",IFERROR(K574/L574,"-"))</f>
        <v>0.18032786885245902</v>
      </c>
      <c r="N574" s="7">
        <f>IF(ISNUMBER(SEARCH("World",'RawData'!C626)),"",IF(ISNUMBER(SEARCH("Other",C574)),COUNTIFS('RawData'!B:B,B574,'RawData'!C:C,"&lt;&gt;*World*"),IF(OR(K574="",K574=0),"-",SUMPRODUCT(('RawData'!B$2:B$822=B574)*('RawData'!H$2:H$822&gt;K574)*(ISERROR(SEARCH("World",'RawData'!C$2:C$822)))*(ISERROR(SEARCH("Other",'RawData'!C$2:C$822))))+1)))</f>
        <v>1</v>
      </c>
    </row>
    <row r="575" spans="1:14" x14ac:dyDescent="0.3">
      <c r="A575" s="4" t="str">
        <f>IF(ISNUMBER(SEARCH("World",'RawData'!C627)),"",'RawData'!A627)</f>
        <v>MCS2026</v>
      </c>
      <c r="B575" s="4" t="str">
        <f>IF(ISNUMBER(SEARCH("World",'RawData'!C627)),"",'RawData'!B627)</f>
        <v>Silver</v>
      </c>
      <c r="C575" s="4" t="str">
        <f>IF(ISNUMBER(SEARCH("World",'RawData'!C627)),"",'RawData'!C627)</f>
        <v>Poland</v>
      </c>
      <c r="D575" s="4" t="str">
        <f>IF(ISNUMBER(SEARCH("World",'RawData'!C627)),"",'RawData'!D627)</f>
        <v>Mine production, silver content</v>
      </c>
      <c r="E575" s="4" t="str">
        <f>IF(ISNUMBER(SEARCH("World",'RawData'!C627)),"",IF('RawData'!E627="WT001","kg",IF('RawData'!E627="WT002","ton",IF('RawData'!E627="WT003","k ton",""))))</f>
        <v>ton</v>
      </c>
      <c r="F575" s="14">
        <f>IF(ISNUMBER(SEARCH("World",'RawData'!C627)),"",'RawData'!F627)</f>
        <v>1320</v>
      </c>
      <c r="G575" s="14">
        <f>IF(ISNUMBER(SEARCH("World",'RawData'!C627)),"",'RawData'!G627)</f>
        <v>1300</v>
      </c>
      <c r="H575" s="14">
        <f>IF(ISNUMBER(SEARCH("World",'RawData'!C627)),"",SUMIFS('RawData'!G:G,'RawData'!B:B,'RawData'!B627,'RawData'!C:C,"*World*"))</f>
        <v>26000</v>
      </c>
      <c r="I575" s="15">
        <f>IF(ISNUMBER(SEARCH("World",'RawData'!C627)),"",IFERROR(G575/H575,"-"))</f>
        <v>0.05</v>
      </c>
      <c r="J575" s="7">
        <f>IF(ISNUMBER(SEARCH("World",'RawData'!C627)),"",IF(ISNUMBER(SEARCH("Other",C575)),COUNTIFS('RawData'!B:B,B575,'RawData'!C:C,"&lt;&gt;*World*"),IF(OR(G575="",G575=0),"-",SUMPRODUCT(('RawData'!B$2:B$822=B575)*('RawData'!G$2:G$822&gt;G575)*(ISERROR(SEARCH("World",'RawData'!C$2:C$822)))*(ISERROR(SEARCH("Other",'RawData'!C$2:C$822))))+1)))</f>
        <v>6</v>
      </c>
      <c r="K575" s="14">
        <f>IF(ISNUMBER(SEARCH("World",'RawData'!C627)),"",'RawData'!H627)</f>
        <v>59000</v>
      </c>
      <c r="L575" s="14">
        <f>IF(ISNUMBER(SEARCH("World",'RawData'!C627)),"",SUMIFS('RawData'!H:H,'RawData'!B:B,'RawData'!B627,'RawData'!C:C,"*World*"))</f>
        <v>610000</v>
      </c>
      <c r="M575" s="15">
        <f>IF(ISNUMBER(SEARCH("World",'RawData'!C627)),"",IFERROR(K575/L575,"-"))</f>
        <v>9.6721311475409841E-2</v>
      </c>
      <c r="N575" s="7">
        <f>IF(ISNUMBER(SEARCH("World",'RawData'!C627)),"",IF(ISNUMBER(SEARCH("Other",C575)),COUNTIFS('RawData'!B:B,B575,'RawData'!C:C,"&lt;&gt;*World*"),IF(OR(K575="",K575=0),"-",SUMPRODUCT(('RawData'!B$2:B$822=B575)*('RawData'!H$2:H$822&gt;K575)*(ISERROR(SEARCH("World",'RawData'!C$2:C$822)))*(ISERROR(SEARCH("Other",'RawData'!C$2:C$822))))+1)))</f>
        <v>5</v>
      </c>
    </row>
    <row r="576" spans="1:14" x14ac:dyDescent="0.3">
      <c r="A576" s="4" t="str">
        <f>IF(ISNUMBER(SEARCH("World",'RawData'!C628)),"",'RawData'!A628)</f>
        <v>MCS2026</v>
      </c>
      <c r="B576" s="4" t="str">
        <f>IF(ISNUMBER(SEARCH("World",'RawData'!C628)),"",'RawData'!B628)</f>
        <v>Silver</v>
      </c>
      <c r="C576" s="4" t="str">
        <f>IF(ISNUMBER(SEARCH("World",'RawData'!C628)),"",'RawData'!C628)</f>
        <v xml:space="preserve">Russia </v>
      </c>
      <c r="D576" s="4" t="str">
        <f>IF(ISNUMBER(SEARCH("World",'RawData'!C628)),"",'RawData'!D628)</f>
        <v>Mine production, silver content</v>
      </c>
      <c r="E576" s="4" t="str">
        <f>IF(ISNUMBER(SEARCH("World",'RawData'!C628)),"",IF('RawData'!E628="WT001","kg",IF('RawData'!E628="WT002","ton",IF('RawData'!E628="WT003","k ton",""))))</f>
        <v>ton</v>
      </c>
      <c r="F576" s="14">
        <f>IF(ISNUMBER(SEARCH("World",'RawData'!C628)),"",'RawData'!F628)</f>
        <v>1280</v>
      </c>
      <c r="G576" s="14">
        <f>IF(ISNUMBER(SEARCH("World",'RawData'!C628)),"",'RawData'!G628)</f>
        <v>1200</v>
      </c>
      <c r="H576" s="14">
        <f>IF(ISNUMBER(SEARCH("World",'RawData'!C628)),"",SUMIFS('RawData'!G:G,'RawData'!B:B,'RawData'!B628,'RawData'!C:C,"*World*"))</f>
        <v>26000</v>
      </c>
      <c r="I576" s="15">
        <f>IF(ISNUMBER(SEARCH("World",'RawData'!C628)),"",IFERROR(G576/H576,"-"))</f>
        <v>4.6153846153846156E-2</v>
      </c>
      <c r="J576" s="7">
        <f>IF(ISNUMBER(SEARCH("World",'RawData'!C628)),"",IF(ISNUMBER(SEARCH("Other",C576)),COUNTIFS('RawData'!B:B,B576,'RawData'!C:C,"&lt;&gt;*World*"),IF(OR(G576="",G576=0),"-",SUMPRODUCT(('RawData'!B$2:B$822=B576)*('RawData'!G$2:G$822&gt;G576)*(ISERROR(SEARCH("World",'RawData'!C$2:C$822)))*(ISERROR(SEARCH("Other",'RawData'!C$2:C$822))))+1)))</f>
        <v>7</v>
      </c>
      <c r="K576" s="14">
        <f>IF(ISNUMBER(SEARCH("World",'RawData'!C628)),"",'RawData'!H628)</f>
        <v>92000</v>
      </c>
      <c r="L576" s="14">
        <f>IF(ISNUMBER(SEARCH("World",'RawData'!C628)),"",SUMIFS('RawData'!H:H,'RawData'!B:B,'RawData'!B628,'RawData'!C:C,"*World*"))</f>
        <v>610000</v>
      </c>
      <c r="M576" s="15">
        <f>IF(ISNUMBER(SEARCH("World",'RawData'!C628)),"",IFERROR(K576/L576,"-"))</f>
        <v>0.15081967213114755</v>
      </c>
      <c r="N576" s="7">
        <f>IF(ISNUMBER(SEARCH("World",'RawData'!C628)),"",IF(ISNUMBER(SEARCH("Other",C576)),COUNTIFS('RawData'!B:B,B576,'RawData'!C:C,"&lt;&gt;*World*"),IF(OR(K576="",K576=0),"-",SUMPRODUCT(('RawData'!B$2:B$822=B576)*('RawData'!H$2:H$822&gt;K576)*(ISERROR(SEARCH("World",'RawData'!C$2:C$822)))*(ISERROR(SEARCH("Other",'RawData'!C$2:C$822))))+1)))</f>
        <v>2</v>
      </c>
    </row>
    <row r="577" spans="1:14" x14ac:dyDescent="0.3">
      <c r="A577" s="4" t="str">
        <f>IF(ISNUMBER(SEARCH("World",'RawData'!C629)),"",'RawData'!A629)</f>
        <v>MCS2026</v>
      </c>
      <c r="B577" s="4" t="str">
        <f>IF(ISNUMBER(SEARCH("World",'RawData'!C629)),"",'RawData'!B629)</f>
        <v>Silver</v>
      </c>
      <c r="C577" s="4" t="str">
        <f>IF(ISNUMBER(SEARCH("World",'RawData'!C629)),"",'RawData'!C629)</f>
        <v>Sweden</v>
      </c>
      <c r="D577" s="4" t="str">
        <f>IF(ISNUMBER(SEARCH("World",'RawData'!C629)),"",'RawData'!D629)</f>
        <v>Mine production, silver content</v>
      </c>
      <c r="E577" s="4" t="str">
        <f>IF(ISNUMBER(SEARCH("World",'RawData'!C629)),"",IF('RawData'!E629="WT001","kg",IF('RawData'!E629="WT002","ton",IF('RawData'!E629="WT003","k ton",""))))</f>
        <v>ton</v>
      </c>
      <c r="F577" s="14">
        <f>IF(ISNUMBER(SEARCH("World",'RawData'!C629)),"",'RawData'!F629)</f>
        <v>432</v>
      </c>
      <c r="G577" s="14">
        <f>IF(ISNUMBER(SEARCH("World",'RawData'!C629)),"",'RawData'!G629)</f>
        <v>400</v>
      </c>
      <c r="H577" s="14">
        <f>IF(ISNUMBER(SEARCH("World",'RawData'!C629)),"",SUMIFS('RawData'!G:G,'RawData'!B:B,'RawData'!B629,'RawData'!C:C,"*World*"))</f>
        <v>26000</v>
      </c>
      <c r="I577" s="15">
        <f>IF(ISNUMBER(SEARCH("World",'RawData'!C629)),"",IFERROR(G577/H577,"-"))</f>
        <v>1.5384615384615385E-2</v>
      </c>
      <c r="J577" s="7">
        <f>IF(ISNUMBER(SEARCH("World",'RawData'!C629)),"",IF(ISNUMBER(SEARCH("Other",C577)),COUNTIFS('RawData'!B:B,B577,'RawData'!C:C,"&lt;&gt;*World*"),IF(OR(G577="",G577=0),"-",SUMPRODUCT(('RawData'!B$2:B$822=B577)*('RawData'!G$2:G$822&gt;G577)*(ISERROR(SEARCH("World",'RawData'!C$2:C$822)))*(ISERROR(SEARCH("Other",'RawData'!C$2:C$822))))+1)))</f>
        <v>13</v>
      </c>
      <c r="K577" s="14">
        <f>IF(ISNUMBER(SEARCH("World",'RawData'!C629)),"",'RawData'!H629)</f>
        <v>0</v>
      </c>
      <c r="L577" s="14">
        <f>IF(ISNUMBER(SEARCH("World",'RawData'!C629)),"",SUMIFS('RawData'!H:H,'RawData'!B:B,'RawData'!B629,'RawData'!C:C,"*World*"))</f>
        <v>610000</v>
      </c>
      <c r="M577" s="15">
        <f>IF(ISNUMBER(SEARCH("World",'RawData'!C629)),"",IFERROR(K577/L577,"-"))</f>
        <v>0</v>
      </c>
      <c r="N577" s="7" t="str">
        <f>IF(ISNUMBER(SEARCH("World",'RawData'!C629)),"",IF(ISNUMBER(SEARCH("Other",C577)),COUNTIFS('RawData'!B:B,B577,'RawData'!C:C,"&lt;&gt;*World*"),IF(OR(K577="",K577=0),"-",SUMPRODUCT(('RawData'!B$2:B$822=B577)*('RawData'!H$2:H$822&gt;K577)*(ISERROR(SEARCH("World",'RawData'!C$2:C$822)))*(ISERROR(SEARCH("Other",'RawData'!C$2:C$822))))+1)))</f>
        <v>-</v>
      </c>
    </row>
    <row r="578" spans="1:14" x14ac:dyDescent="0.3">
      <c r="A578" s="4" t="str">
        <f>IF(ISNUMBER(SEARCH("World",'RawData'!C630)),"",'RawData'!A630)</f>
        <v>MCS2026</v>
      </c>
      <c r="B578" s="4" t="str">
        <f>IF(ISNUMBER(SEARCH("World",'RawData'!C630)),"",'RawData'!B630)</f>
        <v>Silver</v>
      </c>
      <c r="C578" s="4" t="str">
        <f>IF(ISNUMBER(SEARCH("World",'RawData'!C630)),"",'RawData'!C630)</f>
        <v>United States</v>
      </c>
      <c r="D578" s="4" t="str">
        <f>IF(ISNUMBER(SEARCH("World",'RawData'!C630)),"",'RawData'!D630)</f>
        <v>Mine production, silver content</v>
      </c>
      <c r="E578" s="4" t="str">
        <f>IF(ISNUMBER(SEARCH("World",'RawData'!C630)),"",IF('RawData'!E630="WT001","kg",IF('RawData'!E630="WT002","ton",IF('RawData'!E630="WT003","k ton",""))))</f>
        <v>ton</v>
      </c>
      <c r="F578" s="14">
        <f>IF(ISNUMBER(SEARCH("World",'RawData'!C630)),"",'RawData'!F630)</f>
        <v>1050</v>
      </c>
      <c r="G578" s="14">
        <f>IF(ISNUMBER(SEARCH("World",'RawData'!C630)),"",'RawData'!G630)</f>
        <v>1100</v>
      </c>
      <c r="H578" s="14">
        <f>IF(ISNUMBER(SEARCH("World",'RawData'!C630)),"",SUMIFS('RawData'!G:G,'RawData'!B:B,'RawData'!B630,'RawData'!C:C,"*World*"))</f>
        <v>26000</v>
      </c>
      <c r="I578" s="15">
        <f>IF(ISNUMBER(SEARCH("World",'RawData'!C630)),"",IFERROR(G578/H578,"-"))</f>
        <v>4.230769230769231E-2</v>
      </c>
      <c r="J578" s="7">
        <f>IF(ISNUMBER(SEARCH("World",'RawData'!C630)),"",IF(ISNUMBER(SEARCH("Other",C578)),COUNTIFS('RawData'!B:B,B578,'RawData'!C:C,"&lt;&gt;*World*"),IF(OR(G578="",G578=0),"-",SUMPRODUCT(('RawData'!B$2:B$822=B578)*('RawData'!G$2:G$822&gt;G578)*(ISERROR(SEARCH("World",'RawData'!C$2:C$822)))*(ISERROR(SEARCH("Other",'RawData'!C$2:C$822))))+1)))</f>
        <v>8</v>
      </c>
      <c r="K578" s="14">
        <f>IF(ISNUMBER(SEARCH("World",'RawData'!C630)),"",'RawData'!H630)</f>
        <v>23000</v>
      </c>
      <c r="L578" s="14">
        <f>IF(ISNUMBER(SEARCH("World",'RawData'!C630)),"",SUMIFS('RawData'!H:H,'RawData'!B:B,'RawData'!B630,'RawData'!C:C,"*World*"))</f>
        <v>610000</v>
      </c>
      <c r="M578" s="15">
        <f>IF(ISNUMBER(SEARCH("World",'RawData'!C630)),"",IFERROR(K578/L578,"-"))</f>
        <v>3.7704918032786888E-2</v>
      </c>
      <c r="N578" s="7">
        <f>IF(ISNUMBER(SEARCH("World",'RawData'!C630)),"",IF(ISNUMBER(SEARCH("Other",C578)),COUNTIFS('RawData'!B:B,B578,'RawData'!C:C,"&lt;&gt;*World*"),IF(OR(K578="",K578=0),"-",SUMPRODUCT(('RawData'!B$2:B$822=B578)*('RawData'!H$2:H$822&gt;K578)*(ISERROR(SEARCH("World",'RawData'!C$2:C$822)))*(ISERROR(SEARCH("Other",'RawData'!C$2:C$822))))+1)))</f>
        <v>8</v>
      </c>
    </row>
    <row r="579" spans="1:14" x14ac:dyDescent="0.3">
      <c r="A579" s="4" t="str">
        <f>IF(ISNUMBER(SEARCH("World",'RawData'!C632)),"",'RawData'!A632)</f>
        <v>MCS2026</v>
      </c>
      <c r="B579" s="4" t="str">
        <f>IF(ISNUMBER(SEARCH("World",'RawData'!C632)),"",'RawData'!B632)</f>
        <v>Soda ash</v>
      </c>
      <c r="C579" s="4" t="str">
        <f>IF(ISNUMBER(SEARCH("World",'RawData'!C632)),"",'RawData'!C632)</f>
        <v>Botswana</v>
      </c>
      <c r="D579" s="4" t="str">
        <f>IF(ISNUMBER(SEARCH("World",'RawData'!C632)),"",'RawData'!D632)</f>
        <v>Mine production, natural</v>
      </c>
      <c r="E579" s="4" t="str">
        <f>IF(ISNUMBER(SEARCH("World",'RawData'!C632)),"",IF('RawData'!E632="WT001","kg",IF('RawData'!E632="WT002","ton",IF('RawData'!E632="WT003","k ton",""))))</f>
        <v>k ton</v>
      </c>
      <c r="F579" s="14">
        <f>IF(ISNUMBER(SEARCH("World",'RawData'!C632)),"",'RawData'!F632)</f>
        <v>298</v>
      </c>
      <c r="G579" s="14">
        <f>IF(ISNUMBER(SEARCH("World",'RawData'!C632)),"",'RawData'!G632)</f>
        <v>290</v>
      </c>
      <c r="H579" s="14">
        <f>IF(ISNUMBER(SEARCH("World",'RawData'!C632)),"",SUMIFS('RawData'!G:G,'RawData'!B:B,'RawData'!B632,'RawData'!C:C,"*World*"))</f>
        <v>19000</v>
      </c>
      <c r="I579" s="15">
        <f>IF(ISNUMBER(SEARCH("World",'RawData'!C632)),"",IFERROR(G579/H579,"-"))</f>
        <v>1.5263157894736841E-2</v>
      </c>
      <c r="J579" s="7">
        <f>IF(ISNUMBER(SEARCH("World",'RawData'!C632)),"",IF(ISNUMBER(SEARCH("Other",C579)),COUNTIFS('RawData'!B:B,B579,'RawData'!C:C,"&lt;&gt;*World*"),IF(OR(G579="",G579=0),"-",SUMPRODUCT(('RawData'!B$2:B$822=B579)*('RawData'!G$2:G$822&gt;G579)*(ISERROR(SEARCH("World",'RawData'!C$2:C$822)))*(ISERROR(SEARCH("Other",'RawData'!C$2:C$822))))+1)))</f>
        <v>3</v>
      </c>
      <c r="K579" s="14">
        <f>IF(ISNUMBER(SEARCH("World",'RawData'!C632)),"",'RawData'!H632)</f>
        <v>16000</v>
      </c>
      <c r="L579" s="14">
        <f>IF(ISNUMBER(SEARCH("World",'RawData'!C632)),"",SUMIFS('RawData'!H:H,'RawData'!B:B,'RawData'!B632,'RawData'!C:C,"*World*"))</f>
        <v>25000000</v>
      </c>
      <c r="M579" s="15">
        <f>IF(ISNUMBER(SEARCH("World",'RawData'!C632)),"",IFERROR(K579/L579,"-"))</f>
        <v>6.4000000000000005E-4</v>
      </c>
      <c r="N579" s="7">
        <f>IF(ISNUMBER(SEARCH("World",'RawData'!C632)),"",IF(ISNUMBER(SEARCH("Other",C579)),COUNTIFS('RawData'!B:B,B579,'RawData'!C:C,"&lt;&gt;*World*"),IF(OR(K579="",K579=0),"-",SUMPRODUCT(('RawData'!B$2:B$822=B579)*('RawData'!H$2:H$822&gt;K579)*(ISERROR(SEARCH("World",'RawData'!C$2:C$822)))*(ISERROR(SEARCH("Other",'RawData'!C$2:C$822))))+1)))</f>
        <v>4</v>
      </c>
    </row>
    <row r="580" spans="1:14" x14ac:dyDescent="0.3">
      <c r="A580" s="4" t="str">
        <f>IF(ISNUMBER(SEARCH("World",'RawData'!C633)),"",'RawData'!A633)</f>
        <v>MCS2026</v>
      </c>
      <c r="B580" s="4" t="str">
        <f>IF(ISNUMBER(SEARCH("World",'RawData'!C633)),"",'RawData'!B633)</f>
        <v>Soda ash</v>
      </c>
      <c r="C580" s="4" t="str">
        <f>IF(ISNUMBER(SEARCH("World",'RawData'!C633)),"",'RawData'!C633)</f>
        <v>Ethiopia</v>
      </c>
      <c r="D580" s="4" t="str">
        <f>IF(ISNUMBER(SEARCH("World",'RawData'!C633)),"",'RawData'!D633)</f>
        <v>Mine production, natural</v>
      </c>
      <c r="E580" s="4" t="str">
        <f>IF(ISNUMBER(SEARCH("World",'RawData'!C633)),"",IF('RawData'!E633="WT001","kg",IF('RawData'!E633="WT002","ton",IF('RawData'!E633="WT003","k ton",""))))</f>
        <v>k ton</v>
      </c>
      <c r="F580" s="14">
        <f>IF(ISNUMBER(SEARCH("World",'RawData'!C633)),"",'RawData'!F633)</f>
        <v>18</v>
      </c>
      <c r="G580" s="14">
        <f>IF(ISNUMBER(SEARCH("World",'RawData'!C633)),"",'RawData'!G633)</f>
        <v>18</v>
      </c>
      <c r="H580" s="14">
        <f>IF(ISNUMBER(SEARCH("World",'RawData'!C633)),"",SUMIFS('RawData'!G:G,'RawData'!B:B,'RawData'!B633,'RawData'!C:C,"*World*"))</f>
        <v>19000</v>
      </c>
      <c r="I580" s="15">
        <f>IF(ISNUMBER(SEARCH("World",'RawData'!C633)),"",IFERROR(G580/H580,"-"))</f>
        <v>9.4736842105263154E-4</v>
      </c>
      <c r="J580" s="7">
        <f>IF(ISNUMBER(SEARCH("World",'RawData'!C633)),"",IF(ISNUMBER(SEARCH("Other",C580)),COUNTIFS('RawData'!B:B,B580,'RawData'!C:C,"&lt;&gt;*World*"),IF(OR(G580="",G580=0),"-",SUMPRODUCT(('RawData'!B$2:B$822=B580)*('RawData'!G$2:G$822&gt;G580)*(ISERROR(SEARCH("World",'RawData'!C$2:C$822)))*(ISERROR(SEARCH("Other",'RawData'!C$2:C$822))))+1)))</f>
        <v>5</v>
      </c>
      <c r="K580" s="14">
        <f>IF(ISNUMBER(SEARCH("World",'RawData'!C633)),"",'RawData'!H633)</f>
        <v>400000</v>
      </c>
      <c r="L580" s="14">
        <f>IF(ISNUMBER(SEARCH("World",'RawData'!C633)),"",SUMIFS('RawData'!H:H,'RawData'!B:B,'RawData'!B633,'RawData'!C:C,"*World*"))</f>
        <v>25000000</v>
      </c>
      <c r="M580" s="15">
        <f>IF(ISNUMBER(SEARCH("World",'RawData'!C633)),"",IFERROR(K580/L580,"-"))</f>
        <v>1.6E-2</v>
      </c>
      <c r="N580" s="7">
        <f>IF(ISNUMBER(SEARCH("World",'RawData'!C633)),"",IF(ISNUMBER(SEARCH("Other",C580)),COUNTIFS('RawData'!B:B,B580,'RawData'!C:C,"&lt;&gt;*World*"),IF(OR(K580="",K580=0),"-",SUMPRODUCT(('RawData'!B$2:B$822=B580)*('RawData'!H$2:H$822&gt;K580)*(ISERROR(SEARCH("World",'RawData'!C$2:C$822)))*(ISERROR(SEARCH("Other",'RawData'!C$2:C$822))))+1)))</f>
        <v>3</v>
      </c>
    </row>
    <row r="581" spans="1:14" x14ac:dyDescent="0.3">
      <c r="A581" s="4" t="str">
        <f>IF(ISNUMBER(SEARCH("World",'RawData'!C634)),"",'RawData'!A634)</f>
        <v>MCS2026</v>
      </c>
      <c r="B581" s="4" t="str">
        <f>IF(ISNUMBER(SEARCH("World",'RawData'!C634)),"",'RawData'!B634)</f>
        <v>Soda ash</v>
      </c>
      <c r="C581" s="4" t="str">
        <f>IF(ISNUMBER(SEARCH("World",'RawData'!C634)),"",'RawData'!C634)</f>
        <v>Kenya</v>
      </c>
      <c r="D581" s="4" t="str">
        <f>IF(ISNUMBER(SEARCH("World",'RawData'!C634)),"",'RawData'!D634)</f>
        <v>Mine production, natural</v>
      </c>
      <c r="E581" s="4" t="str">
        <f>IF(ISNUMBER(SEARCH("World",'RawData'!C634)),"",IF('RawData'!E634="WT001","kg",IF('RawData'!E634="WT002","ton",IF('RawData'!E634="WT003","k ton",""))))</f>
        <v>k ton</v>
      </c>
      <c r="F581" s="14">
        <f>IF(ISNUMBER(SEARCH("World",'RawData'!C634)),"",'RawData'!F634)</f>
        <v>265</v>
      </c>
      <c r="G581" s="14">
        <f>IF(ISNUMBER(SEARCH("World",'RawData'!C634)),"",'RawData'!G634)</f>
        <v>270</v>
      </c>
      <c r="H581" s="14">
        <f>IF(ISNUMBER(SEARCH("World",'RawData'!C634)),"",SUMIFS('RawData'!G:G,'RawData'!B:B,'RawData'!B634,'RawData'!C:C,"*World*"))</f>
        <v>19000</v>
      </c>
      <c r="I581" s="15">
        <f>IF(ISNUMBER(SEARCH("World",'RawData'!C634)),"",IFERROR(G581/H581,"-"))</f>
        <v>1.4210526315789474E-2</v>
      </c>
      <c r="J581" s="7">
        <f>IF(ISNUMBER(SEARCH("World",'RawData'!C634)),"",IF(ISNUMBER(SEARCH("Other",C581)),COUNTIFS('RawData'!B:B,B581,'RawData'!C:C,"&lt;&gt;*World*"),IF(OR(G581="",G581=0),"-",SUMPRODUCT(('RawData'!B$2:B$822=B581)*('RawData'!G$2:G$822&gt;G581)*(ISERROR(SEARCH("World",'RawData'!C$2:C$822)))*(ISERROR(SEARCH("Other",'RawData'!C$2:C$822))))+1)))</f>
        <v>4</v>
      </c>
      <c r="K581" s="14">
        <f>IF(ISNUMBER(SEARCH("World",'RawData'!C634)),"",'RawData'!H634)</f>
        <v>7000</v>
      </c>
      <c r="L581" s="14">
        <f>IF(ISNUMBER(SEARCH("World",'RawData'!C634)),"",SUMIFS('RawData'!H:H,'RawData'!B:B,'RawData'!B634,'RawData'!C:C,"*World*"))</f>
        <v>25000000</v>
      </c>
      <c r="M581" s="15">
        <f>IF(ISNUMBER(SEARCH("World",'RawData'!C634)),"",IFERROR(K581/L581,"-"))</f>
        <v>2.7999999999999998E-4</v>
      </c>
      <c r="N581" s="7">
        <f>IF(ISNUMBER(SEARCH("World",'RawData'!C634)),"",IF(ISNUMBER(SEARCH("Other",C581)),COUNTIFS('RawData'!B:B,B581,'RawData'!C:C,"&lt;&gt;*World*"),IF(OR(K581="",K581=0),"-",SUMPRODUCT(('RawData'!B$2:B$822=B581)*('RawData'!H$2:H$822&gt;K581)*(ISERROR(SEARCH("World",'RawData'!C$2:C$822)))*(ISERROR(SEARCH("Other",'RawData'!C$2:C$822))))+1)))</f>
        <v>5</v>
      </c>
    </row>
    <row r="582" spans="1:14" x14ac:dyDescent="0.3">
      <c r="A582" s="4" t="str">
        <f>IF(ISNUMBER(SEARCH("World",'RawData'!C635)),"",'RawData'!A635)</f>
        <v>MCS2026</v>
      </c>
      <c r="B582" s="4" t="str">
        <f>IF(ISNUMBER(SEARCH("World",'RawData'!C635)),"",'RawData'!B635)</f>
        <v>Soda ash</v>
      </c>
      <c r="C582" s="4" t="str">
        <f>IF(ISNUMBER(SEARCH("World",'RawData'!C635)),"",'RawData'!C635)</f>
        <v>Other Countries</v>
      </c>
      <c r="D582" s="4" t="str">
        <f>IF(ISNUMBER(SEARCH("World",'RawData'!C635)),"",'RawData'!D635)</f>
        <v>Mine production, natural</v>
      </c>
      <c r="E582" s="4" t="str">
        <f>IF(ISNUMBER(SEARCH("World",'RawData'!C635)),"",IF('RawData'!E635="WT001","kg",IF('RawData'!E635="WT002","ton",IF('RawData'!E635="WT003","k ton",""))))</f>
        <v>k ton</v>
      </c>
      <c r="F582" s="14">
        <f>IF(ISNUMBER(SEARCH("World",'RawData'!C635)),"",'RawData'!F635)</f>
        <v>0</v>
      </c>
      <c r="G582" s="14">
        <f>IF(ISNUMBER(SEARCH("World",'RawData'!C635)),"",'RawData'!G635)</f>
        <v>0</v>
      </c>
      <c r="H582" s="14">
        <f>IF(ISNUMBER(SEARCH("World",'RawData'!C635)),"",SUMIFS('RawData'!G:G,'RawData'!B:B,'RawData'!B635,'RawData'!C:C,"*World*"))</f>
        <v>19000</v>
      </c>
      <c r="I582" s="15">
        <f>IF(ISNUMBER(SEARCH("World",'RawData'!C635)),"",IFERROR(G582/H582,"-"))</f>
        <v>0</v>
      </c>
      <c r="J582" s="7">
        <f>IF(ISNUMBER(SEARCH("World",'RawData'!C635)),"",IF(ISNUMBER(SEARCH("Other",C582)),COUNTIFS('RawData'!B:B,B582,'RawData'!C:C,"&lt;&gt;*World*"),IF(OR(G582="",G582=0),"-",SUMPRODUCT(('RawData'!B$2:B$822=B582)*('RawData'!G$2:G$822&gt;G582)*(ISERROR(SEARCH("World",'RawData'!C$2:C$822)))*(ISERROR(SEARCH("Other",'RawData'!C$2:C$822))))+1)))</f>
        <v>6</v>
      </c>
      <c r="K582" s="14">
        <f>IF(ISNUMBER(SEARCH("World",'RawData'!C635)),"",'RawData'!H635)</f>
        <v>280000</v>
      </c>
      <c r="L582" s="14">
        <f>IF(ISNUMBER(SEARCH("World",'RawData'!C635)),"",SUMIFS('RawData'!H:H,'RawData'!B:B,'RawData'!B635,'RawData'!C:C,"*World*"))</f>
        <v>25000000</v>
      </c>
      <c r="M582" s="15">
        <f>IF(ISNUMBER(SEARCH("World",'RawData'!C635)),"",IFERROR(K582/L582,"-"))</f>
        <v>1.12E-2</v>
      </c>
      <c r="N582" s="7">
        <f>IF(ISNUMBER(SEARCH("World",'RawData'!C635)),"",IF(ISNUMBER(SEARCH("Other",C582)),COUNTIFS('RawData'!B:B,B582,'RawData'!C:C,"&lt;&gt;*World*"),IF(OR(K582="",K582=0),"-",SUMPRODUCT(('RawData'!B$2:B$822=B582)*('RawData'!H$2:H$822&gt;K582)*(ISERROR(SEARCH("World",'RawData'!C$2:C$822)))*(ISERROR(SEARCH("Other",'RawData'!C$2:C$822))))+1)))</f>
        <v>6</v>
      </c>
    </row>
    <row r="583" spans="1:14" x14ac:dyDescent="0.3">
      <c r="A583" s="4" t="str">
        <f>IF(ISNUMBER(SEARCH("World",'RawData'!C636)),"",'RawData'!A636)</f>
        <v>MCS2026</v>
      </c>
      <c r="B583" s="4" t="str">
        <f>IF(ISNUMBER(SEARCH("World",'RawData'!C636)),"",'RawData'!B636)</f>
        <v>Soda ash</v>
      </c>
      <c r="C583" s="4" t="str">
        <f>IF(ISNUMBER(SEARCH("World",'RawData'!C636)),"",'RawData'!C636)</f>
        <v>Turkiye</v>
      </c>
      <c r="D583" s="4" t="str">
        <f>IF(ISNUMBER(SEARCH("World",'RawData'!C636)),"",'RawData'!D636)</f>
        <v>Mine production, natural</v>
      </c>
      <c r="E583" s="4" t="str">
        <f>IF(ISNUMBER(SEARCH("World",'RawData'!C636)),"",IF('RawData'!E636="WT001","kg",IF('RawData'!E636="WT002","ton",IF('RawData'!E636="WT003","k ton",""))))</f>
        <v>k ton</v>
      </c>
      <c r="F583" s="14">
        <f>IF(ISNUMBER(SEARCH("World",'RawData'!C636)),"",'RawData'!F636)</f>
        <v>6100</v>
      </c>
      <c r="G583" s="14">
        <f>IF(ISNUMBER(SEARCH("World",'RawData'!C636)),"",'RawData'!G636)</f>
        <v>6000</v>
      </c>
      <c r="H583" s="14">
        <f>IF(ISNUMBER(SEARCH("World",'RawData'!C636)),"",SUMIFS('RawData'!G:G,'RawData'!B:B,'RawData'!B636,'RawData'!C:C,"*World*"))</f>
        <v>19000</v>
      </c>
      <c r="I583" s="15">
        <f>IF(ISNUMBER(SEARCH("World",'RawData'!C636)),"",IFERROR(G583/H583,"-"))</f>
        <v>0.31578947368421051</v>
      </c>
      <c r="J583" s="7">
        <f>IF(ISNUMBER(SEARCH("World",'RawData'!C636)),"",IF(ISNUMBER(SEARCH("Other",C583)),COUNTIFS('RawData'!B:B,B583,'RawData'!C:C,"&lt;&gt;*World*"),IF(OR(G583="",G583=0),"-",SUMPRODUCT(('RawData'!B$2:B$822=B583)*('RawData'!G$2:G$822&gt;G583)*(ISERROR(SEARCH("World",'RawData'!C$2:C$822)))*(ISERROR(SEARCH("Other",'RawData'!C$2:C$822))))+1)))</f>
        <v>2</v>
      </c>
      <c r="K583" s="14">
        <f>IF(ISNUMBER(SEARCH("World",'RawData'!C636)),"",'RawData'!H636)</f>
        <v>840000</v>
      </c>
      <c r="L583" s="14">
        <f>IF(ISNUMBER(SEARCH("World",'RawData'!C636)),"",SUMIFS('RawData'!H:H,'RawData'!B:B,'RawData'!B636,'RawData'!C:C,"*World*"))</f>
        <v>25000000</v>
      </c>
      <c r="M583" s="15">
        <f>IF(ISNUMBER(SEARCH("World",'RawData'!C636)),"",IFERROR(K583/L583,"-"))</f>
        <v>3.3599999999999998E-2</v>
      </c>
      <c r="N583" s="7">
        <f>IF(ISNUMBER(SEARCH("World",'RawData'!C636)),"",IF(ISNUMBER(SEARCH("Other",C583)),COUNTIFS('RawData'!B:B,B583,'RawData'!C:C,"&lt;&gt;*World*"),IF(OR(K583="",K583=0),"-",SUMPRODUCT(('RawData'!B$2:B$822=B583)*('RawData'!H$2:H$822&gt;K583)*(ISERROR(SEARCH("World",'RawData'!C$2:C$822)))*(ISERROR(SEARCH("Other",'RawData'!C$2:C$822))))+1)))</f>
        <v>2</v>
      </c>
    </row>
    <row r="584" spans="1:14" x14ac:dyDescent="0.3">
      <c r="A584" s="4" t="str">
        <f>IF(ISNUMBER(SEARCH("World",'RawData'!C637)),"",'RawData'!A637)</f>
        <v>MCS2026</v>
      </c>
      <c r="B584" s="4" t="str">
        <f>IF(ISNUMBER(SEARCH("World",'RawData'!C637)),"",'RawData'!B637)</f>
        <v>Soda ash</v>
      </c>
      <c r="C584" s="4" t="str">
        <f>IF(ISNUMBER(SEARCH("World",'RawData'!C637)),"",'RawData'!C637)</f>
        <v>United States</v>
      </c>
      <c r="D584" s="4" t="str">
        <f>IF(ISNUMBER(SEARCH("World",'RawData'!C637)),"",'RawData'!D637)</f>
        <v>Soda ash, natural, mine production</v>
      </c>
      <c r="E584" s="4" t="str">
        <f>IF(ISNUMBER(SEARCH("World",'RawData'!C637)),"",IF('RawData'!E637="WT001","kg",IF('RawData'!E637="WT002","ton",IF('RawData'!E637="WT003","k ton",""))))</f>
        <v>k ton</v>
      </c>
      <c r="F584" s="14">
        <f>IF(ISNUMBER(SEARCH("World",'RawData'!C637)),"",'RawData'!F637)</f>
        <v>11700</v>
      </c>
      <c r="G584" s="14">
        <f>IF(ISNUMBER(SEARCH("World",'RawData'!C637)),"",'RawData'!G637)</f>
        <v>12000</v>
      </c>
      <c r="H584" s="14">
        <f>IF(ISNUMBER(SEARCH("World",'RawData'!C637)),"",SUMIFS('RawData'!G:G,'RawData'!B:B,'RawData'!B637,'RawData'!C:C,"*World*"))</f>
        <v>19000</v>
      </c>
      <c r="I584" s="15">
        <f>IF(ISNUMBER(SEARCH("World",'RawData'!C637)),"",IFERROR(G584/H584,"-"))</f>
        <v>0.63157894736842102</v>
      </c>
      <c r="J584" s="7">
        <f>IF(ISNUMBER(SEARCH("World",'RawData'!C637)),"",IF(ISNUMBER(SEARCH("Other",C584)),COUNTIFS('RawData'!B:B,B584,'RawData'!C:C,"&lt;&gt;*World*"),IF(OR(G584="",G584=0),"-",SUMPRODUCT(('RawData'!B$2:B$822=B584)*('RawData'!G$2:G$822&gt;G584)*(ISERROR(SEARCH("World",'RawData'!C$2:C$822)))*(ISERROR(SEARCH("Other",'RawData'!C$2:C$822))))+1)))</f>
        <v>1</v>
      </c>
      <c r="K584" s="14">
        <f>IF(ISNUMBER(SEARCH("World",'RawData'!C637)),"",'RawData'!H637)</f>
        <v>23000000</v>
      </c>
      <c r="L584" s="14">
        <f>IF(ISNUMBER(SEARCH("World",'RawData'!C637)),"",SUMIFS('RawData'!H:H,'RawData'!B:B,'RawData'!B637,'RawData'!C:C,"*World*"))</f>
        <v>25000000</v>
      </c>
      <c r="M584" s="15">
        <f>IF(ISNUMBER(SEARCH("World",'RawData'!C637)),"",IFERROR(K584/L584,"-"))</f>
        <v>0.92</v>
      </c>
      <c r="N584" s="7">
        <f>IF(ISNUMBER(SEARCH("World",'RawData'!C637)),"",IF(ISNUMBER(SEARCH("Other",C584)),COUNTIFS('RawData'!B:B,B584,'RawData'!C:C,"&lt;&gt;*World*"),IF(OR(K584="",K584=0),"-",SUMPRODUCT(('RawData'!B$2:B$822=B584)*('RawData'!H$2:H$822&gt;K584)*(ISERROR(SEARCH("World",'RawData'!C$2:C$822)))*(ISERROR(SEARCH("Other",'RawData'!C$2:C$822))))+1)))</f>
        <v>1</v>
      </c>
    </row>
    <row r="585" spans="1:14" x14ac:dyDescent="0.3">
      <c r="A585" s="4" t="str">
        <f>IF(ISNUMBER(SEARCH("World",'RawData'!C639)),"",'RawData'!A639)</f>
        <v>MCS2026</v>
      </c>
      <c r="B585" s="4" t="str">
        <f>IF(ISNUMBER(SEARCH("World",'RawData'!C639)),"",'RawData'!B639)</f>
        <v>Strontium</v>
      </c>
      <c r="C585" s="4" t="str">
        <f>IF(ISNUMBER(SEARCH("World",'RawData'!C639)),"",'RawData'!C639)</f>
        <v>Argentina</v>
      </c>
      <c r="D585" s="4" t="str">
        <f>IF(ISNUMBER(SEARCH("World",'RawData'!C639)),"",'RawData'!D639)</f>
        <v>Mine production, strontium content</v>
      </c>
      <c r="E585" s="4" t="str">
        <f>IF(ISNUMBER(SEARCH("World",'RawData'!C639)),"",IF('RawData'!E639="WT001","kg",IF('RawData'!E639="WT002","ton",IF('RawData'!E639="WT003","k ton",""))))</f>
        <v>ton</v>
      </c>
      <c r="F585" s="14">
        <f>IF(ISNUMBER(SEARCH("World",'RawData'!C639)),"",'RawData'!F639)</f>
        <v>700</v>
      </c>
      <c r="G585" s="14">
        <f>IF(ISNUMBER(SEARCH("World",'RawData'!C639)),"",'RawData'!G639)</f>
        <v>700</v>
      </c>
      <c r="H585" s="14">
        <f>IF(ISNUMBER(SEARCH("World",'RawData'!C639)),"",SUMIFS('RawData'!G:G,'RawData'!B:B,'RawData'!B639,'RawData'!C:C,"*World*"))</f>
        <v>450000</v>
      </c>
      <c r="I585" s="15">
        <f>IF(ISNUMBER(SEARCH("World",'RawData'!C639)),"",IFERROR(G585/H585,"-"))</f>
        <v>1.5555555555555555E-3</v>
      </c>
      <c r="J585" s="7">
        <f>IF(ISNUMBER(SEARCH("World",'RawData'!C639)),"",IF(ISNUMBER(SEARCH("Other",C585)),COUNTIFS('RawData'!B:B,B585,'RawData'!C:C,"&lt;&gt;*World*"),IF(OR(G585="",G585=0),"-",SUMPRODUCT(('RawData'!B$2:B$822=B585)*('RawData'!G$2:G$822&gt;G585)*(ISERROR(SEARCH("World",'RawData'!C$2:C$822)))*(ISERROR(SEARCH("Other",'RawData'!C$2:C$822))))+1)))</f>
        <v>5</v>
      </c>
      <c r="K585" s="14">
        <f>IF(ISNUMBER(SEARCH("World",'RawData'!C639)),"",'RawData'!H639)</f>
        <v>0</v>
      </c>
      <c r="L585" s="14">
        <f>IF(ISNUMBER(SEARCH("World",'RawData'!C639)),"",SUMIFS('RawData'!H:H,'RawData'!B:B,'RawData'!B639,'RawData'!C:C,"*World*"))</f>
        <v>0</v>
      </c>
      <c r="M585" s="15" t="str">
        <f>IF(ISNUMBER(SEARCH("World",'RawData'!C639)),"",IFERROR(K585/L585,"-"))</f>
        <v>-</v>
      </c>
      <c r="N585" s="7" t="str">
        <f>IF(ISNUMBER(SEARCH("World",'RawData'!C639)),"",IF(ISNUMBER(SEARCH("Other",C585)),COUNTIFS('RawData'!B:B,B585,'RawData'!C:C,"&lt;&gt;*World*"),IF(OR(K585="",K585=0),"-",SUMPRODUCT(('RawData'!B$2:B$822=B585)*('RawData'!H$2:H$822&gt;K585)*(ISERROR(SEARCH("World",'RawData'!C$2:C$822)))*(ISERROR(SEARCH("Other",'RawData'!C$2:C$822))))+1)))</f>
        <v>-</v>
      </c>
    </row>
    <row r="586" spans="1:14" x14ac:dyDescent="0.3">
      <c r="A586" s="4" t="str">
        <f>IF(ISNUMBER(SEARCH("World",'RawData'!C640)),"",'RawData'!A640)</f>
        <v>MCS2026</v>
      </c>
      <c r="B586" s="4" t="str">
        <f>IF(ISNUMBER(SEARCH("World",'RawData'!C640)),"",'RawData'!B640)</f>
        <v>Strontium</v>
      </c>
      <c r="C586" s="4" t="str">
        <f>IF(ISNUMBER(SEARCH("World",'RawData'!C640)),"",'RawData'!C640)</f>
        <v>China</v>
      </c>
      <c r="D586" s="4" t="str">
        <f>IF(ISNUMBER(SEARCH("World",'RawData'!C640)),"",'RawData'!D640)</f>
        <v>Mine production, strontium content</v>
      </c>
      <c r="E586" s="4" t="str">
        <f>IF(ISNUMBER(SEARCH("World",'RawData'!C640)),"",IF('RawData'!E640="WT001","kg",IF('RawData'!E640="WT002","ton",IF('RawData'!E640="WT003","k ton",""))))</f>
        <v>ton</v>
      </c>
      <c r="F586" s="14">
        <f>IF(ISNUMBER(SEARCH("World",'RawData'!C640)),"",'RawData'!F640)</f>
        <v>80000</v>
      </c>
      <c r="G586" s="14">
        <f>IF(ISNUMBER(SEARCH("World",'RawData'!C640)),"",'RawData'!G640)</f>
        <v>80000</v>
      </c>
      <c r="H586" s="14">
        <f>IF(ISNUMBER(SEARCH("World",'RawData'!C640)),"",SUMIFS('RawData'!G:G,'RawData'!B:B,'RawData'!B640,'RawData'!C:C,"*World*"))</f>
        <v>450000</v>
      </c>
      <c r="I586" s="15">
        <f>IF(ISNUMBER(SEARCH("World",'RawData'!C640)),"",IFERROR(G586/H586,"-"))</f>
        <v>0.17777777777777778</v>
      </c>
      <c r="J586" s="7">
        <f>IF(ISNUMBER(SEARCH("World",'RawData'!C640)),"",IF(ISNUMBER(SEARCH("Other",C586)),COUNTIFS('RawData'!B:B,B586,'RawData'!C:C,"&lt;&gt;*World*"),IF(OR(G586="",G586=0),"-",SUMPRODUCT(('RawData'!B$2:B$822=B586)*('RawData'!G$2:G$822&gt;G586)*(ISERROR(SEARCH("World",'RawData'!C$2:C$822)))*(ISERROR(SEARCH("Other",'RawData'!C$2:C$822))))+1)))</f>
        <v>3</v>
      </c>
      <c r="K586" s="14">
        <f>IF(ISNUMBER(SEARCH("World",'RawData'!C640)),"",'RawData'!H640)</f>
        <v>12000000</v>
      </c>
      <c r="L586" s="14">
        <f>IF(ISNUMBER(SEARCH("World",'RawData'!C640)),"",SUMIFS('RawData'!H:H,'RawData'!B:B,'RawData'!B640,'RawData'!C:C,"*World*"))</f>
        <v>0</v>
      </c>
      <c r="M586" s="15" t="str">
        <f>IF(ISNUMBER(SEARCH("World",'RawData'!C640)),"",IFERROR(K586/L586,"-"))</f>
        <v>-</v>
      </c>
      <c r="N586" s="7">
        <f>IF(ISNUMBER(SEARCH("World",'RawData'!C640)),"",IF(ISNUMBER(SEARCH("Other",C586)),COUNTIFS('RawData'!B:B,B586,'RawData'!C:C,"&lt;&gt;*World*"),IF(OR(K586="",K586=0),"-",SUMPRODUCT(('RawData'!B$2:B$822=B586)*('RawData'!H$2:H$822&gt;K586)*(ISERROR(SEARCH("World",'RawData'!C$2:C$822)))*(ISERROR(SEARCH("Other",'RawData'!C$2:C$822))))+1)))</f>
        <v>1</v>
      </c>
    </row>
    <row r="587" spans="1:14" x14ac:dyDescent="0.3">
      <c r="A587" s="4" t="str">
        <f>IF(ISNUMBER(SEARCH("World",'RawData'!C641)),"",'RawData'!A641)</f>
        <v>MCS2026</v>
      </c>
      <c r="B587" s="4" t="str">
        <f>IF(ISNUMBER(SEARCH("World",'RawData'!C641)),"",'RawData'!B641)</f>
        <v>Strontium</v>
      </c>
      <c r="C587" s="4" t="str">
        <f>IF(ISNUMBER(SEARCH("World",'RawData'!C641)),"",'RawData'!C641)</f>
        <v>Iran</v>
      </c>
      <c r="D587" s="4" t="str">
        <f>IF(ISNUMBER(SEARCH("World",'RawData'!C641)),"",'RawData'!D641)</f>
        <v>Mine production, strontium content</v>
      </c>
      <c r="E587" s="4" t="str">
        <f>IF(ISNUMBER(SEARCH("World",'RawData'!C641)),"",IF('RawData'!E641="WT001","kg",IF('RawData'!E641="WT002","ton",IF('RawData'!E641="WT003","k ton",""))))</f>
        <v>ton</v>
      </c>
      <c r="F587" s="14">
        <f>IF(ISNUMBER(SEARCH("World",'RawData'!C641)),"",'RawData'!F641)</f>
        <v>200000</v>
      </c>
      <c r="G587" s="14">
        <f>IF(ISNUMBER(SEARCH("World",'RawData'!C641)),"",'RawData'!G641)</f>
        <v>250000</v>
      </c>
      <c r="H587" s="14">
        <f>IF(ISNUMBER(SEARCH("World",'RawData'!C641)),"",SUMIFS('RawData'!G:G,'RawData'!B:B,'RawData'!B641,'RawData'!C:C,"*World*"))</f>
        <v>450000</v>
      </c>
      <c r="I587" s="15">
        <f>IF(ISNUMBER(SEARCH("World",'RawData'!C641)),"",IFERROR(G587/H587,"-"))</f>
        <v>0.55555555555555558</v>
      </c>
      <c r="J587" s="7">
        <f>IF(ISNUMBER(SEARCH("World",'RawData'!C641)),"",IF(ISNUMBER(SEARCH("Other",C587)),COUNTIFS('RawData'!B:B,B587,'RawData'!C:C,"&lt;&gt;*World*"),IF(OR(G587="",G587=0),"-",SUMPRODUCT(('RawData'!B$2:B$822=B587)*('RawData'!G$2:G$822&gt;G587)*(ISERROR(SEARCH("World",'RawData'!C$2:C$822)))*(ISERROR(SEARCH("Other",'RawData'!C$2:C$822))))+1)))</f>
        <v>1</v>
      </c>
      <c r="K587" s="14">
        <f>IF(ISNUMBER(SEARCH("World",'RawData'!C641)),"",'RawData'!H641)</f>
        <v>2000000</v>
      </c>
      <c r="L587" s="14">
        <f>IF(ISNUMBER(SEARCH("World",'RawData'!C641)),"",SUMIFS('RawData'!H:H,'RawData'!B:B,'RawData'!B641,'RawData'!C:C,"*World*"))</f>
        <v>0</v>
      </c>
      <c r="M587" s="15" t="str">
        <f>IF(ISNUMBER(SEARCH("World",'RawData'!C641)),"",IFERROR(K587/L587,"-"))</f>
        <v>-</v>
      </c>
      <c r="N587" s="7">
        <f>IF(ISNUMBER(SEARCH("World",'RawData'!C641)),"",IF(ISNUMBER(SEARCH("Other",C587)),COUNTIFS('RawData'!B:B,B587,'RawData'!C:C,"&lt;&gt;*World*"),IF(OR(K587="",K587=0),"-",SUMPRODUCT(('RawData'!B$2:B$822=B587)*('RawData'!H$2:H$822&gt;K587)*(ISERROR(SEARCH("World",'RawData'!C$2:C$822)))*(ISERROR(SEARCH("Other",'RawData'!C$2:C$822))))+1)))</f>
        <v>2</v>
      </c>
    </row>
    <row r="588" spans="1:14" x14ac:dyDescent="0.3">
      <c r="A588" s="4" t="str">
        <f>IF(ISNUMBER(SEARCH("World",'RawData'!C642)),"",'RawData'!A642)</f>
        <v>MCS2026</v>
      </c>
      <c r="B588" s="4" t="str">
        <f>IF(ISNUMBER(SEARCH("World",'RawData'!C642)),"",'RawData'!B642)</f>
        <v>Strontium</v>
      </c>
      <c r="C588" s="4" t="str">
        <f>IF(ISNUMBER(SEARCH("World",'RawData'!C642)),"",'RawData'!C642)</f>
        <v>Mexico</v>
      </c>
      <c r="D588" s="4" t="str">
        <f>IF(ISNUMBER(SEARCH("World",'RawData'!C642)),"",'RawData'!D642)</f>
        <v>Mine production, strontium content</v>
      </c>
      <c r="E588" s="4" t="str">
        <f>IF(ISNUMBER(SEARCH("World",'RawData'!C642)),"",IF('RawData'!E642="WT001","kg",IF('RawData'!E642="WT002","ton",IF('RawData'!E642="WT003","k ton",""))))</f>
        <v>ton</v>
      </c>
      <c r="F588" s="14">
        <f>IF(ISNUMBER(SEARCH("World",'RawData'!C642)),"",'RawData'!F642)</f>
        <v>19000</v>
      </c>
      <c r="G588" s="14">
        <f>IF(ISNUMBER(SEARCH("World",'RawData'!C642)),"",'RawData'!G642)</f>
        <v>20000</v>
      </c>
      <c r="H588" s="14">
        <f>IF(ISNUMBER(SEARCH("World",'RawData'!C642)),"",SUMIFS('RawData'!G:G,'RawData'!B:B,'RawData'!B642,'RawData'!C:C,"*World*"))</f>
        <v>450000</v>
      </c>
      <c r="I588" s="15">
        <f>IF(ISNUMBER(SEARCH("World",'RawData'!C642)),"",IFERROR(G588/H588,"-"))</f>
        <v>4.4444444444444446E-2</v>
      </c>
      <c r="J588" s="7">
        <f>IF(ISNUMBER(SEARCH("World",'RawData'!C642)),"",IF(ISNUMBER(SEARCH("Other",C588)),COUNTIFS('RawData'!B:B,B588,'RawData'!C:C,"&lt;&gt;*World*"),IF(OR(G588="",G588=0),"-",SUMPRODUCT(('RawData'!B$2:B$822=B588)*('RawData'!G$2:G$822&gt;G588)*(ISERROR(SEARCH("World",'RawData'!C$2:C$822)))*(ISERROR(SEARCH("Other",'RawData'!C$2:C$822))))+1)))</f>
        <v>4</v>
      </c>
      <c r="K588" s="14">
        <f>IF(ISNUMBER(SEARCH("World",'RawData'!C642)),"",'RawData'!H642)</f>
        <v>0</v>
      </c>
      <c r="L588" s="14">
        <f>IF(ISNUMBER(SEARCH("World",'RawData'!C642)),"",SUMIFS('RawData'!H:H,'RawData'!B:B,'RawData'!B642,'RawData'!C:C,"*World*"))</f>
        <v>0</v>
      </c>
      <c r="M588" s="15" t="str">
        <f>IF(ISNUMBER(SEARCH("World",'RawData'!C642)),"",IFERROR(K588/L588,"-"))</f>
        <v>-</v>
      </c>
      <c r="N588" s="7" t="str">
        <f>IF(ISNUMBER(SEARCH("World",'RawData'!C642)),"",IF(ISNUMBER(SEARCH("Other",C588)),COUNTIFS('RawData'!B:B,B588,'RawData'!C:C,"&lt;&gt;*World*"),IF(OR(K588="",K588=0),"-",SUMPRODUCT(('RawData'!B$2:B$822=B588)*('RawData'!H$2:H$822&gt;K588)*(ISERROR(SEARCH("World",'RawData'!C$2:C$822)))*(ISERROR(SEARCH("Other",'RawData'!C$2:C$822))))+1)))</f>
        <v>-</v>
      </c>
    </row>
    <row r="589" spans="1:14" x14ac:dyDescent="0.3">
      <c r="A589" s="4" t="str">
        <f>IF(ISNUMBER(SEARCH("World",'RawData'!C643)),"",'RawData'!A643)</f>
        <v>MCS2026</v>
      </c>
      <c r="B589" s="4" t="str">
        <f>IF(ISNUMBER(SEARCH("World",'RawData'!C643)),"",'RawData'!B643)</f>
        <v>Strontium</v>
      </c>
      <c r="C589" s="4" t="str">
        <f>IF(ISNUMBER(SEARCH("World",'RawData'!C643)),"",'RawData'!C643)</f>
        <v>Spain</v>
      </c>
      <c r="D589" s="4" t="str">
        <f>IF(ISNUMBER(SEARCH("World",'RawData'!C643)),"",'RawData'!D643)</f>
        <v>Mine production, strontium content</v>
      </c>
      <c r="E589" s="4" t="str">
        <f>IF(ISNUMBER(SEARCH("World",'RawData'!C643)),"",IF('RawData'!E643="WT001","kg",IF('RawData'!E643="WT002","ton",IF('RawData'!E643="WT003","k ton",""))))</f>
        <v>ton</v>
      </c>
      <c r="F589" s="14">
        <f>IF(ISNUMBER(SEARCH("World",'RawData'!C643)),"",'RawData'!F643)</f>
        <v>100000</v>
      </c>
      <c r="G589" s="14">
        <f>IF(ISNUMBER(SEARCH("World",'RawData'!C643)),"",'RawData'!G643)</f>
        <v>100000</v>
      </c>
      <c r="H589" s="14">
        <f>IF(ISNUMBER(SEARCH("World",'RawData'!C643)),"",SUMIFS('RawData'!G:G,'RawData'!B:B,'RawData'!B643,'RawData'!C:C,"*World*"))</f>
        <v>450000</v>
      </c>
      <c r="I589" s="15">
        <f>IF(ISNUMBER(SEARCH("World",'RawData'!C643)),"",IFERROR(G589/H589,"-"))</f>
        <v>0.22222222222222221</v>
      </c>
      <c r="J589" s="7">
        <f>IF(ISNUMBER(SEARCH("World",'RawData'!C643)),"",IF(ISNUMBER(SEARCH("Other",C589)),COUNTIFS('RawData'!B:B,B589,'RawData'!C:C,"&lt;&gt;*World*"),IF(OR(G589="",G589=0),"-",SUMPRODUCT(('RawData'!B$2:B$822=B589)*('RawData'!G$2:G$822&gt;G589)*(ISERROR(SEARCH("World",'RawData'!C$2:C$822)))*(ISERROR(SEARCH("Other",'RawData'!C$2:C$822))))+1)))</f>
        <v>2</v>
      </c>
      <c r="K589" s="14">
        <f>IF(ISNUMBER(SEARCH("World",'RawData'!C643)),"",'RawData'!H643)</f>
        <v>0</v>
      </c>
      <c r="L589" s="14">
        <f>IF(ISNUMBER(SEARCH("World",'RawData'!C643)),"",SUMIFS('RawData'!H:H,'RawData'!B:B,'RawData'!B643,'RawData'!C:C,"*World*"))</f>
        <v>0</v>
      </c>
      <c r="M589" s="15" t="str">
        <f>IF(ISNUMBER(SEARCH("World",'RawData'!C643)),"",IFERROR(K589/L589,"-"))</f>
        <v>-</v>
      </c>
      <c r="N589" s="7" t="str">
        <f>IF(ISNUMBER(SEARCH("World",'RawData'!C643)),"",IF(ISNUMBER(SEARCH("Other",C589)),COUNTIFS('RawData'!B:B,B589,'RawData'!C:C,"&lt;&gt;*World*"),IF(OR(K589="",K589=0),"-",SUMPRODUCT(('RawData'!B$2:B$822=B589)*('RawData'!H$2:H$822&gt;K589)*(ISERROR(SEARCH("World",'RawData'!C$2:C$822)))*(ISERROR(SEARCH("Other",'RawData'!C$2:C$822))))+1)))</f>
        <v>-</v>
      </c>
    </row>
    <row r="590" spans="1:14" x14ac:dyDescent="0.3">
      <c r="A590" s="4" t="str">
        <f>IF(ISNUMBER(SEARCH("World",'RawData'!C644)),"",'RawData'!A644)</f>
        <v>MCS2026</v>
      </c>
      <c r="B590" s="4" t="str">
        <f>IF(ISNUMBER(SEARCH("World",'RawData'!C644)),"",'RawData'!B644)</f>
        <v>Strontium</v>
      </c>
      <c r="C590" s="4" t="str">
        <f>IF(ISNUMBER(SEARCH("World",'RawData'!C644)),"",'RawData'!C644)</f>
        <v>United States</v>
      </c>
      <c r="D590" s="4" t="str">
        <f>IF(ISNUMBER(SEARCH("World",'RawData'!C644)),"",'RawData'!D644)</f>
        <v>Mine production, strontium content</v>
      </c>
      <c r="E590" s="4" t="str">
        <f>IF(ISNUMBER(SEARCH("World",'RawData'!C644)),"",IF('RawData'!E644="WT001","kg",IF('RawData'!E644="WT002","ton",IF('RawData'!E644="WT003","k ton",""))))</f>
        <v>ton</v>
      </c>
      <c r="F590" s="14">
        <f>IF(ISNUMBER(SEARCH("World",'RawData'!C644)),"",'RawData'!F644)</f>
        <v>0</v>
      </c>
      <c r="G590" s="14">
        <f>IF(ISNUMBER(SEARCH("World",'RawData'!C644)),"",'RawData'!G644)</f>
        <v>0</v>
      </c>
      <c r="H590" s="14">
        <f>IF(ISNUMBER(SEARCH("World",'RawData'!C644)),"",SUMIFS('RawData'!G:G,'RawData'!B:B,'RawData'!B644,'RawData'!C:C,"*World*"))</f>
        <v>450000</v>
      </c>
      <c r="I590" s="15">
        <f>IF(ISNUMBER(SEARCH("World",'RawData'!C644)),"",IFERROR(G590/H590,"-"))</f>
        <v>0</v>
      </c>
      <c r="J590" s="7" t="str">
        <f>IF(ISNUMBER(SEARCH("World",'RawData'!C644)),"",IF(ISNUMBER(SEARCH("Other",C590)),COUNTIFS('RawData'!B:B,B590,'RawData'!C:C,"&lt;&gt;*World*"),IF(OR(G590="",G590=0),"-",SUMPRODUCT(('RawData'!B$2:B$822=B590)*('RawData'!G$2:G$822&gt;G590)*(ISERROR(SEARCH("World",'RawData'!C$2:C$822)))*(ISERROR(SEARCH("Other",'RawData'!C$2:C$822))))+1)))</f>
        <v>-</v>
      </c>
      <c r="K590" s="14">
        <f>IF(ISNUMBER(SEARCH("World",'RawData'!C644)),"",'RawData'!H644)</f>
        <v>0</v>
      </c>
      <c r="L590" s="14">
        <f>IF(ISNUMBER(SEARCH("World",'RawData'!C644)),"",SUMIFS('RawData'!H:H,'RawData'!B:B,'RawData'!B644,'RawData'!C:C,"*World*"))</f>
        <v>0</v>
      </c>
      <c r="M590" s="15" t="str">
        <f>IF(ISNUMBER(SEARCH("World",'RawData'!C644)),"",IFERROR(K590/L590,"-"))</f>
        <v>-</v>
      </c>
      <c r="N590" s="7" t="str">
        <f>IF(ISNUMBER(SEARCH("World",'RawData'!C644)),"",IF(ISNUMBER(SEARCH("Other",C590)),COUNTIFS('RawData'!B:B,B590,'RawData'!C:C,"&lt;&gt;*World*"),IF(OR(K590="",K590=0),"-",SUMPRODUCT(('RawData'!B$2:B$822=B590)*('RawData'!H$2:H$822&gt;K590)*(ISERROR(SEARCH("World",'RawData'!C$2:C$822)))*(ISERROR(SEARCH("Other",'RawData'!C$2:C$822))))+1)))</f>
        <v>-</v>
      </c>
    </row>
    <row r="591" spans="1:14" x14ac:dyDescent="0.3">
      <c r="A591" s="4" t="str">
        <f>IF(ISNUMBER(SEARCH("World",'RawData'!C646)),"",'RawData'!A646)</f>
        <v>MCS2026</v>
      </c>
      <c r="B591" s="4" t="str">
        <f>IF(ISNUMBER(SEARCH("World",'RawData'!C646)),"",'RawData'!B646)</f>
        <v>Sulfur</v>
      </c>
      <c r="C591" s="4" t="str">
        <f>IF(ISNUMBER(SEARCH("World",'RawData'!C646)),"",'RawData'!C646)</f>
        <v>Australia</v>
      </c>
      <c r="D591" s="4" t="str">
        <f>IF(ISNUMBER(SEARCH("World",'RawData'!C646)),"",'RawData'!D646)</f>
        <v>Production, all forms, sulfur content</v>
      </c>
      <c r="E591" s="4" t="str">
        <f>IF(ISNUMBER(SEARCH("World",'RawData'!C646)),"",IF('RawData'!E646="WT001","kg",IF('RawData'!E646="WT002","ton",IF('RawData'!E646="WT003","k ton",""))))</f>
        <v>k ton</v>
      </c>
      <c r="F591" s="14">
        <f>IF(ISNUMBER(SEARCH("World",'RawData'!C646)),"",'RawData'!F646)</f>
        <v>900</v>
      </c>
      <c r="G591" s="14">
        <f>IF(ISNUMBER(SEARCH("World",'RawData'!C646)),"",'RawData'!G646)</f>
        <v>900</v>
      </c>
      <c r="H591" s="14">
        <f>IF(ISNUMBER(SEARCH("World",'RawData'!C646)),"",SUMIFS('RawData'!G:G,'RawData'!B:B,'RawData'!B646,'RawData'!C:C,"*World*"))</f>
        <v>84000</v>
      </c>
      <c r="I591" s="15">
        <f>IF(ISNUMBER(SEARCH("World",'RawData'!C646)),"",IFERROR(G591/H591,"-"))</f>
        <v>1.0714285714285714E-2</v>
      </c>
      <c r="J591" s="7">
        <f>IF(ISNUMBER(SEARCH("World",'RawData'!C646)),"",IF(ISNUMBER(SEARCH("Other",C591)),COUNTIFS('RawData'!B:B,B591,'RawData'!C:C,"&lt;&gt;*World*"),IF(OR(G591="",G591=0),"-",SUMPRODUCT(('RawData'!B$2:B$822=B591)*('RawData'!G$2:G$822&gt;G591)*(ISERROR(SEARCH("World",'RawData'!C$2:C$822)))*(ISERROR(SEARCH("Other",'RawData'!C$2:C$822))))+1)))</f>
        <v>16</v>
      </c>
      <c r="K591" s="14">
        <f>IF(ISNUMBER(SEARCH("World",'RawData'!C646)),"",'RawData'!H646)</f>
        <v>0</v>
      </c>
      <c r="L591" s="14">
        <f>IF(ISNUMBER(SEARCH("World",'RawData'!C646)),"",SUMIFS('RawData'!H:H,'RawData'!B:B,'RawData'!B646,'RawData'!C:C,"*World*"))</f>
        <v>0</v>
      </c>
      <c r="M591" s="15" t="str">
        <f>IF(ISNUMBER(SEARCH("World",'RawData'!C646)),"",IFERROR(K591/L591,"-"))</f>
        <v>-</v>
      </c>
      <c r="N591" s="7" t="str">
        <f>IF(ISNUMBER(SEARCH("World",'RawData'!C646)),"",IF(ISNUMBER(SEARCH("Other",C591)),COUNTIFS('RawData'!B:B,B591,'RawData'!C:C,"&lt;&gt;*World*"),IF(OR(K591="",K591=0),"-",SUMPRODUCT(('RawData'!B$2:B$822=B591)*('RawData'!H$2:H$822&gt;K591)*(ISERROR(SEARCH("World",'RawData'!C$2:C$822)))*(ISERROR(SEARCH("Other",'RawData'!C$2:C$822))))+1)))</f>
        <v>-</v>
      </c>
    </row>
    <row r="592" spans="1:14" x14ac:dyDescent="0.3">
      <c r="A592" s="4" t="str">
        <f>IF(ISNUMBER(SEARCH("World",'RawData'!C647)),"",'RawData'!A647)</f>
        <v>MCS2026</v>
      </c>
      <c r="B592" s="4" t="str">
        <f>IF(ISNUMBER(SEARCH("World",'RawData'!C647)),"",'RawData'!B647)</f>
        <v>Sulfur</v>
      </c>
      <c r="C592" s="4" t="str">
        <f>IF(ISNUMBER(SEARCH("World",'RawData'!C647)),"",'RawData'!C647)</f>
        <v xml:space="preserve">Canada </v>
      </c>
      <c r="D592" s="4" t="str">
        <f>IF(ISNUMBER(SEARCH("World",'RawData'!C647)),"",'RawData'!D647)</f>
        <v>Production, all forms, sulfur content</v>
      </c>
      <c r="E592" s="4" t="str">
        <f>IF(ISNUMBER(SEARCH("World",'RawData'!C647)),"",IF('RawData'!E647="WT001","kg",IF('RawData'!E647="WT002","ton",IF('RawData'!E647="WT003","k ton",""))))</f>
        <v>k ton</v>
      </c>
      <c r="F592" s="14">
        <f>IF(ISNUMBER(SEARCH("World",'RawData'!C647)),"",'RawData'!F647)</f>
        <v>5060</v>
      </c>
      <c r="G592" s="14">
        <f>IF(ISNUMBER(SEARCH("World",'RawData'!C647)),"",'RawData'!G647)</f>
        <v>5000</v>
      </c>
      <c r="H592" s="14">
        <f>IF(ISNUMBER(SEARCH("World",'RawData'!C647)),"",SUMIFS('RawData'!G:G,'RawData'!B:B,'RawData'!B647,'RawData'!C:C,"*World*"))</f>
        <v>84000</v>
      </c>
      <c r="I592" s="15">
        <f>IF(ISNUMBER(SEARCH("World",'RawData'!C647)),"",IFERROR(G592/H592,"-"))</f>
        <v>5.9523809523809521E-2</v>
      </c>
      <c r="J592" s="7">
        <f>IF(ISNUMBER(SEARCH("World",'RawData'!C647)),"",IF(ISNUMBER(SEARCH("Other",C592)),COUNTIFS('RawData'!B:B,B592,'RawData'!C:C,"&lt;&gt;*World*"),IF(OR(G592="",G592=0),"-",SUMPRODUCT(('RawData'!B$2:B$822=B592)*('RawData'!G$2:G$822&gt;G592)*(ISERROR(SEARCH("World",'RawData'!C$2:C$822)))*(ISERROR(SEARCH("Other",'RawData'!C$2:C$822))))+1)))</f>
        <v>6</v>
      </c>
      <c r="K592" s="14">
        <f>IF(ISNUMBER(SEARCH("World",'RawData'!C647)),"",'RawData'!H647)</f>
        <v>0</v>
      </c>
      <c r="L592" s="14">
        <f>IF(ISNUMBER(SEARCH("World",'RawData'!C647)),"",SUMIFS('RawData'!H:H,'RawData'!B:B,'RawData'!B647,'RawData'!C:C,"*World*"))</f>
        <v>0</v>
      </c>
      <c r="M592" s="15" t="str">
        <f>IF(ISNUMBER(SEARCH("World",'RawData'!C647)),"",IFERROR(K592/L592,"-"))</f>
        <v>-</v>
      </c>
      <c r="N592" s="7" t="str">
        <f>IF(ISNUMBER(SEARCH("World",'RawData'!C647)),"",IF(ISNUMBER(SEARCH("Other",C592)),COUNTIFS('RawData'!B:B,B592,'RawData'!C:C,"&lt;&gt;*World*"),IF(OR(K592="",K592=0),"-",SUMPRODUCT(('RawData'!B$2:B$822=B592)*('RawData'!H$2:H$822&gt;K592)*(ISERROR(SEARCH("World",'RawData'!C$2:C$822)))*(ISERROR(SEARCH("Other",'RawData'!C$2:C$822))))+1)))</f>
        <v>-</v>
      </c>
    </row>
    <row r="593" spans="1:14" x14ac:dyDescent="0.3">
      <c r="A593" s="4" t="str">
        <f>IF(ISNUMBER(SEARCH("World",'RawData'!C648)),"",'RawData'!A648)</f>
        <v>MCS2026</v>
      </c>
      <c r="B593" s="4" t="str">
        <f>IF(ISNUMBER(SEARCH("World",'RawData'!C648)),"",'RawData'!B648)</f>
        <v>Sulfur</v>
      </c>
      <c r="C593" s="4" t="str">
        <f>IF(ISNUMBER(SEARCH("World",'RawData'!C648)),"",'RawData'!C648)</f>
        <v>Chile</v>
      </c>
      <c r="D593" s="4" t="str">
        <f>IF(ISNUMBER(SEARCH("World",'RawData'!C648)),"",'RawData'!D648)</f>
        <v>Production, all forms, sulfur content</v>
      </c>
      <c r="E593" s="4" t="str">
        <f>IF(ISNUMBER(SEARCH("World",'RawData'!C648)),"",IF('RawData'!E648="WT001","kg",IF('RawData'!E648="WT002","ton",IF('RawData'!E648="WT003","k ton",""))))</f>
        <v>k ton</v>
      </c>
      <c r="F593" s="14">
        <f>IF(ISNUMBER(SEARCH("World",'RawData'!C648)),"",'RawData'!F648)</f>
        <v>1500</v>
      </c>
      <c r="G593" s="14">
        <f>IF(ISNUMBER(SEARCH("World",'RawData'!C648)),"",'RawData'!G648)</f>
        <v>1400</v>
      </c>
      <c r="H593" s="14">
        <f>IF(ISNUMBER(SEARCH("World",'RawData'!C648)),"",SUMIFS('RawData'!G:G,'RawData'!B:B,'RawData'!B648,'RawData'!C:C,"*World*"))</f>
        <v>84000</v>
      </c>
      <c r="I593" s="15">
        <f>IF(ISNUMBER(SEARCH("World",'RawData'!C648)),"",IFERROR(G593/H593,"-"))</f>
        <v>1.6666666666666666E-2</v>
      </c>
      <c r="J593" s="7">
        <f>IF(ISNUMBER(SEARCH("World",'RawData'!C648)),"",IF(ISNUMBER(SEARCH("Other",C593)),COUNTIFS('RawData'!B:B,B593,'RawData'!C:C,"&lt;&gt;*World*"),IF(OR(G593="",G593=0),"-",SUMPRODUCT(('RawData'!B$2:B$822=B593)*('RawData'!G$2:G$822&gt;G593)*(ISERROR(SEARCH("World",'RawData'!C$2:C$822)))*(ISERROR(SEARCH("Other",'RawData'!C$2:C$822))))+1)))</f>
        <v>13</v>
      </c>
      <c r="K593" s="14">
        <f>IF(ISNUMBER(SEARCH("World",'RawData'!C648)),"",'RawData'!H648)</f>
        <v>0</v>
      </c>
      <c r="L593" s="14">
        <f>IF(ISNUMBER(SEARCH("World",'RawData'!C648)),"",SUMIFS('RawData'!H:H,'RawData'!B:B,'RawData'!B648,'RawData'!C:C,"*World*"))</f>
        <v>0</v>
      </c>
      <c r="M593" s="15" t="str">
        <f>IF(ISNUMBER(SEARCH("World",'RawData'!C648)),"",IFERROR(K593/L593,"-"))</f>
        <v>-</v>
      </c>
      <c r="N593" s="7" t="str">
        <f>IF(ISNUMBER(SEARCH("World",'RawData'!C648)),"",IF(ISNUMBER(SEARCH("Other",C593)),COUNTIFS('RawData'!B:B,B593,'RawData'!C:C,"&lt;&gt;*World*"),IF(OR(K593="",K593=0),"-",SUMPRODUCT(('RawData'!B$2:B$822=B593)*('RawData'!H$2:H$822&gt;K593)*(ISERROR(SEARCH("World",'RawData'!C$2:C$822)))*(ISERROR(SEARCH("Other",'RawData'!C$2:C$822))))+1)))</f>
        <v>-</v>
      </c>
    </row>
    <row r="594" spans="1:14" x14ac:dyDescent="0.3">
      <c r="A594" s="4" t="str">
        <f>IF(ISNUMBER(SEARCH("World",'RawData'!C649)),"",'RawData'!A649)</f>
        <v>MCS2026</v>
      </c>
      <c r="B594" s="4" t="str">
        <f>IF(ISNUMBER(SEARCH("World",'RawData'!C649)),"",'RawData'!B649)</f>
        <v>Sulfur</v>
      </c>
      <c r="C594" s="4" t="str">
        <f>IF(ISNUMBER(SEARCH("World",'RawData'!C649)),"",'RawData'!C649)</f>
        <v>China</v>
      </c>
      <c r="D594" s="4" t="str">
        <f>IF(ISNUMBER(SEARCH("World",'RawData'!C649)),"",'RawData'!D649)</f>
        <v>Production, all forms, sulfur content</v>
      </c>
      <c r="E594" s="4" t="str">
        <f>IF(ISNUMBER(SEARCH("World",'RawData'!C649)),"",IF('RawData'!E649="WT001","kg",IF('RawData'!E649="WT002","ton",IF('RawData'!E649="WT003","k ton",""))))</f>
        <v>k ton</v>
      </c>
      <c r="F594" s="14">
        <f>IF(ISNUMBER(SEARCH("World",'RawData'!C649)),"",'RawData'!F649)</f>
        <v>19000</v>
      </c>
      <c r="G594" s="14">
        <f>IF(ISNUMBER(SEARCH("World",'RawData'!C649)),"",'RawData'!G649)</f>
        <v>19000</v>
      </c>
      <c r="H594" s="14">
        <f>IF(ISNUMBER(SEARCH("World",'RawData'!C649)),"",SUMIFS('RawData'!G:G,'RawData'!B:B,'RawData'!B649,'RawData'!C:C,"*World*"))</f>
        <v>84000</v>
      </c>
      <c r="I594" s="15">
        <f>IF(ISNUMBER(SEARCH("World",'RawData'!C649)),"",IFERROR(G594/H594,"-"))</f>
        <v>0.22619047619047619</v>
      </c>
      <c r="J594" s="7">
        <f>IF(ISNUMBER(SEARCH("World",'RawData'!C649)),"",IF(ISNUMBER(SEARCH("Other",C594)),COUNTIFS('RawData'!B:B,B594,'RawData'!C:C,"&lt;&gt;*World*"),IF(OR(G594="",G594=0),"-",SUMPRODUCT(('RawData'!B$2:B$822=B594)*('RawData'!G$2:G$822&gt;G594)*(ISERROR(SEARCH("World",'RawData'!C$2:C$822)))*(ISERROR(SEARCH("Other",'RawData'!C$2:C$822))))+1)))</f>
        <v>1</v>
      </c>
      <c r="K594" s="14">
        <f>IF(ISNUMBER(SEARCH("World",'RawData'!C649)),"",'RawData'!H649)</f>
        <v>0</v>
      </c>
      <c r="L594" s="14">
        <f>IF(ISNUMBER(SEARCH("World",'RawData'!C649)),"",SUMIFS('RawData'!H:H,'RawData'!B:B,'RawData'!B649,'RawData'!C:C,"*World*"))</f>
        <v>0</v>
      </c>
      <c r="M594" s="15" t="str">
        <f>IF(ISNUMBER(SEARCH("World",'RawData'!C649)),"",IFERROR(K594/L594,"-"))</f>
        <v>-</v>
      </c>
      <c r="N594" s="7" t="str">
        <f>IF(ISNUMBER(SEARCH("World",'RawData'!C649)),"",IF(ISNUMBER(SEARCH("Other",C594)),COUNTIFS('RawData'!B:B,B594,'RawData'!C:C,"&lt;&gt;*World*"),IF(OR(K594="",K594=0),"-",SUMPRODUCT(('RawData'!B$2:B$822=B594)*('RawData'!H$2:H$822&gt;K594)*(ISERROR(SEARCH("World",'RawData'!C$2:C$822)))*(ISERROR(SEARCH("Other",'RawData'!C$2:C$822))))+1)))</f>
        <v>-</v>
      </c>
    </row>
    <row r="595" spans="1:14" x14ac:dyDescent="0.3">
      <c r="A595" s="4" t="str">
        <f>IF(ISNUMBER(SEARCH("World",'RawData'!C650)),"",'RawData'!A650)</f>
        <v>MCS2026</v>
      </c>
      <c r="B595" s="4" t="str">
        <f>IF(ISNUMBER(SEARCH("World",'RawData'!C650)),"",'RawData'!B650)</f>
        <v>Sulfur</v>
      </c>
      <c r="C595" s="4" t="str">
        <f>IF(ISNUMBER(SEARCH("World",'RawData'!C650)),"",'RawData'!C650)</f>
        <v>India</v>
      </c>
      <c r="D595" s="4" t="str">
        <f>IF(ISNUMBER(SEARCH("World",'RawData'!C650)),"",'RawData'!D650)</f>
        <v>Production, all forms, sulfur content</v>
      </c>
      <c r="E595" s="4" t="str">
        <f>IF(ISNUMBER(SEARCH("World",'RawData'!C650)),"",IF('RawData'!E650="WT001","kg",IF('RawData'!E650="WT002","ton",IF('RawData'!E650="WT003","k ton",""))))</f>
        <v>k ton</v>
      </c>
      <c r="F595" s="14">
        <f>IF(ISNUMBER(SEARCH("World",'RawData'!C650)),"",'RawData'!F650)</f>
        <v>3700</v>
      </c>
      <c r="G595" s="14">
        <f>IF(ISNUMBER(SEARCH("World",'RawData'!C650)),"",'RawData'!G650)</f>
        <v>3700</v>
      </c>
      <c r="H595" s="14">
        <f>IF(ISNUMBER(SEARCH("World",'RawData'!C650)),"",SUMIFS('RawData'!G:G,'RawData'!B:B,'RawData'!B650,'RawData'!C:C,"*World*"))</f>
        <v>84000</v>
      </c>
      <c r="I595" s="15">
        <f>IF(ISNUMBER(SEARCH("World",'RawData'!C650)),"",IFERROR(G595/H595,"-"))</f>
        <v>4.4047619047619051E-2</v>
      </c>
      <c r="J595" s="7">
        <f>IF(ISNUMBER(SEARCH("World",'RawData'!C650)),"",IF(ISNUMBER(SEARCH("Other",C595)),COUNTIFS('RawData'!B:B,B595,'RawData'!C:C,"&lt;&gt;*World*"),IF(OR(G595="",G595=0),"-",SUMPRODUCT(('RawData'!B$2:B$822=B595)*('RawData'!G$2:G$822&gt;G595)*(ISERROR(SEARCH("World",'RawData'!C$2:C$822)))*(ISERROR(SEARCH("Other",'RawData'!C$2:C$822))))+1)))</f>
        <v>8</v>
      </c>
      <c r="K595" s="14">
        <f>IF(ISNUMBER(SEARCH("World",'RawData'!C650)),"",'RawData'!H650)</f>
        <v>0</v>
      </c>
      <c r="L595" s="14">
        <f>IF(ISNUMBER(SEARCH("World",'RawData'!C650)),"",SUMIFS('RawData'!H:H,'RawData'!B:B,'RawData'!B650,'RawData'!C:C,"*World*"))</f>
        <v>0</v>
      </c>
      <c r="M595" s="15" t="str">
        <f>IF(ISNUMBER(SEARCH("World",'RawData'!C650)),"",IFERROR(K595/L595,"-"))</f>
        <v>-</v>
      </c>
      <c r="N595" s="7" t="str">
        <f>IF(ISNUMBER(SEARCH("World",'RawData'!C650)),"",IF(ISNUMBER(SEARCH("Other",C595)),COUNTIFS('RawData'!B:B,B595,'RawData'!C:C,"&lt;&gt;*World*"),IF(OR(K595="",K595=0),"-",SUMPRODUCT(('RawData'!B$2:B$822=B595)*('RawData'!H$2:H$822&gt;K595)*(ISERROR(SEARCH("World",'RawData'!C$2:C$822)))*(ISERROR(SEARCH("Other",'RawData'!C$2:C$822))))+1)))</f>
        <v>-</v>
      </c>
    </row>
    <row r="596" spans="1:14" x14ac:dyDescent="0.3">
      <c r="A596" s="4" t="str">
        <f>IF(ISNUMBER(SEARCH("World",'RawData'!C651)),"",'RawData'!A651)</f>
        <v>MCS2026</v>
      </c>
      <c r="B596" s="4" t="str">
        <f>IF(ISNUMBER(SEARCH("World",'RawData'!C651)),"",'RawData'!B651)</f>
        <v>Sulfur</v>
      </c>
      <c r="C596" s="4" t="str">
        <f>IF(ISNUMBER(SEARCH("World",'RawData'!C651)),"",'RawData'!C651)</f>
        <v>Iran</v>
      </c>
      <c r="D596" s="4" t="str">
        <f>IF(ISNUMBER(SEARCH("World",'RawData'!C651)),"",'RawData'!D651)</f>
        <v>Production, all forms, sulfur content</v>
      </c>
      <c r="E596" s="4" t="str">
        <f>IF(ISNUMBER(SEARCH("World",'RawData'!C651)),"",IF('RawData'!E651="WT001","kg",IF('RawData'!E651="WT002","ton",IF('RawData'!E651="WT003","k ton",""))))</f>
        <v>k ton</v>
      </c>
      <c r="F596" s="14">
        <f>IF(ISNUMBER(SEARCH("World",'RawData'!C651)),"",'RawData'!F651)</f>
        <v>2000</v>
      </c>
      <c r="G596" s="14">
        <f>IF(ISNUMBER(SEARCH("World",'RawData'!C651)),"",'RawData'!G651)</f>
        <v>2100</v>
      </c>
      <c r="H596" s="14">
        <f>IF(ISNUMBER(SEARCH("World",'RawData'!C651)),"",SUMIFS('RawData'!G:G,'RawData'!B:B,'RawData'!B651,'RawData'!C:C,"*World*"))</f>
        <v>84000</v>
      </c>
      <c r="I596" s="15">
        <f>IF(ISNUMBER(SEARCH("World",'RawData'!C651)),"",IFERROR(G596/H596,"-"))</f>
        <v>2.5000000000000001E-2</v>
      </c>
      <c r="J596" s="7">
        <f>IF(ISNUMBER(SEARCH("World",'RawData'!C651)),"",IF(ISNUMBER(SEARCH("Other",C596)),COUNTIFS('RawData'!B:B,B596,'RawData'!C:C,"&lt;&gt;*World*"),IF(OR(G596="",G596=0),"-",SUMPRODUCT(('RawData'!B$2:B$822=B596)*('RawData'!G$2:G$822&gt;G596)*(ISERROR(SEARCH("World",'RawData'!C$2:C$822)))*(ISERROR(SEARCH("Other",'RawData'!C$2:C$822))))+1)))</f>
        <v>12</v>
      </c>
      <c r="K596" s="14">
        <f>IF(ISNUMBER(SEARCH("World",'RawData'!C651)),"",'RawData'!H651)</f>
        <v>0</v>
      </c>
      <c r="L596" s="14">
        <f>IF(ISNUMBER(SEARCH("World",'RawData'!C651)),"",SUMIFS('RawData'!H:H,'RawData'!B:B,'RawData'!B651,'RawData'!C:C,"*World*"))</f>
        <v>0</v>
      </c>
      <c r="M596" s="15" t="str">
        <f>IF(ISNUMBER(SEARCH("World",'RawData'!C651)),"",IFERROR(K596/L596,"-"))</f>
        <v>-</v>
      </c>
      <c r="N596" s="7" t="str">
        <f>IF(ISNUMBER(SEARCH("World",'RawData'!C651)),"",IF(ISNUMBER(SEARCH("Other",C596)),COUNTIFS('RawData'!B:B,B596,'RawData'!C:C,"&lt;&gt;*World*"),IF(OR(K596="",K596=0),"-",SUMPRODUCT(('RawData'!B$2:B$822=B596)*('RawData'!H$2:H$822&gt;K596)*(ISERROR(SEARCH("World",'RawData'!C$2:C$822)))*(ISERROR(SEARCH("Other",'RawData'!C$2:C$822))))+1)))</f>
        <v>-</v>
      </c>
    </row>
    <row r="597" spans="1:14" x14ac:dyDescent="0.3">
      <c r="A597" s="4" t="str">
        <f>IF(ISNUMBER(SEARCH("World",'RawData'!C652)),"",'RawData'!A652)</f>
        <v>MCS2026</v>
      </c>
      <c r="B597" s="4" t="str">
        <f>IF(ISNUMBER(SEARCH("World",'RawData'!C652)),"",'RawData'!B652)</f>
        <v>Sulfur</v>
      </c>
      <c r="C597" s="4" t="str">
        <f>IF(ISNUMBER(SEARCH("World",'RawData'!C652)),"",'RawData'!C652)</f>
        <v>Japan</v>
      </c>
      <c r="D597" s="4" t="str">
        <f>IF(ISNUMBER(SEARCH("World",'RawData'!C652)),"",'RawData'!D652)</f>
        <v>Production, all forms, sulfur content</v>
      </c>
      <c r="E597" s="4" t="str">
        <f>IF(ISNUMBER(SEARCH("World",'RawData'!C652)),"",IF('RawData'!E652="WT001","kg",IF('RawData'!E652="WT002","ton",IF('RawData'!E652="WT003","k ton",""))))</f>
        <v>k ton</v>
      </c>
      <c r="F597" s="14">
        <f>IF(ISNUMBER(SEARCH("World",'RawData'!C652)),"",'RawData'!F652)</f>
        <v>2750</v>
      </c>
      <c r="G597" s="14">
        <f>IF(ISNUMBER(SEARCH("World",'RawData'!C652)),"",'RawData'!G652)</f>
        <v>2700</v>
      </c>
      <c r="H597" s="14">
        <f>IF(ISNUMBER(SEARCH("World",'RawData'!C652)),"",SUMIFS('RawData'!G:G,'RawData'!B:B,'RawData'!B652,'RawData'!C:C,"*World*"))</f>
        <v>84000</v>
      </c>
      <c r="I597" s="15">
        <f>IF(ISNUMBER(SEARCH("World",'RawData'!C652)),"",IFERROR(G597/H597,"-"))</f>
        <v>3.214285714285714E-2</v>
      </c>
      <c r="J597" s="7">
        <f>IF(ISNUMBER(SEARCH("World",'RawData'!C652)),"",IF(ISNUMBER(SEARCH("Other",C597)),COUNTIFS('RawData'!B:B,B597,'RawData'!C:C,"&lt;&gt;*World*"),IF(OR(G597="",G597=0),"-",SUMPRODUCT(('RawData'!B$2:B$822=B597)*('RawData'!G$2:G$822&gt;G597)*(ISERROR(SEARCH("World",'RawData'!C$2:C$822)))*(ISERROR(SEARCH("Other",'RawData'!C$2:C$822))))+1)))</f>
        <v>11</v>
      </c>
      <c r="K597" s="14">
        <f>IF(ISNUMBER(SEARCH("World",'RawData'!C652)),"",'RawData'!H652)</f>
        <v>0</v>
      </c>
      <c r="L597" s="14">
        <f>IF(ISNUMBER(SEARCH("World",'RawData'!C652)),"",SUMIFS('RawData'!H:H,'RawData'!B:B,'RawData'!B652,'RawData'!C:C,"*World*"))</f>
        <v>0</v>
      </c>
      <c r="M597" s="15" t="str">
        <f>IF(ISNUMBER(SEARCH("World",'RawData'!C652)),"",IFERROR(K597/L597,"-"))</f>
        <v>-</v>
      </c>
      <c r="N597" s="7" t="str">
        <f>IF(ISNUMBER(SEARCH("World",'RawData'!C652)),"",IF(ISNUMBER(SEARCH("Other",C597)),COUNTIFS('RawData'!B:B,B597,'RawData'!C:C,"&lt;&gt;*World*"),IF(OR(K597="",K597=0),"-",SUMPRODUCT(('RawData'!B$2:B$822=B597)*('RawData'!H$2:H$822&gt;K597)*(ISERROR(SEARCH("World",'RawData'!C$2:C$822)))*(ISERROR(SEARCH("Other",'RawData'!C$2:C$822))))+1)))</f>
        <v>-</v>
      </c>
    </row>
    <row r="598" spans="1:14" x14ac:dyDescent="0.3">
      <c r="A598" s="4" t="str">
        <f>IF(ISNUMBER(SEARCH("World",'RawData'!C653)),"",'RawData'!A653)</f>
        <v>MCS2026</v>
      </c>
      <c r="B598" s="4" t="str">
        <f>IF(ISNUMBER(SEARCH("World",'RawData'!C653)),"",'RawData'!B653)</f>
        <v>Sulfur</v>
      </c>
      <c r="C598" s="4" t="str">
        <f>IF(ISNUMBER(SEARCH("World",'RawData'!C653)),"",'RawData'!C653)</f>
        <v>Kazakhstan</v>
      </c>
      <c r="D598" s="4" t="str">
        <f>IF(ISNUMBER(SEARCH("World",'RawData'!C653)),"",'RawData'!D653)</f>
        <v>Production, all forms, sulfur content</v>
      </c>
      <c r="E598" s="4" t="str">
        <f>IF(ISNUMBER(SEARCH("World",'RawData'!C653)),"",IF('RawData'!E653="WT001","kg",IF('RawData'!E653="WT002","ton",IF('RawData'!E653="WT003","k ton",""))))</f>
        <v>k ton</v>
      </c>
      <c r="F598" s="14">
        <f>IF(ISNUMBER(SEARCH("World",'RawData'!C653)),"",'RawData'!F653)</f>
        <v>4740</v>
      </c>
      <c r="G598" s="14">
        <f>IF(ISNUMBER(SEARCH("World",'RawData'!C653)),"",'RawData'!G653)</f>
        <v>4800</v>
      </c>
      <c r="H598" s="14">
        <f>IF(ISNUMBER(SEARCH("World",'RawData'!C653)),"",SUMIFS('RawData'!G:G,'RawData'!B:B,'RawData'!B653,'RawData'!C:C,"*World*"))</f>
        <v>84000</v>
      </c>
      <c r="I598" s="15">
        <f>IF(ISNUMBER(SEARCH("World",'RawData'!C653)),"",IFERROR(G598/H598,"-"))</f>
        <v>5.7142857142857141E-2</v>
      </c>
      <c r="J598" s="7">
        <f>IF(ISNUMBER(SEARCH("World",'RawData'!C653)),"",IF(ISNUMBER(SEARCH("Other",C598)),COUNTIFS('RawData'!B:B,B598,'RawData'!C:C,"&lt;&gt;*World*"),IF(OR(G598="",G598=0),"-",SUMPRODUCT(('RawData'!B$2:B$822=B598)*('RawData'!G$2:G$822&gt;G598)*(ISERROR(SEARCH("World",'RawData'!C$2:C$822)))*(ISERROR(SEARCH("Other",'RawData'!C$2:C$822))))+1)))</f>
        <v>7</v>
      </c>
      <c r="K598" s="14">
        <f>IF(ISNUMBER(SEARCH("World",'RawData'!C653)),"",'RawData'!H653)</f>
        <v>0</v>
      </c>
      <c r="L598" s="14">
        <f>IF(ISNUMBER(SEARCH("World",'RawData'!C653)),"",SUMIFS('RawData'!H:H,'RawData'!B:B,'RawData'!B653,'RawData'!C:C,"*World*"))</f>
        <v>0</v>
      </c>
      <c r="M598" s="15" t="str">
        <f>IF(ISNUMBER(SEARCH("World",'RawData'!C653)),"",IFERROR(K598/L598,"-"))</f>
        <v>-</v>
      </c>
      <c r="N598" s="7" t="str">
        <f>IF(ISNUMBER(SEARCH("World",'RawData'!C653)),"",IF(ISNUMBER(SEARCH("Other",C598)),COUNTIFS('RawData'!B:B,B598,'RawData'!C:C,"&lt;&gt;*World*"),IF(OR(K598="",K598=0),"-",SUMPRODUCT(('RawData'!B$2:B$822=B598)*('RawData'!H$2:H$822&gt;K598)*(ISERROR(SEARCH("World",'RawData'!C$2:C$822)))*(ISERROR(SEARCH("Other",'RawData'!C$2:C$822))))+1)))</f>
        <v>-</v>
      </c>
    </row>
    <row r="599" spans="1:14" x14ac:dyDescent="0.3">
      <c r="A599" s="4" t="str">
        <f>IF(ISNUMBER(SEARCH("World",'RawData'!C654)),"",'RawData'!A654)</f>
        <v>MCS2026</v>
      </c>
      <c r="B599" s="4" t="str">
        <f>IF(ISNUMBER(SEARCH("World",'RawData'!C654)),"",'RawData'!B654)</f>
        <v>Sulfur</v>
      </c>
      <c r="C599" s="4" t="str">
        <f>IF(ISNUMBER(SEARCH("World",'RawData'!C654)),"",'RawData'!C654)</f>
        <v>Kuwait</v>
      </c>
      <c r="D599" s="4" t="str">
        <f>IF(ISNUMBER(SEARCH("World",'RawData'!C654)),"",'RawData'!D654)</f>
        <v>Production, all forms, sulfur content</v>
      </c>
      <c r="E599" s="4" t="str">
        <f>IF(ISNUMBER(SEARCH("World",'RawData'!C654)),"",IF('RawData'!E654="WT001","kg",IF('RawData'!E654="WT002","ton",IF('RawData'!E654="WT003","k ton",""))))</f>
        <v>k ton</v>
      </c>
      <c r="F599" s="14">
        <f>IF(ISNUMBER(SEARCH("World",'RawData'!C654)),"",'RawData'!F654)</f>
        <v>1300</v>
      </c>
      <c r="G599" s="14">
        <f>IF(ISNUMBER(SEARCH("World",'RawData'!C654)),"",'RawData'!G654)</f>
        <v>1300</v>
      </c>
      <c r="H599" s="14">
        <f>IF(ISNUMBER(SEARCH("World",'RawData'!C654)),"",SUMIFS('RawData'!G:G,'RawData'!B:B,'RawData'!B654,'RawData'!C:C,"*World*"))</f>
        <v>84000</v>
      </c>
      <c r="I599" s="15">
        <f>IF(ISNUMBER(SEARCH("World",'RawData'!C654)),"",IFERROR(G599/H599,"-"))</f>
        <v>1.5476190476190477E-2</v>
      </c>
      <c r="J599" s="7">
        <f>IF(ISNUMBER(SEARCH("World",'RawData'!C654)),"",IF(ISNUMBER(SEARCH("Other",C599)),COUNTIFS('RawData'!B:B,B599,'RawData'!C:C,"&lt;&gt;*World*"),IF(OR(G599="",G599=0),"-",SUMPRODUCT(('RawData'!B$2:B$822=B599)*('RawData'!G$2:G$822&gt;G599)*(ISERROR(SEARCH("World",'RawData'!C$2:C$822)))*(ISERROR(SEARCH("Other",'RawData'!C$2:C$822))))+1)))</f>
        <v>14</v>
      </c>
      <c r="K599" s="14">
        <f>IF(ISNUMBER(SEARCH("World",'RawData'!C654)),"",'RawData'!H654)</f>
        <v>0</v>
      </c>
      <c r="L599" s="14">
        <f>IF(ISNUMBER(SEARCH("World",'RawData'!C654)),"",SUMIFS('RawData'!H:H,'RawData'!B:B,'RawData'!B654,'RawData'!C:C,"*World*"))</f>
        <v>0</v>
      </c>
      <c r="M599" s="15" t="str">
        <f>IF(ISNUMBER(SEARCH("World",'RawData'!C654)),"",IFERROR(K599/L599,"-"))</f>
        <v>-</v>
      </c>
      <c r="N599" s="7" t="str">
        <f>IF(ISNUMBER(SEARCH("World",'RawData'!C654)),"",IF(ISNUMBER(SEARCH("Other",C599)),COUNTIFS('RawData'!B:B,B599,'RawData'!C:C,"&lt;&gt;*World*"),IF(OR(K599="",K599=0),"-",SUMPRODUCT(('RawData'!B$2:B$822=B599)*('RawData'!H$2:H$822&gt;K599)*(ISERROR(SEARCH("World",'RawData'!C$2:C$822)))*(ISERROR(SEARCH("Other",'RawData'!C$2:C$822))))+1)))</f>
        <v>-</v>
      </c>
    </row>
    <row r="600" spans="1:14" x14ac:dyDescent="0.3">
      <c r="A600" s="4" t="str">
        <f>IF(ISNUMBER(SEARCH("World",'RawData'!C655)),"",'RawData'!A655)</f>
        <v>MCS2026</v>
      </c>
      <c r="B600" s="4" t="str">
        <f>IF(ISNUMBER(SEARCH("World",'RawData'!C655)),"",'RawData'!B655)</f>
        <v>Sulfur</v>
      </c>
      <c r="C600" s="4" t="str">
        <f>IF(ISNUMBER(SEARCH("World",'RawData'!C655)),"",'RawData'!C655)</f>
        <v>Other Countries</v>
      </c>
      <c r="D600" s="4" t="str">
        <f>IF(ISNUMBER(SEARCH("World",'RawData'!C655)),"",'RawData'!D655)</f>
        <v>Production, all forms, sulfur content</v>
      </c>
      <c r="E600" s="4" t="str">
        <f>IF(ISNUMBER(SEARCH("World",'RawData'!C655)),"",IF('RawData'!E655="WT001","kg",IF('RawData'!E655="WT002","ton",IF('RawData'!E655="WT003","k ton",""))))</f>
        <v>k ton</v>
      </c>
      <c r="F600" s="14">
        <f>IF(ISNUMBER(SEARCH("World",'RawData'!C655)),"",'RawData'!F655)</f>
        <v>5100</v>
      </c>
      <c r="G600" s="14">
        <f>IF(ISNUMBER(SEARCH("World",'RawData'!C655)),"",'RawData'!G655)</f>
        <v>5700</v>
      </c>
      <c r="H600" s="14">
        <f>IF(ISNUMBER(SEARCH("World",'RawData'!C655)),"",SUMIFS('RawData'!G:G,'RawData'!B:B,'RawData'!B655,'RawData'!C:C,"*World*"))</f>
        <v>84000</v>
      </c>
      <c r="I600" s="15">
        <f>IF(ISNUMBER(SEARCH("World",'RawData'!C655)),"",IFERROR(G600/H600,"-"))</f>
        <v>6.7857142857142852E-2</v>
      </c>
      <c r="J600" s="7">
        <f>IF(ISNUMBER(SEARCH("World",'RawData'!C655)),"",IF(ISNUMBER(SEARCH("Other",C600)),COUNTIFS('RawData'!B:B,B600,'RawData'!C:C,"&lt;&gt;*World*"),IF(OR(G600="",G600=0),"-",SUMPRODUCT(('RawData'!B$2:B$822=B600)*('RawData'!G$2:G$822&gt;G600)*(ISERROR(SEARCH("World",'RawData'!C$2:C$822)))*(ISERROR(SEARCH("Other",'RawData'!C$2:C$822))))+1)))</f>
        <v>18</v>
      </c>
      <c r="K600" s="14">
        <f>IF(ISNUMBER(SEARCH("World",'RawData'!C655)),"",'RawData'!H655)</f>
        <v>0</v>
      </c>
      <c r="L600" s="14">
        <f>IF(ISNUMBER(SEARCH("World",'RawData'!C655)),"",SUMIFS('RawData'!H:H,'RawData'!B:B,'RawData'!B655,'RawData'!C:C,"*World*"))</f>
        <v>0</v>
      </c>
      <c r="M600" s="15" t="str">
        <f>IF(ISNUMBER(SEARCH("World",'RawData'!C655)),"",IFERROR(K600/L600,"-"))</f>
        <v>-</v>
      </c>
      <c r="N600" s="7">
        <f>IF(ISNUMBER(SEARCH("World",'RawData'!C655)),"",IF(ISNUMBER(SEARCH("Other",C600)),COUNTIFS('RawData'!B:B,B600,'RawData'!C:C,"&lt;&gt;*World*"),IF(OR(K600="",K600=0),"-",SUMPRODUCT(('RawData'!B$2:B$822=B600)*('RawData'!H$2:H$822&gt;K600)*(ISERROR(SEARCH("World",'RawData'!C$2:C$822)))*(ISERROR(SEARCH("Other",'RawData'!C$2:C$822))))+1)))</f>
        <v>18</v>
      </c>
    </row>
    <row r="601" spans="1:14" x14ac:dyDescent="0.3">
      <c r="A601" s="4" t="str">
        <f>IF(ISNUMBER(SEARCH("World",'RawData'!C656)),"",'RawData'!A656)</f>
        <v>MCS2026</v>
      </c>
      <c r="B601" s="4" t="str">
        <f>IF(ISNUMBER(SEARCH("World",'RawData'!C656)),"",'RawData'!B656)</f>
        <v>Sulfur</v>
      </c>
      <c r="C601" s="4" t="str">
        <f>IF(ISNUMBER(SEARCH("World",'RawData'!C656)),"",'RawData'!C656)</f>
        <v>Poland</v>
      </c>
      <c r="D601" s="4" t="str">
        <f>IF(ISNUMBER(SEARCH("World",'RawData'!C656)),"",'RawData'!D656)</f>
        <v>Production, all forms, sulfur content</v>
      </c>
      <c r="E601" s="4" t="str">
        <f>IF(ISNUMBER(SEARCH("World",'RawData'!C656)),"",IF('RawData'!E656="WT001","kg",IF('RawData'!E656="WT002","ton",IF('RawData'!E656="WT003","k ton",""))))</f>
        <v>k ton</v>
      </c>
      <c r="F601" s="14">
        <f>IF(ISNUMBER(SEARCH("World",'RawData'!C656)),"",'RawData'!F656)</f>
        <v>1000</v>
      </c>
      <c r="G601" s="14">
        <f>IF(ISNUMBER(SEARCH("World",'RawData'!C656)),"",'RawData'!G656)</f>
        <v>1100</v>
      </c>
      <c r="H601" s="14">
        <f>IF(ISNUMBER(SEARCH("World",'RawData'!C656)),"",SUMIFS('RawData'!G:G,'RawData'!B:B,'RawData'!B656,'RawData'!C:C,"*World*"))</f>
        <v>84000</v>
      </c>
      <c r="I601" s="15">
        <f>IF(ISNUMBER(SEARCH("World",'RawData'!C656)),"",IFERROR(G601/H601,"-"))</f>
        <v>1.3095238095238096E-2</v>
      </c>
      <c r="J601" s="7">
        <f>IF(ISNUMBER(SEARCH("World",'RawData'!C656)),"",IF(ISNUMBER(SEARCH("Other",C601)),COUNTIFS('RawData'!B:B,B601,'RawData'!C:C,"&lt;&gt;*World*"),IF(OR(G601="",G601=0),"-",SUMPRODUCT(('RawData'!B$2:B$822=B601)*('RawData'!G$2:G$822&gt;G601)*(ISERROR(SEARCH("World",'RawData'!C$2:C$822)))*(ISERROR(SEARCH("Other",'RawData'!C$2:C$822))))+1)))</f>
        <v>15</v>
      </c>
      <c r="K601" s="14">
        <f>IF(ISNUMBER(SEARCH("World",'RawData'!C656)),"",'RawData'!H656)</f>
        <v>0</v>
      </c>
      <c r="L601" s="14">
        <f>IF(ISNUMBER(SEARCH("World",'RawData'!C656)),"",SUMIFS('RawData'!H:H,'RawData'!B:B,'RawData'!B656,'RawData'!C:C,"*World*"))</f>
        <v>0</v>
      </c>
      <c r="M601" s="15" t="str">
        <f>IF(ISNUMBER(SEARCH("World",'RawData'!C656)),"",IFERROR(K601/L601,"-"))</f>
        <v>-</v>
      </c>
      <c r="N601" s="7" t="str">
        <f>IF(ISNUMBER(SEARCH("World",'RawData'!C656)),"",IF(ISNUMBER(SEARCH("Other",C601)),COUNTIFS('RawData'!B:B,B601,'RawData'!C:C,"&lt;&gt;*World*"),IF(OR(K601="",K601=0),"-",SUMPRODUCT(('RawData'!B$2:B$822=B601)*('RawData'!H$2:H$822&gt;K601)*(ISERROR(SEARCH("World",'RawData'!C$2:C$822)))*(ISERROR(SEARCH("Other",'RawData'!C$2:C$822))))+1)))</f>
        <v>-</v>
      </c>
    </row>
    <row r="602" spans="1:14" x14ac:dyDescent="0.3">
      <c r="A602" s="4" t="str">
        <f>IF(ISNUMBER(SEARCH("World",'RawData'!C657)),"",'RawData'!A657)</f>
        <v>MCS2026</v>
      </c>
      <c r="B602" s="4" t="str">
        <f>IF(ISNUMBER(SEARCH("World",'RawData'!C657)),"",'RawData'!B657)</f>
        <v>Sulfur</v>
      </c>
      <c r="C602" s="4" t="str">
        <f>IF(ISNUMBER(SEARCH("World",'RawData'!C657)),"",'RawData'!C657)</f>
        <v>Qatar</v>
      </c>
      <c r="D602" s="4" t="str">
        <f>IF(ISNUMBER(SEARCH("World",'RawData'!C657)),"",'RawData'!D657)</f>
        <v>Production, all forms, sulfur content</v>
      </c>
      <c r="E602" s="4" t="str">
        <f>IF(ISNUMBER(SEARCH("World",'RawData'!C657)),"",IF('RawData'!E657="WT001","kg",IF('RawData'!E657="WT002","ton",IF('RawData'!E657="WT003","k ton",""))))</f>
        <v>k ton</v>
      </c>
      <c r="F602" s="14">
        <f>IF(ISNUMBER(SEARCH("World",'RawData'!C657)),"",'RawData'!F657)</f>
        <v>3000</v>
      </c>
      <c r="G602" s="14">
        <f>IF(ISNUMBER(SEARCH("World",'RawData'!C657)),"",'RawData'!G657)</f>
        <v>3100</v>
      </c>
      <c r="H602" s="14">
        <f>IF(ISNUMBER(SEARCH("World",'RawData'!C657)),"",SUMIFS('RawData'!G:G,'RawData'!B:B,'RawData'!B657,'RawData'!C:C,"*World*"))</f>
        <v>84000</v>
      </c>
      <c r="I602" s="15">
        <f>IF(ISNUMBER(SEARCH("World",'RawData'!C657)),"",IFERROR(G602/H602,"-"))</f>
        <v>3.6904761904761905E-2</v>
      </c>
      <c r="J602" s="7">
        <f>IF(ISNUMBER(SEARCH("World",'RawData'!C657)),"",IF(ISNUMBER(SEARCH("Other",C602)),COUNTIFS('RawData'!B:B,B602,'RawData'!C:C,"&lt;&gt;*World*"),IF(OR(G602="",G602=0),"-",SUMPRODUCT(('RawData'!B$2:B$822=B602)*('RawData'!G$2:G$822&gt;G602)*(ISERROR(SEARCH("World",'RawData'!C$2:C$822)))*(ISERROR(SEARCH("Other",'RawData'!C$2:C$822))))+1)))</f>
        <v>9</v>
      </c>
      <c r="K602" s="14">
        <f>IF(ISNUMBER(SEARCH("World",'RawData'!C657)),"",'RawData'!H657)</f>
        <v>0</v>
      </c>
      <c r="L602" s="14">
        <f>IF(ISNUMBER(SEARCH("World",'RawData'!C657)),"",SUMIFS('RawData'!H:H,'RawData'!B:B,'RawData'!B657,'RawData'!C:C,"*World*"))</f>
        <v>0</v>
      </c>
      <c r="M602" s="15" t="str">
        <f>IF(ISNUMBER(SEARCH("World",'RawData'!C657)),"",IFERROR(K602/L602,"-"))</f>
        <v>-</v>
      </c>
      <c r="N602" s="7" t="str">
        <f>IF(ISNUMBER(SEARCH("World",'RawData'!C657)),"",IF(ISNUMBER(SEARCH("Other",C602)),COUNTIFS('RawData'!B:B,B602,'RawData'!C:C,"&lt;&gt;*World*"),IF(OR(K602="",K602=0),"-",SUMPRODUCT(('RawData'!B$2:B$822=B602)*('RawData'!H$2:H$822&gt;K602)*(ISERROR(SEARCH("World",'RawData'!C$2:C$822)))*(ISERROR(SEARCH("Other",'RawData'!C$2:C$822))))+1)))</f>
        <v>-</v>
      </c>
    </row>
    <row r="603" spans="1:14" x14ac:dyDescent="0.3">
      <c r="A603" s="4" t="str">
        <f>IF(ISNUMBER(SEARCH("World",'RawData'!C658)),"",'RawData'!A658)</f>
        <v>MCS2026</v>
      </c>
      <c r="B603" s="4" t="str">
        <f>IF(ISNUMBER(SEARCH("World",'RawData'!C658)),"",'RawData'!B658)</f>
        <v>Sulfur</v>
      </c>
      <c r="C603" s="4" t="str">
        <f>IF(ISNUMBER(SEARCH("World",'RawData'!C658)),"",'RawData'!C658)</f>
        <v xml:space="preserve">Russia </v>
      </c>
      <c r="D603" s="4" t="str">
        <f>IF(ISNUMBER(SEARCH("World",'RawData'!C658)),"",'RawData'!D658)</f>
        <v>Production, all forms, sulfur content</v>
      </c>
      <c r="E603" s="4" t="str">
        <f>IF(ISNUMBER(SEARCH("World",'RawData'!C658)),"",IF('RawData'!E658="WT001","kg",IF('RawData'!E658="WT002","ton",IF('RawData'!E658="WT003","k ton",""))))</f>
        <v>k ton</v>
      </c>
      <c r="F603" s="14">
        <f>IF(ISNUMBER(SEARCH("World",'RawData'!C658)),"",'RawData'!F658)</f>
        <v>7400</v>
      </c>
      <c r="G603" s="14">
        <f>IF(ISNUMBER(SEARCH("World",'RawData'!C658)),"",'RawData'!G658)</f>
        <v>7500</v>
      </c>
      <c r="H603" s="14">
        <f>IF(ISNUMBER(SEARCH("World",'RawData'!C658)),"",SUMIFS('RawData'!G:G,'RawData'!B:B,'RawData'!B658,'RawData'!C:C,"*World*"))</f>
        <v>84000</v>
      </c>
      <c r="I603" s="15">
        <f>IF(ISNUMBER(SEARCH("World",'RawData'!C658)),"",IFERROR(G603/H603,"-"))</f>
        <v>8.9285714285714288E-2</v>
      </c>
      <c r="J603" s="7">
        <f>IF(ISNUMBER(SEARCH("World",'RawData'!C658)),"",IF(ISNUMBER(SEARCH("Other",C603)),COUNTIFS('RawData'!B:B,B603,'RawData'!C:C,"&lt;&gt;*World*"),IF(OR(G603="",G603=0),"-",SUMPRODUCT(('RawData'!B$2:B$822=B603)*('RawData'!G$2:G$822&gt;G603)*(ISERROR(SEARCH("World",'RawData'!C$2:C$822)))*(ISERROR(SEARCH("Other",'RawData'!C$2:C$822))))+1)))</f>
        <v>3</v>
      </c>
      <c r="K603" s="14">
        <f>IF(ISNUMBER(SEARCH("World",'RawData'!C658)),"",'RawData'!H658)</f>
        <v>0</v>
      </c>
      <c r="L603" s="14">
        <f>IF(ISNUMBER(SEARCH("World",'RawData'!C658)),"",SUMIFS('RawData'!H:H,'RawData'!B:B,'RawData'!B658,'RawData'!C:C,"*World*"))</f>
        <v>0</v>
      </c>
      <c r="M603" s="15" t="str">
        <f>IF(ISNUMBER(SEARCH("World",'RawData'!C658)),"",IFERROR(K603/L603,"-"))</f>
        <v>-</v>
      </c>
      <c r="N603" s="7" t="str">
        <f>IF(ISNUMBER(SEARCH("World",'RawData'!C658)),"",IF(ISNUMBER(SEARCH("Other",C603)),COUNTIFS('RawData'!B:B,B603,'RawData'!C:C,"&lt;&gt;*World*"),IF(OR(K603="",K603=0),"-",SUMPRODUCT(('RawData'!B$2:B$822=B603)*('RawData'!H$2:H$822&gt;K603)*(ISERROR(SEARCH("World",'RawData'!C$2:C$822)))*(ISERROR(SEARCH("Other",'RawData'!C$2:C$822))))+1)))</f>
        <v>-</v>
      </c>
    </row>
    <row r="604" spans="1:14" x14ac:dyDescent="0.3">
      <c r="A604" s="4" t="str">
        <f>IF(ISNUMBER(SEARCH("World",'RawData'!C659)),"",'RawData'!A659)</f>
        <v>MCS2026</v>
      </c>
      <c r="B604" s="4" t="str">
        <f>IF(ISNUMBER(SEARCH("World",'RawData'!C659)),"",'RawData'!B659)</f>
        <v>Sulfur</v>
      </c>
      <c r="C604" s="4" t="str">
        <f>IF(ISNUMBER(SEARCH("World",'RawData'!C659)),"",'RawData'!C659)</f>
        <v>Saudi Arabia</v>
      </c>
      <c r="D604" s="4" t="str">
        <f>IF(ISNUMBER(SEARCH("World",'RawData'!C659)),"",'RawData'!D659)</f>
        <v>Production, all forms, sulfur content</v>
      </c>
      <c r="E604" s="4" t="str">
        <f>IF(ISNUMBER(SEARCH("World",'RawData'!C659)),"",IF('RawData'!E659="WT001","kg",IF('RawData'!E659="WT002","ton",IF('RawData'!E659="WT003","k ton",""))))</f>
        <v>k ton</v>
      </c>
      <c r="F604" s="14">
        <f>IF(ISNUMBER(SEARCH("World",'RawData'!C659)),"",'RawData'!F659)</f>
        <v>7200</v>
      </c>
      <c r="G604" s="14">
        <f>IF(ISNUMBER(SEARCH("World",'RawData'!C659)),"",'RawData'!G659)</f>
        <v>7200</v>
      </c>
      <c r="H604" s="14">
        <f>IF(ISNUMBER(SEARCH("World",'RawData'!C659)),"",SUMIFS('RawData'!G:G,'RawData'!B:B,'RawData'!B659,'RawData'!C:C,"*World*"))</f>
        <v>84000</v>
      </c>
      <c r="I604" s="15">
        <f>IF(ISNUMBER(SEARCH("World",'RawData'!C659)),"",IFERROR(G604/H604,"-"))</f>
        <v>8.5714285714285715E-2</v>
      </c>
      <c r="J604" s="7">
        <f>IF(ISNUMBER(SEARCH("World",'RawData'!C659)),"",IF(ISNUMBER(SEARCH("Other",C604)),COUNTIFS('RawData'!B:B,B604,'RawData'!C:C,"&lt;&gt;*World*"),IF(OR(G604="",G604=0),"-",SUMPRODUCT(('RawData'!B$2:B$822=B604)*('RawData'!G$2:G$822&gt;G604)*(ISERROR(SEARCH("World",'RawData'!C$2:C$822)))*(ISERROR(SEARCH("Other",'RawData'!C$2:C$822))))+1)))</f>
        <v>4</v>
      </c>
      <c r="K604" s="14">
        <f>IF(ISNUMBER(SEARCH("World",'RawData'!C659)),"",'RawData'!H659)</f>
        <v>0</v>
      </c>
      <c r="L604" s="14">
        <f>IF(ISNUMBER(SEARCH("World",'RawData'!C659)),"",SUMIFS('RawData'!H:H,'RawData'!B:B,'RawData'!B659,'RawData'!C:C,"*World*"))</f>
        <v>0</v>
      </c>
      <c r="M604" s="15" t="str">
        <f>IF(ISNUMBER(SEARCH("World",'RawData'!C659)),"",IFERROR(K604/L604,"-"))</f>
        <v>-</v>
      </c>
      <c r="N604" s="7" t="str">
        <f>IF(ISNUMBER(SEARCH("World",'RawData'!C659)),"",IF(ISNUMBER(SEARCH("Other",C604)),COUNTIFS('RawData'!B:B,B604,'RawData'!C:C,"&lt;&gt;*World*"),IF(OR(K604="",K604=0),"-",SUMPRODUCT(('RawData'!B$2:B$822=B604)*('RawData'!H$2:H$822&gt;K604)*(ISERROR(SEARCH("World",'RawData'!C$2:C$822)))*(ISERROR(SEARCH("Other",'RawData'!C$2:C$822))))+1)))</f>
        <v>-</v>
      </c>
    </row>
    <row r="605" spans="1:14" x14ac:dyDescent="0.3">
      <c r="A605" s="4" t="str">
        <f>IF(ISNUMBER(SEARCH("World",'RawData'!C660)),"",'RawData'!A660)</f>
        <v>MCS2026</v>
      </c>
      <c r="B605" s="4" t="str">
        <f>IF(ISNUMBER(SEARCH("World",'RawData'!C660)),"",'RawData'!B660)</f>
        <v>Sulfur</v>
      </c>
      <c r="C605" s="4" t="str">
        <f>IF(ISNUMBER(SEARCH("World",'RawData'!C660)),"",'RawData'!C660)</f>
        <v>South Korea</v>
      </c>
      <c r="D605" s="4" t="str">
        <f>IF(ISNUMBER(SEARCH("World",'RawData'!C660)),"",'RawData'!D660)</f>
        <v>Production, all forms, sulfur content</v>
      </c>
      <c r="E605" s="4" t="str">
        <f>IF(ISNUMBER(SEARCH("World",'RawData'!C660)),"",IF('RawData'!E660="WT001","kg",IF('RawData'!E660="WT002","ton",IF('RawData'!E660="WT003","k ton",""))))</f>
        <v>k ton</v>
      </c>
      <c r="F605" s="14">
        <f>IF(ISNUMBER(SEARCH("World",'RawData'!C660)),"",'RawData'!F660)</f>
        <v>3100</v>
      </c>
      <c r="G605" s="14">
        <f>IF(ISNUMBER(SEARCH("World",'RawData'!C660)),"",'RawData'!G660)</f>
        <v>3100</v>
      </c>
      <c r="H605" s="14">
        <f>IF(ISNUMBER(SEARCH("World",'RawData'!C660)),"",SUMIFS('RawData'!G:G,'RawData'!B:B,'RawData'!B660,'RawData'!C:C,"*World*"))</f>
        <v>84000</v>
      </c>
      <c r="I605" s="15">
        <f>IF(ISNUMBER(SEARCH("World",'RawData'!C660)),"",IFERROR(G605/H605,"-"))</f>
        <v>3.6904761904761905E-2</v>
      </c>
      <c r="J605" s="7">
        <f>IF(ISNUMBER(SEARCH("World",'RawData'!C660)),"",IF(ISNUMBER(SEARCH("Other",C605)),COUNTIFS('RawData'!B:B,B605,'RawData'!C:C,"&lt;&gt;*World*"),IF(OR(G605="",G605=0),"-",SUMPRODUCT(('RawData'!B$2:B$822=B605)*('RawData'!G$2:G$822&gt;G605)*(ISERROR(SEARCH("World",'RawData'!C$2:C$822)))*(ISERROR(SEARCH("Other",'RawData'!C$2:C$822))))+1)))</f>
        <v>9</v>
      </c>
      <c r="K605" s="14">
        <f>IF(ISNUMBER(SEARCH("World",'RawData'!C660)),"",'RawData'!H660)</f>
        <v>0</v>
      </c>
      <c r="L605" s="14">
        <f>IF(ISNUMBER(SEARCH("World",'RawData'!C660)),"",SUMIFS('RawData'!H:H,'RawData'!B:B,'RawData'!B660,'RawData'!C:C,"*World*"))</f>
        <v>0</v>
      </c>
      <c r="M605" s="15" t="str">
        <f>IF(ISNUMBER(SEARCH("World",'RawData'!C660)),"",IFERROR(K605/L605,"-"))</f>
        <v>-</v>
      </c>
      <c r="N605" s="7" t="str">
        <f>IF(ISNUMBER(SEARCH("World",'RawData'!C660)),"",IF(ISNUMBER(SEARCH("Other",C605)),COUNTIFS('RawData'!B:B,B605,'RawData'!C:C,"&lt;&gt;*World*"),IF(OR(K605="",K605=0),"-",SUMPRODUCT(('RawData'!B$2:B$822=B605)*('RawData'!H$2:H$822&gt;K605)*(ISERROR(SEARCH("World",'RawData'!C$2:C$822)))*(ISERROR(SEARCH("Other",'RawData'!C$2:C$822))))+1)))</f>
        <v>-</v>
      </c>
    </row>
    <row r="606" spans="1:14" x14ac:dyDescent="0.3">
      <c r="A606" s="4" t="str">
        <f>IF(ISNUMBER(SEARCH("World",'RawData'!C661)),"",'RawData'!A661)</f>
        <v>MCS2026</v>
      </c>
      <c r="B606" s="4" t="str">
        <f>IF(ISNUMBER(SEARCH("World",'RawData'!C661)),"",'RawData'!B661)</f>
        <v>Sulfur</v>
      </c>
      <c r="C606" s="4" t="str">
        <f>IF(ISNUMBER(SEARCH("World",'RawData'!C661)),"",'RawData'!C661)</f>
        <v>Turkmenistan</v>
      </c>
      <c r="D606" s="4" t="str">
        <f>IF(ISNUMBER(SEARCH("World",'RawData'!C661)),"",'RawData'!D661)</f>
        <v>Production, all forms, sulfur content</v>
      </c>
      <c r="E606" s="4" t="str">
        <f>IF(ISNUMBER(SEARCH("World",'RawData'!C661)),"",IF('RawData'!E661="WT001","kg",IF('RawData'!E661="WT002","ton",IF('RawData'!E661="WT003","k ton",""))))</f>
        <v>k ton</v>
      </c>
      <c r="F606" s="14">
        <f>IF(ISNUMBER(SEARCH("World",'RawData'!C661)),"",'RawData'!F661)</f>
        <v>880</v>
      </c>
      <c r="G606" s="14">
        <f>IF(ISNUMBER(SEARCH("World",'RawData'!C661)),"",'RawData'!G661)</f>
        <v>870</v>
      </c>
      <c r="H606" s="14">
        <f>IF(ISNUMBER(SEARCH("World",'RawData'!C661)),"",SUMIFS('RawData'!G:G,'RawData'!B:B,'RawData'!B661,'RawData'!C:C,"*World*"))</f>
        <v>84000</v>
      </c>
      <c r="I606" s="15">
        <f>IF(ISNUMBER(SEARCH("World",'RawData'!C661)),"",IFERROR(G606/H606,"-"))</f>
        <v>1.0357142857142856E-2</v>
      </c>
      <c r="J606" s="7">
        <f>IF(ISNUMBER(SEARCH("World",'RawData'!C661)),"",IF(ISNUMBER(SEARCH("Other",C606)),COUNTIFS('RawData'!B:B,B606,'RawData'!C:C,"&lt;&gt;*World*"),IF(OR(G606="",G606=0),"-",SUMPRODUCT(('RawData'!B$2:B$822=B606)*('RawData'!G$2:G$822&gt;G606)*(ISERROR(SEARCH("World",'RawData'!C$2:C$822)))*(ISERROR(SEARCH("Other",'RawData'!C$2:C$822))))+1)))</f>
        <v>17</v>
      </c>
      <c r="K606" s="14">
        <f>IF(ISNUMBER(SEARCH("World",'RawData'!C661)),"",'RawData'!H661)</f>
        <v>0</v>
      </c>
      <c r="L606" s="14">
        <f>IF(ISNUMBER(SEARCH("World",'RawData'!C661)),"",SUMIFS('RawData'!H:H,'RawData'!B:B,'RawData'!B661,'RawData'!C:C,"*World*"))</f>
        <v>0</v>
      </c>
      <c r="M606" s="15" t="str">
        <f>IF(ISNUMBER(SEARCH("World",'RawData'!C661)),"",IFERROR(K606/L606,"-"))</f>
        <v>-</v>
      </c>
      <c r="N606" s="7" t="str">
        <f>IF(ISNUMBER(SEARCH("World",'RawData'!C661)),"",IF(ISNUMBER(SEARCH("Other",C606)),COUNTIFS('RawData'!B:B,B606,'RawData'!C:C,"&lt;&gt;*World*"),IF(OR(K606="",K606=0),"-",SUMPRODUCT(('RawData'!B$2:B$822=B606)*('RawData'!H$2:H$822&gt;K606)*(ISERROR(SEARCH("World",'RawData'!C$2:C$822)))*(ISERROR(SEARCH("Other",'RawData'!C$2:C$822))))+1)))</f>
        <v>-</v>
      </c>
    </row>
    <row r="607" spans="1:14" x14ac:dyDescent="0.3">
      <c r="A607" s="4" t="str">
        <f>IF(ISNUMBER(SEARCH("World",'RawData'!C662)),"",'RawData'!A662)</f>
        <v>MCS2026</v>
      </c>
      <c r="B607" s="4" t="str">
        <f>IF(ISNUMBER(SEARCH("World",'RawData'!C662)),"",'RawData'!B662)</f>
        <v>Sulfur</v>
      </c>
      <c r="C607" s="4" t="str">
        <f>IF(ISNUMBER(SEARCH("World",'RawData'!C662)),"",'RawData'!C662)</f>
        <v>UAE</v>
      </c>
      <c r="D607" s="4" t="str">
        <f>IF(ISNUMBER(SEARCH("World",'RawData'!C662)),"",'RawData'!D662)</f>
        <v>Production, all forms, sulfur content</v>
      </c>
      <c r="E607" s="4" t="str">
        <f>IF(ISNUMBER(SEARCH("World",'RawData'!C662)),"",IF('RawData'!E662="WT001","kg",IF('RawData'!E662="WT002","ton",IF('RawData'!E662="WT003","k ton",""))))</f>
        <v>k ton</v>
      </c>
      <c r="F607" s="14">
        <f>IF(ISNUMBER(SEARCH("World",'RawData'!C662)),"",'RawData'!F662)</f>
        <v>6300</v>
      </c>
      <c r="G607" s="14">
        <f>IF(ISNUMBER(SEARCH("World",'RawData'!C662)),"",'RawData'!G662)</f>
        <v>6300</v>
      </c>
      <c r="H607" s="14">
        <f>IF(ISNUMBER(SEARCH("World",'RawData'!C662)),"",SUMIFS('RawData'!G:G,'RawData'!B:B,'RawData'!B662,'RawData'!C:C,"*World*"))</f>
        <v>84000</v>
      </c>
      <c r="I607" s="15">
        <f>IF(ISNUMBER(SEARCH("World",'RawData'!C662)),"",IFERROR(G607/H607,"-"))</f>
        <v>7.4999999999999997E-2</v>
      </c>
      <c r="J607" s="7">
        <f>IF(ISNUMBER(SEARCH("World",'RawData'!C662)),"",IF(ISNUMBER(SEARCH("Other",C607)),COUNTIFS('RawData'!B:B,B607,'RawData'!C:C,"&lt;&gt;*World*"),IF(OR(G607="",G607=0),"-",SUMPRODUCT(('RawData'!B$2:B$822=B607)*('RawData'!G$2:G$822&gt;G607)*(ISERROR(SEARCH("World",'RawData'!C$2:C$822)))*(ISERROR(SEARCH("Other",'RawData'!C$2:C$822))))+1)))</f>
        <v>5</v>
      </c>
      <c r="K607" s="14">
        <f>IF(ISNUMBER(SEARCH("World",'RawData'!C662)),"",'RawData'!H662)</f>
        <v>0</v>
      </c>
      <c r="L607" s="14">
        <f>IF(ISNUMBER(SEARCH("World",'RawData'!C662)),"",SUMIFS('RawData'!H:H,'RawData'!B:B,'RawData'!B662,'RawData'!C:C,"*World*"))</f>
        <v>0</v>
      </c>
      <c r="M607" s="15" t="str">
        <f>IF(ISNUMBER(SEARCH("World",'RawData'!C662)),"",IFERROR(K607/L607,"-"))</f>
        <v>-</v>
      </c>
      <c r="N607" s="7" t="str">
        <f>IF(ISNUMBER(SEARCH("World",'RawData'!C662)),"",IF(ISNUMBER(SEARCH("Other",C607)),COUNTIFS('RawData'!B:B,B607,'RawData'!C:C,"&lt;&gt;*World*"),IF(OR(K607="",K607=0),"-",SUMPRODUCT(('RawData'!B$2:B$822=B607)*('RawData'!H$2:H$822&gt;K607)*(ISERROR(SEARCH("World",'RawData'!C$2:C$822)))*(ISERROR(SEARCH("Other",'RawData'!C$2:C$822))))+1)))</f>
        <v>-</v>
      </c>
    </row>
    <row r="608" spans="1:14" x14ac:dyDescent="0.3">
      <c r="A608" s="4" t="str">
        <f>IF(ISNUMBER(SEARCH("World",'RawData'!C663)),"",'RawData'!A663)</f>
        <v>MCS2026</v>
      </c>
      <c r="B608" s="4" t="str">
        <f>IF(ISNUMBER(SEARCH("World",'RawData'!C663)),"",'RawData'!B663)</f>
        <v>Sulfur</v>
      </c>
      <c r="C608" s="4" t="str">
        <f>IF(ISNUMBER(SEARCH("World",'RawData'!C663)),"",'RawData'!C663)</f>
        <v>United States</v>
      </c>
      <c r="D608" s="4" t="str">
        <f>IF(ISNUMBER(SEARCH("World",'RawData'!C663)),"",'RawData'!D663)</f>
        <v>Production, all forms, sulfur content</v>
      </c>
      <c r="E608" s="4" t="str">
        <f>IF(ISNUMBER(SEARCH("World",'RawData'!C663)),"",IF('RawData'!E663="WT001","kg",IF('RawData'!E663="WT002","ton",IF('RawData'!E663="WT003","k ton",""))))</f>
        <v>k ton</v>
      </c>
      <c r="F608" s="14">
        <f>IF(ISNUMBER(SEARCH("World",'RawData'!C663)),"",'RawData'!F663)</f>
        <v>8320</v>
      </c>
      <c r="G608" s="14">
        <f>IF(ISNUMBER(SEARCH("World",'RawData'!C663)),"",'RawData'!G663)</f>
        <v>8100</v>
      </c>
      <c r="H608" s="14">
        <f>IF(ISNUMBER(SEARCH("World",'RawData'!C663)),"",SUMIFS('RawData'!G:G,'RawData'!B:B,'RawData'!B663,'RawData'!C:C,"*World*"))</f>
        <v>84000</v>
      </c>
      <c r="I608" s="15">
        <f>IF(ISNUMBER(SEARCH("World",'RawData'!C663)),"",IFERROR(G608/H608,"-"))</f>
        <v>9.6428571428571433E-2</v>
      </c>
      <c r="J608" s="7">
        <f>IF(ISNUMBER(SEARCH("World",'RawData'!C663)),"",IF(ISNUMBER(SEARCH("Other",C608)),COUNTIFS('RawData'!B:B,B608,'RawData'!C:C,"&lt;&gt;*World*"),IF(OR(G608="",G608=0),"-",SUMPRODUCT(('RawData'!B$2:B$822=B608)*('RawData'!G$2:G$822&gt;G608)*(ISERROR(SEARCH("World",'RawData'!C$2:C$822)))*(ISERROR(SEARCH("Other",'RawData'!C$2:C$822))))+1)))</f>
        <v>2</v>
      </c>
      <c r="K608" s="14">
        <f>IF(ISNUMBER(SEARCH("World",'RawData'!C663)),"",'RawData'!H663)</f>
        <v>0</v>
      </c>
      <c r="L608" s="14">
        <f>IF(ISNUMBER(SEARCH("World",'RawData'!C663)),"",SUMIFS('RawData'!H:H,'RawData'!B:B,'RawData'!B663,'RawData'!C:C,"*World*"))</f>
        <v>0</v>
      </c>
      <c r="M608" s="15" t="str">
        <f>IF(ISNUMBER(SEARCH("World",'RawData'!C663)),"",IFERROR(K608/L608,"-"))</f>
        <v>-</v>
      </c>
      <c r="N608" s="7" t="str">
        <f>IF(ISNUMBER(SEARCH("World",'RawData'!C663)),"",IF(ISNUMBER(SEARCH("Other",C608)),COUNTIFS('RawData'!B:B,B608,'RawData'!C:C,"&lt;&gt;*World*"),IF(OR(K608="",K608=0),"-",SUMPRODUCT(('RawData'!B$2:B$822=B608)*('RawData'!H$2:H$822&gt;K608)*(ISERROR(SEARCH("World",'RawData'!C$2:C$822)))*(ISERROR(SEARCH("Other",'RawData'!C$2:C$822))))+1)))</f>
        <v>-</v>
      </c>
    </row>
    <row r="609" spans="1:14" x14ac:dyDescent="0.3">
      <c r="A609" s="4" t="str">
        <f>IF(ISNUMBER(SEARCH("World",'RawData'!C665)),"",'RawData'!A665)</f>
        <v>MCS2026</v>
      </c>
      <c r="B609" s="4" t="str">
        <f>IF(ISNUMBER(SEARCH("World",'RawData'!C665)),"",'RawData'!B665)</f>
        <v>Talc</v>
      </c>
      <c r="C609" s="4" t="str">
        <f>IF(ISNUMBER(SEARCH("World",'RawData'!C665)),"",'RawData'!C665)</f>
        <v>Afghanistan</v>
      </c>
      <c r="D609" s="4" t="str">
        <f>IF(ISNUMBER(SEARCH("World",'RawData'!C665)),"",'RawData'!D665)</f>
        <v>Mine production, estimated</v>
      </c>
      <c r="E609" s="4" t="str">
        <f>IF(ISNUMBER(SEARCH("World",'RawData'!C665)),"",IF('RawData'!E665="WT001","kg",IF('RawData'!E665="WT002","ton",IF('RawData'!E665="WT003","k ton",""))))</f>
        <v>k ton</v>
      </c>
      <c r="F609" s="14">
        <f>IF(ISNUMBER(SEARCH("World",'RawData'!C665)),"",'RawData'!F665)</f>
        <v>190</v>
      </c>
      <c r="G609" s="14">
        <f>IF(ISNUMBER(SEARCH("World",'RawData'!C665)),"",'RawData'!G665)</f>
        <v>200</v>
      </c>
      <c r="H609" s="14">
        <f>IF(ISNUMBER(SEARCH("World",'RawData'!C665)),"",SUMIFS('RawData'!G:G,'RawData'!B:B,'RawData'!B665,'RawData'!C:C,"*World*"))</f>
        <v>6900</v>
      </c>
      <c r="I609" s="15">
        <f>IF(ISNUMBER(SEARCH("World",'RawData'!C665)),"",IFERROR(G609/H609,"-"))</f>
        <v>2.8985507246376812E-2</v>
      </c>
      <c r="J609" s="7">
        <f>IF(ISNUMBER(SEARCH("World",'RawData'!C665)),"",IF(ISNUMBER(SEARCH("Other",C609)),COUNTIFS('RawData'!B:B,B609,'RawData'!C:C,"&lt;&gt;*World*"),IF(OR(G609="",G609=0),"-",SUMPRODUCT(('RawData'!B$2:B$822=B609)*('RawData'!G$2:G$822&gt;G609)*(ISERROR(SEARCH("World",'RawData'!C$2:C$822)))*(ISERROR(SEARCH("Other",'RawData'!C$2:C$822))))+1)))</f>
        <v>9</v>
      </c>
      <c r="K609" s="14">
        <f>IF(ISNUMBER(SEARCH("World",'RawData'!C665)),"",'RawData'!H665)</f>
        <v>0</v>
      </c>
      <c r="L609" s="14">
        <f>IF(ISNUMBER(SEARCH("World",'RawData'!C665)),"",SUMIFS('RawData'!H:H,'RawData'!B:B,'RawData'!B665,'RawData'!C:C,"*World*"))</f>
        <v>0</v>
      </c>
      <c r="M609" s="15" t="str">
        <f>IF(ISNUMBER(SEARCH("World",'RawData'!C665)),"",IFERROR(K609/L609,"-"))</f>
        <v>-</v>
      </c>
      <c r="N609" s="7" t="str">
        <f>IF(ISNUMBER(SEARCH("World",'RawData'!C665)),"",IF(ISNUMBER(SEARCH("Other",C609)),COUNTIFS('RawData'!B:B,B609,'RawData'!C:C,"&lt;&gt;*World*"),IF(OR(K609="",K609=0),"-",SUMPRODUCT(('RawData'!B$2:B$822=B609)*('RawData'!H$2:H$822&gt;K609)*(ISERROR(SEARCH("World",'RawData'!C$2:C$822)))*(ISERROR(SEARCH("Other",'RawData'!C$2:C$822))))+1)))</f>
        <v>-</v>
      </c>
    </row>
    <row r="610" spans="1:14" x14ac:dyDescent="0.3">
      <c r="A610" s="4" t="str">
        <f>IF(ISNUMBER(SEARCH("World",'RawData'!C666)),"",'RawData'!A666)</f>
        <v>MCS2026</v>
      </c>
      <c r="B610" s="4" t="str">
        <f>IF(ISNUMBER(SEARCH("World",'RawData'!C666)),"",'RawData'!B666)</f>
        <v>Talc</v>
      </c>
      <c r="C610" s="4" t="str">
        <f>IF(ISNUMBER(SEARCH("World",'RawData'!C666)),"",'RawData'!C666)</f>
        <v>Brazil</v>
      </c>
      <c r="D610" s="4" t="str">
        <f>IF(ISNUMBER(SEARCH("World",'RawData'!C666)),"",'RawData'!D666)</f>
        <v>Mine production, estimated</v>
      </c>
      <c r="E610" s="4" t="str">
        <f>IF(ISNUMBER(SEARCH("World",'RawData'!C666)),"",IF('RawData'!E666="WT001","kg",IF('RawData'!E666="WT002","ton",IF('RawData'!E666="WT003","k ton",""))))</f>
        <v>k ton</v>
      </c>
      <c r="F610" s="14">
        <f>IF(ISNUMBER(SEARCH("World",'RawData'!C666)),"",'RawData'!F666)</f>
        <v>649</v>
      </c>
      <c r="G610" s="14">
        <f>IF(ISNUMBER(SEARCH("World",'RawData'!C666)),"",'RawData'!G666)</f>
        <v>570</v>
      </c>
      <c r="H610" s="14">
        <f>IF(ISNUMBER(SEARCH("World",'RawData'!C666)),"",SUMIFS('RawData'!G:G,'RawData'!B:B,'RawData'!B666,'RawData'!C:C,"*World*"))</f>
        <v>6900</v>
      </c>
      <c r="I610" s="15">
        <f>IF(ISNUMBER(SEARCH("World",'RawData'!C666)),"",IFERROR(G610/H610,"-"))</f>
        <v>8.2608695652173908E-2</v>
      </c>
      <c r="J610" s="7">
        <f>IF(ISNUMBER(SEARCH("World",'RawData'!C666)),"",IF(ISNUMBER(SEARCH("Other",C610)),COUNTIFS('RawData'!B:B,B610,'RawData'!C:C,"&lt;&gt;*World*"),IF(OR(G610="",G610=0),"-",SUMPRODUCT(('RawData'!B$2:B$822=B610)*('RawData'!G$2:G$822&gt;G610)*(ISERROR(SEARCH("World",'RawData'!C$2:C$822)))*(ISERROR(SEARCH("Other",'RawData'!C$2:C$822))))+1)))</f>
        <v>3</v>
      </c>
      <c r="K610" s="14">
        <f>IF(ISNUMBER(SEARCH("World",'RawData'!C666)),"",'RawData'!H666)</f>
        <v>48000</v>
      </c>
      <c r="L610" s="14">
        <f>IF(ISNUMBER(SEARCH("World",'RawData'!C666)),"",SUMIFS('RawData'!H:H,'RawData'!B:B,'RawData'!B666,'RawData'!C:C,"*World*"))</f>
        <v>0</v>
      </c>
      <c r="M610" s="15" t="str">
        <f>IF(ISNUMBER(SEARCH("World",'RawData'!C666)),"",IFERROR(K610/L610,"-"))</f>
        <v>-</v>
      </c>
      <c r="N610" s="7">
        <f>IF(ISNUMBER(SEARCH("World",'RawData'!C666)),"",IF(ISNUMBER(SEARCH("Other",C610)),COUNTIFS('RawData'!B:B,B610,'RawData'!C:C,"&lt;&gt;*World*"),IF(OR(K610="",K610=0),"-",SUMPRODUCT(('RawData'!B$2:B$822=B610)*('RawData'!H$2:H$822&gt;K610)*(ISERROR(SEARCH("World",'RawData'!C$2:C$822)))*(ISERROR(SEARCH("Other",'RawData'!C$2:C$822))))+1)))</f>
        <v>6</v>
      </c>
    </row>
    <row r="611" spans="1:14" x14ac:dyDescent="0.3">
      <c r="A611" s="4" t="str">
        <f>IF(ISNUMBER(SEARCH("World",'RawData'!C667)),"",'RawData'!A667)</f>
        <v>MCS2026</v>
      </c>
      <c r="B611" s="4" t="str">
        <f>IF(ISNUMBER(SEARCH("World",'RawData'!C667)),"",'RawData'!B667)</f>
        <v>Talc</v>
      </c>
      <c r="C611" s="4" t="str">
        <f>IF(ISNUMBER(SEARCH("World",'RawData'!C667)),"",'RawData'!C667)</f>
        <v xml:space="preserve">Canada </v>
      </c>
      <c r="D611" s="4" t="str">
        <f>IF(ISNUMBER(SEARCH("World",'RawData'!C667)),"",'RawData'!D667)</f>
        <v>Mine production, estimated</v>
      </c>
      <c r="E611" s="4" t="str">
        <f>IF(ISNUMBER(SEARCH("World",'RawData'!C667)),"",IF('RawData'!E667="WT001","kg",IF('RawData'!E667="WT002","ton",IF('RawData'!E667="WT003","k ton",""))))</f>
        <v>k ton</v>
      </c>
      <c r="F611" s="14">
        <f>IF(ISNUMBER(SEARCH("World",'RawData'!C667)),"",'RawData'!F667)</f>
        <v>150</v>
      </c>
      <c r="G611" s="14">
        <f>IF(ISNUMBER(SEARCH("World",'RawData'!C667)),"",'RawData'!G667)</f>
        <v>150</v>
      </c>
      <c r="H611" s="14">
        <f>IF(ISNUMBER(SEARCH("World",'RawData'!C667)),"",SUMIFS('RawData'!G:G,'RawData'!B:B,'RawData'!B667,'RawData'!C:C,"*World*"))</f>
        <v>6900</v>
      </c>
      <c r="I611" s="15">
        <f>IF(ISNUMBER(SEARCH("World",'RawData'!C667)),"",IFERROR(G611/H611,"-"))</f>
        <v>2.1739130434782608E-2</v>
      </c>
      <c r="J611" s="7">
        <f>IF(ISNUMBER(SEARCH("World",'RawData'!C667)),"",IF(ISNUMBER(SEARCH("Other",C611)),COUNTIFS('RawData'!B:B,B611,'RawData'!C:C,"&lt;&gt;*World*"),IF(OR(G611="",G611=0),"-",SUMPRODUCT(('RawData'!B$2:B$822=B611)*('RawData'!G$2:G$822&gt;G611)*(ISERROR(SEARCH("World",'RawData'!C$2:C$822)))*(ISERROR(SEARCH("Other",'RawData'!C$2:C$822))))+1)))</f>
        <v>13</v>
      </c>
      <c r="K611" s="14">
        <f>IF(ISNUMBER(SEARCH("World",'RawData'!C667)),"",'RawData'!H667)</f>
        <v>0</v>
      </c>
      <c r="L611" s="14">
        <f>IF(ISNUMBER(SEARCH("World",'RawData'!C667)),"",SUMIFS('RawData'!H:H,'RawData'!B:B,'RawData'!B667,'RawData'!C:C,"*World*"))</f>
        <v>0</v>
      </c>
      <c r="M611" s="15" t="str">
        <f>IF(ISNUMBER(SEARCH("World",'RawData'!C667)),"",IFERROR(K611/L611,"-"))</f>
        <v>-</v>
      </c>
      <c r="N611" s="7" t="str">
        <f>IF(ISNUMBER(SEARCH("World",'RawData'!C667)),"",IF(ISNUMBER(SEARCH("Other",C611)),COUNTIFS('RawData'!B:B,B611,'RawData'!C:C,"&lt;&gt;*World*"),IF(OR(K611="",K611=0),"-",SUMPRODUCT(('RawData'!B$2:B$822=B611)*('RawData'!H$2:H$822&gt;K611)*(ISERROR(SEARCH("World",'RawData'!C$2:C$822)))*(ISERROR(SEARCH("Other",'RawData'!C$2:C$822))))+1)))</f>
        <v>-</v>
      </c>
    </row>
    <row r="612" spans="1:14" x14ac:dyDescent="0.3">
      <c r="A612" s="4" t="str">
        <f>IF(ISNUMBER(SEARCH("World",'RawData'!C668)),"",'RawData'!A668)</f>
        <v>MCS2026</v>
      </c>
      <c r="B612" s="4" t="str">
        <f>IF(ISNUMBER(SEARCH("World",'RawData'!C668)),"",'RawData'!B668)</f>
        <v>Talc</v>
      </c>
      <c r="C612" s="4" t="str">
        <f>IF(ISNUMBER(SEARCH("World",'RawData'!C668)),"",'RawData'!C668)</f>
        <v>China</v>
      </c>
      <c r="D612" s="4" t="str">
        <f>IF(ISNUMBER(SEARCH("World",'RawData'!C668)),"",'RawData'!D668)</f>
        <v>Mine production, estimated</v>
      </c>
      <c r="E612" s="4" t="str">
        <f>IF(ISNUMBER(SEARCH("World",'RawData'!C668)),"",IF('RawData'!E668="WT001","kg",IF('RawData'!E668="WT002","ton",IF('RawData'!E668="WT003","k ton",""))))</f>
        <v>k ton</v>
      </c>
      <c r="F612" s="14">
        <f>IF(ISNUMBER(SEARCH("World",'RawData'!C668)),"",'RawData'!F668)</f>
        <v>1300</v>
      </c>
      <c r="G612" s="14">
        <f>IF(ISNUMBER(SEARCH("World",'RawData'!C668)),"",'RawData'!G668)</f>
        <v>1300</v>
      </c>
      <c r="H612" s="14">
        <f>IF(ISNUMBER(SEARCH("World",'RawData'!C668)),"",SUMIFS('RawData'!G:G,'RawData'!B:B,'RawData'!B668,'RawData'!C:C,"*World*"))</f>
        <v>6900</v>
      </c>
      <c r="I612" s="15">
        <f>IF(ISNUMBER(SEARCH("World",'RawData'!C668)),"",IFERROR(G612/H612,"-"))</f>
        <v>0.18840579710144928</v>
      </c>
      <c r="J612" s="7">
        <f>IF(ISNUMBER(SEARCH("World",'RawData'!C668)),"",IF(ISNUMBER(SEARCH("Other",C612)),COUNTIFS('RawData'!B:B,B612,'RawData'!C:C,"&lt;&gt;*World*"),IF(OR(G612="",G612=0),"-",SUMPRODUCT(('RawData'!B$2:B$822=B612)*('RawData'!G$2:G$822&gt;G612)*(ISERROR(SEARCH("World",'RawData'!C$2:C$822)))*(ISERROR(SEARCH("Other",'RawData'!C$2:C$822))))+1)))</f>
        <v>2</v>
      </c>
      <c r="K612" s="14">
        <f>IF(ISNUMBER(SEARCH("World",'RawData'!C668)),"",'RawData'!H668)</f>
        <v>60000</v>
      </c>
      <c r="L612" s="14">
        <f>IF(ISNUMBER(SEARCH("World",'RawData'!C668)),"",SUMIFS('RawData'!H:H,'RawData'!B:B,'RawData'!B668,'RawData'!C:C,"*World*"))</f>
        <v>0</v>
      </c>
      <c r="M612" s="15" t="str">
        <f>IF(ISNUMBER(SEARCH("World",'RawData'!C668)),"",IFERROR(K612/L612,"-"))</f>
        <v>-</v>
      </c>
      <c r="N612" s="7">
        <f>IF(ISNUMBER(SEARCH("World",'RawData'!C668)),"",IF(ISNUMBER(SEARCH("Other",C612)),COUNTIFS('RawData'!B:B,B612,'RawData'!C:C,"&lt;&gt;*World*"),IF(OR(K612="",K612=0),"-",SUMPRODUCT(('RawData'!B$2:B$822=B612)*('RawData'!H$2:H$822&gt;K612)*(ISERROR(SEARCH("World",'RawData'!C$2:C$822)))*(ISERROR(SEARCH("Other",'RawData'!C$2:C$822))))+1)))</f>
        <v>5</v>
      </c>
    </row>
    <row r="613" spans="1:14" x14ac:dyDescent="0.3">
      <c r="A613" s="4" t="str">
        <f>IF(ISNUMBER(SEARCH("World",'RawData'!C669)),"",'RawData'!A669)</f>
        <v>MCS2026</v>
      </c>
      <c r="B613" s="4" t="str">
        <f>IF(ISNUMBER(SEARCH("World",'RawData'!C669)),"",'RawData'!B669)</f>
        <v>Talc</v>
      </c>
      <c r="C613" s="4" t="str">
        <f>IF(ISNUMBER(SEARCH("World",'RawData'!C669)),"",'RawData'!C669)</f>
        <v>Finland</v>
      </c>
      <c r="D613" s="4" t="str">
        <f>IF(ISNUMBER(SEARCH("World",'RawData'!C669)),"",'RawData'!D669)</f>
        <v>Mine production, estimated</v>
      </c>
      <c r="E613" s="4" t="str">
        <f>IF(ISNUMBER(SEARCH("World",'RawData'!C669)),"",IF('RawData'!E669="WT001","kg",IF('RawData'!E669="WT002","ton",IF('RawData'!E669="WT003","k ton",""))))</f>
        <v>k ton</v>
      </c>
      <c r="F613" s="14">
        <f>IF(ISNUMBER(SEARCH("World",'RawData'!C669)),"",'RawData'!F669)</f>
        <v>212</v>
      </c>
      <c r="G613" s="14">
        <f>IF(ISNUMBER(SEARCH("World",'RawData'!C669)),"",'RawData'!G669)</f>
        <v>200</v>
      </c>
      <c r="H613" s="14">
        <f>IF(ISNUMBER(SEARCH("World",'RawData'!C669)),"",SUMIFS('RawData'!G:G,'RawData'!B:B,'RawData'!B669,'RawData'!C:C,"*World*"))</f>
        <v>6900</v>
      </c>
      <c r="I613" s="15">
        <f>IF(ISNUMBER(SEARCH("World",'RawData'!C669)),"",IFERROR(G613/H613,"-"))</f>
        <v>2.8985507246376812E-2</v>
      </c>
      <c r="J613" s="7">
        <f>IF(ISNUMBER(SEARCH("World",'RawData'!C669)),"",IF(ISNUMBER(SEARCH("Other",C613)),COUNTIFS('RawData'!B:B,B613,'RawData'!C:C,"&lt;&gt;*World*"),IF(OR(G613="",G613=0),"-",SUMPRODUCT(('RawData'!B$2:B$822=B613)*('RawData'!G$2:G$822&gt;G613)*(ISERROR(SEARCH("World",'RawData'!C$2:C$822)))*(ISERROR(SEARCH("Other",'RawData'!C$2:C$822))))+1)))</f>
        <v>9</v>
      </c>
      <c r="K613" s="14">
        <f>IF(ISNUMBER(SEARCH("World",'RawData'!C669)),"",'RawData'!H669)</f>
        <v>0</v>
      </c>
      <c r="L613" s="14">
        <f>IF(ISNUMBER(SEARCH("World",'RawData'!C669)),"",SUMIFS('RawData'!H:H,'RawData'!B:B,'RawData'!B669,'RawData'!C:C,"*World*"))</f>
        <v>0</v>
      </c>
      <c r="M613" s="15" t="str">
        <f>IF(ISNUMBER(SEARCH("World",'RawData'!C669)),"",IFERROR(K613/L613,"-"))</f>
        <v>-</v>
      </c>
      <c r="N613" s="7" t="str">
        <f>IF(ISNUMBER(SEARCH("World",'RawData'!C669)),"",IF(ISNUMBER(SEARCH("Other",C613)),COUNTIFS('RawData'!B:B,B613,'RawData'!C:C,"&lt;&gt;*World*"),IF(OR(K613="",K613=0),"-",SUMPRODUCT(('RawData'!B$2:B$822=B613)*('RawData'!H$2:H$822&gt;K613)*(ISERROR(SEARCH("World",'RawData'!C$2:C$822)))*(ISERROR(SEARCH("Other",'RawData'!C$2:C$822))))+1)))</f>
        <v>-</v>
      </c>
    </row>
    <row r="614" spans="1:14" x14ac:dyDescent="0.3">
      <c r="A614" s="4" t="str">
        <f>IF(ISNUMBER(SEARCH("World",'RawData'!C670)),"",'RawData'!A670)</f>
        <v>MCS2026</v>
      </c>
      <c r="B614" s="4" t="str">
        <f>IF(ISNUMBER(SEARCH("World",'RawData'!C670)),"",'RawData'!B670)</f>
        <v>Talc</v>
      </c>
      <c r="C614" s="4" t="str">
        <f>IF(ISNUMBER(SEARCH("World",'RawData'!C670)),"",'RawData'!C670)</f>
        <v>France</v>
      </c>
      <c r="D614" s="4" t="str">
        <f>IF(ISNUMBER(SEARCH("World",'RawData'!C670)),"",'RawData'!D670)</f>
        <v>Mine production, estimated</v>
      </c>
      <c r="E614" s="4" t="str">
        <f>IF(ISNUMBER(SEARCH("World",'RawData'!C670)),"",IF('RawData'!E670="WT001","kg",IF('RawData'!E670="WT002","ton",IF('RawData'!E670="WT003","k ton",""))))</f>
        <v>k ton</v>
      </c>
      <c r="F614" s="14">
        <f>IF(ISNUMBER(SEARCH("World",'RawData'!C670)),"",'RawData'!F670)</f>
        <v>280</v>
      </c>
      <c r="G614" s="14">
        <f>IF(ISNUMBER(SEARCH("World",'RawData'!C670)),"",'RawData'!G670)</f>
        <v>300</v>
      </c>
      <c r="H614" s="14">
        <f>IF(ISNUMBER(SEARCH("World",'RawData'!C670)),"",SUMIFS('RawData'!G:G,'RawData'!B:B,'RawData'!B670,'RawData'!C:C,"*World*"))</f>
        <v>6900</v>
      </c>
      <c r="I614" s="15">
        <f>IF(ISNUMBER(SEARCH("World",'RawData'!C670)),"",IFERROR(G614/H614,"-"))</f>
        <v>4.3478260869565216E-2</v>
      </c>
      <c r="J614" s="7">
        <f>IF(ISNUMBER(SEARCH("World",'RawData'!C670)),"",IF(ISNUMBER(SEARCH("Other",C614)),COUNTIFS('RawData'!B:B,B614,'RawData'!C:C,"&lt;&gt;*World*"),IF(OR(G614="",G614=0),"-",SUMPRODUCT(('RawData'!B$2:B$822=B614)*('RawData'!G$2:G$822&gt;G614)*(ISERROR(SEARCH("World",'RawData'!C$2:C$822)))*(ISERROR(SEARCH("Other",'RawData'!C$2:C$822))))+1)))</f>
        <v>5</v>
      </c>
      <c r="K614" s="14">
        <f>IF(ISNUMBER(SEARCH("World",'RawData'!C670)),"",'RawData'!H670)</f>
        <v>0</v>
      </c>
      <c r="L614" s="14">
        <f>IF(ISNUMBER(SEARCH("World",'RawData'!C670)),"",SUMIFS('RawData'!H:H,'RawData'!B:B,'RawData'!B670,'RawData'!C:C,"*World*"))</f>
        <v>0</v>
      </c>
      <c r="M614" s="15" t="str">
        <f>IF(ISNUMBER(SEARCH("World",'RawData'!C670)),"",IFERROR(K614/L614,"-"))</f>
        <v>-</v>
      </c>
      <c r="N614" s="7" t="str">
        <f>IF(ISNUMBER(SEARCH("World",'RawData'!C670)),"",IF(ISNUMBER(SEARCH("Other",C614)),COUNTIFS('RawData'!B:B,B614,'RawData'!C:C,"&lt;&gt;*World*"),IF(OR(K614="",K614=0),"-",SUMPRODUCT(('RawData'!B$2:B$822=B614)*('RawData'!H$2:H$822&gt;K614)*(ISERROR(SEARCH("World",'RawData'!C$2:C$822)))*(ISERROR(SEARCH("Other",'RawData'!C$2:C$822))))+1)))</f>
        <v>-</v>
      </c>
    </row>
    <row r="615" spans="1:14" x14ac:dyDescent="0.3">
      <c r="A615" s="4" t="str">
        <f>IF(ISNUMBER(SEARCH("World",'RawData'!C671)),"",'RawData'!A671)</f>
        <v>MCS2026</v>
      </c>
      <c r="B615" s="4" t="str">
        <f>IF(ISNUMBER(SEARCH("World",'RawData'!C671)),"",'RawData'!B671)</f>
        <v>Talc</v>
      </c>
      <c r="C615" s="4" t="str">
        <f>IF(ISNUMBER(SEARCH("World",'RawData'!C671)),"",'RawData'!C671)</f>
        <v>India</v>
      </c>
      <c r="D615" s="4" t="str">
        <f>IF(ISNUMBER(SEARCH("World",'RawData'!C671)),"",'RawData'!D671)</f>
        <v>Mine production, estimated</v>
      </c>
      <c r="E615" s="4" t="str">
        <f>IF(ISNUMBER(SEARCH("World",'RawData'!C671)),"",IF('RawData'!E671="WT001","kg",IF('RawData'!E671="WT002","ton",IF('RawData'!E671="WT003","k ton",""))))</f>
        <v>k ton</v>
      </c>
      <c r="F615" s="14">
        <f>IF(ISNUMBER(SEARCH("World",'RawData'!C671)),"",'RawData'!F671)</f>
        <v>1540</v>
      </c>
      <c r="G615" s="14">
        <f>IF(ISNUMBER(SEARCH("World",'RawData'!C671)),"",'RawData'!G671)</f>
        <v>1500</v>
      </c>
      <c r="H615" s="14">
        <f>IF(ISNUMBER(SEARCH("World",'RawData'!C671)),"",SUMIFS('RawData'!G:G,'RawData'!B:B,'RawData'!B671,'RawData'!C:C,"*World*"))</f>
        <v>6900</v>
      </c>
      <c r="I615" s="15">
        <f>IF(ISNUMBER(SEARCH("World",'RawData'!C671)),"",IFERROR(G615/H615,"-"))</f>
        <v>0.21739130434782608</v>
      </c>
      <c r="J615" s="7">
        <f>IF(ISNUMBER(SEARCH("World",'RawData'!C671)),"",IF(ISNUMBER(SEARCH("Other",C615)),COUNTIFS('RawData'!B:B,B615,'RawData'!C:C,"&lt;&gt;*World*"),IF(OR(G615="",G615=0),"-",SUMPRODUCT(('RawData'!B$2:B$822=B615)*('RawData'!G$2:G$822&gt;G615)*(ISERROR(SEARCH("World",'RawData'!C$2:C$822)))*(ISERROR(SEARCH("Other",'RawData'!C$2:C$822))))+1)))</f>
        <v>1</v>
      </c>
      <c r="K615" s="14">
        <f>IF(ISNUMBER(SEARCH("World",'RawData'!C671)),"",'RawData'!H671)</f>
        <v>110000</v>
      </c>
      <c r="L615" s="14">
        <f>IF(ISNUMBER(SEARCH("World",'RawData'!C671)),"",SUMIFS('RawData'!H:H,'RawData'!B:B,'RawData'!B671,'RawData'!C:C,"*World*"))</f>
        <v>0</v>
      </c>
      <c r="M615" s="15" t="str">
        <f>IF(ISNUMBER(SEARCH("World",'RawData'!C671)),"",IFERROR(K615/L615,"-"))</f>
        <v>-</v>
      </c>
      <c r="N615" s="7">
        <f>IF(ISNUMBER(SEARCH("World",'RawData'!C671)),"",IF(ISNUMBER(SEARCH("Other",C615)),COUNTIFS('RawData'!B:B,B615,'RawData'!C:C,"&lt;&gt;*World*"),IF(OR(K615="",K615=0),"-",SUMPRODUCT(('RawData'!B$2:B$822=B615)*('RawData'!H$2:H$822&gt;K615)*(ISERROR(SEARCH("World",'RawData'!C$2:C$822)))*(ISERROR(SEARCH("Other",'RawData'!C$2:C$822))))+1)))</f>
        <v>2</v>
      </c>
    </row>
    <row r="616" spans="1:14" x14ac:dyDescent="0.3">
      <c r="A616" s="4" t="str">
        <f>IF(ISNUMBER(SEARCH("World",'RawData'!C672)),"",'RawData'!A672)</f>
        <v>MCS2026</v>
      </c>
      <c r="B616" s="4" t="str">
        <f>IF(ISNUMBER(SEARCH("World",'RawData'!C672)),"",'RawData'!B672)</f>
        <v>Talc</v>
      </c>
      <c r="C616" s="4" t="str">
        <f>IF(ISNUMBER(SEARCH("World",'RawData'!C672)),"",'RawData'!C672)</f>
        <v>Italy</v>
      </c>
      <c r="D616" s="4" t="str">
        <f>IF(ISNUMBER(SEARCH("World",'RawData'!C672)),"",'RawData'!D672)</f>
        <v>Mine production, estimated</v>
      </c>
      <c r="E616" s="4" t="str">
        <f>IF(ISNUMBER(SEARCH("World",'RawData'!C672)),"",IF('RawData'!E672="WT001","kg",IF('RawData'!E672="WT002","ton",IF('RawData'!E672="WT003","k ton",""))))</f>
        <v>k ton</v>
      </c>
      <c r="F616" s="14">
        <f>IF(ISNUMBER(SEARCH("World",'RawData'!C672)),"",'RawData'!F672)</f>
        <v>170</v>
      </c>
      <c r="G616" s="14">
        <f>IF(ISNUMBER(SEARCH("World",'RawData'!C672)),"",'RawData'!G672)</f>
        <v>170</v>
      </c>
      <c r="H616" s="14">
        <f>IF(ISNUMBER(SEARCH("World",'RawData'!C672)),"",SUMIFS('RawData'!G:G,'RawData'!B:B,'RawData'!B672,'RawData'!C:C,"*World*"))</f>
        <v>6900</v>
      </c>
      <c r="I616" s="15">
        <f>IF(ISNUMBER(SEARCH("World",'RawData'!C672)),"",IFERROR(G616/H616,"-"))</f>
        <v>2.4637681159420291E-2</v>
      </c>
      <c r="J616" s="7">
        <f>IF(ISNUMBER(SEARCH("World",'RawData'!C672)),"",IF(ISNUMBER(SEARCH("Other",C616)),COUNTIFS('RawData'!B:B,B616,'RawData'!C:C,"&lt;&gt;*World*"),IF(OR(G616="",G616=0),"-",SUMPRODUCT(('RawData'!B$2:B$822=B616)*('RawData'!G$2:G$822&gt;G616)*(ISERROR(SEARCH("World",'RawData'!C$2:C$822)))*(ISERROR(SEARCH("Other",'RawData'!C$2:C$822))))+1)))</f>
        <v>12</v>
      </c>
      <c r="K616" s="14">
        <f>IF(ISNUMBER(SEARCH("World",'RawData'!C672)),"",'RawData'!H672)</f>
        <v>0</v>
      </c>
      <c r="L616" s="14">
        <f>IF(ISNUMBER(SEARCH("World",'RawData'!C672)),"",SUMIFS('RawData'!H:H,'RawData'!B:B,'RawData'!B672,'RawData'!C:C,"*World*"))</f>
        <v>0</v>
      </c>
      <c r="M616" s="15" t="str">
        <f>IF(ISNUMBER(SEARCH("World",'RawData'!C672)),"",IFERROR(K616/L616,"-"))</f>
        <v>-</v>
      </c>
      <c r="N616" s="7" t="str">
        <f>IF(ISNUMBER(SEARCH("World",'RawData'!C672)),"",IF(ISNUMBER(SEARCH("Other",C616)),COUNTIFS('RawData'!B:B,B616,'RawData'!C:C,"&lt;&gt;*World*"),IF(OR(K616="",K616=0),"-",SUMPRODUCT(('RawData'!B$2:B$822=B616)*('RawData'!H$2:H$822&gt;K616)*(ISERROR(SEARCH("World",'RawData'!C$2:C$822)))*(ISERROR(SEARCH("Other",'RawData'!C$2:C$822))))+1)))</f>
        <v>-</v>
      </c>
    </row>
    <row r="617" spans="1:14" x14ac:dyDescent="0.3">
      <c r="A617" s="4" t="str">
        <f>IF(ISNUMBER(SEARCH("World",'RawData'!C673)),"",'RawData'!A673)</f>
        <v>MCS2026</v>
      </c>
      <c r="B617" s="4" t="str">
        <f>IF(ISNUMBER(SEARCH("World",'RawData'!C673)),"",'RawData'!B673)</f>
        <v>Talc</v>
      </c>
      <c r="C617" s="4" t="str">
        <f>IF(ISNUMBER(SEARCH("World",'RawData'!C673)),"",'RawData'!C673)</f>
        <v>Japan</v>
      </c>
      <c r="D617" s="4" t="str">
        <f>IF(ISNUMBER(SEARCH("World",'RawData'!C673)),"",'RawData'!D673)</f>
        <v>Mine production, estimated</v>
      </c>
      <c r="E617" s="4" t="str">
        <f>IF(ISNUMBER(SEARCH("World",'RawData'!C673)),"",IF('RawData'!E673="WT001","kg",IF('RawData'!E673="WT002","ton",IF('RawData'!E673="WT003","k ton",""))))</f>
        <v>k ton</v>
      </c>
      <c r="F617" s="14">
        <f>IF(ISNUMBER(SEARCH("World",'RawData'!C673)),"",'RawData'!F673)</f>
        <v>130</v>
      </c>
      <c r="G617" s="14">
        <f>IF(ISNUMBER(SEARCH("World",'RawData'!C673)),"",'RawData'!G673)</f>
        <v>130</v>
      </c>
      <c r="H617" s="14">
        <f>IF(ISNUMBER(SEARCH("World",'RawData'!C673)),"",SUMIFS('RawData'!G:G,'RawData'!B:B,'RawData'!B673,'RawData'!C:C,"*World*"))</f>
        <v>6900</v>
      </c>
      <c r="I617" s="15">
        <f>IF(ISNUMBER(SEARCH("World",'RawData'!C673)),"",IFERROR(G617/H617,"-"))</f>
        <v>1.8840579710144929E-2</v>
      </c>
      <c r="J617" s="7">
        <f>IF(ISNUMBER(SEARCH("World",'RawData'!C673)),"",IF(ISNUMBER(SEARCH("Other",C617)),COUNTIFS('RawData'!B:B,B617,'RawData'!C:C,"&lt;&gt;*World*"),IF(OR(G617="",G617=0),"-",SUMPRODUCT(('RawData'!B$2:B$822=B617)*('RawData'!G$2:G$822&gt;G617)*(ISERROR(SEARCH("World",'RawData'!C$2:C$822)))*(ISERROR(SEARCH("Other",'RawData'!C$2:C$822))))+1)))</f>
        <v>14</v>
      </c>
      <c r="K617" s="14">
        <f>IF(ISNUMBER(SEARCH("World",'RawData'!C673)),"",'RawData'!H673)</f>
        <v>100000</v>
      </c>
      <c r="L617" s="14">
        <f>IF(ISNUMBER(SEARCH("World",'RawData'!C673)),"",SUMIFS('RawData'!H:H,'RawData'!B:B,'RawData'!B673,'RawData'!C:C,"*World*"))</f>
        <v>0</v>
      </c>
      <c r="M617" s="15" t="str">
        <f>IF(ISNUMBER(SEARCH("World",'RawData'!C673)),"",IFERROR(K617/L617,"-"))</f>
        <v>-</v>
      </c>
      <c r="N617" s="7">
        <f>IF(ISNUMBER(SEARCH("World",'RawData'!C673)),"",IF(ISNUMBER(SEARCH("Other",C617)),COUNTIFS('RawData'!B:B,B617,'RawData'!C:C,"&lt;&gt;*World*"),IF(OR(K617="",K617=0),"-",SUMPRODUCT(('RawData'!B$2:B$822=B617)*('RawData'!H$2:H$822&gt;K617)*(ISERROR(SEARCH("World",'RawData'!C$2:C$822)))*(ISERROR(SEARCH("Other",'RawData'!C$2:C$822))))+1)))</f>
        <v>3</v>
      </c>
    </row>
    <row r="618" spans="1:14" x14ac:dyDescent="0.3">
      <c r="A618" s="4" t="str">
        <f>IF(ISNUMBER(SEARCH("World",'RawData'!C674)),"",'RawData'!A674)</f>
        <v>MCS2026</v>
      </c>
      <c r="B618" s="4" t="str">
        <f>IF(ISNUMBER(SEARCH("World",'RawData'!C674)),"",'RawData'!B674)</f>
        <v>Talc</v>
      </c>
      <c r="C618" s="4" t="str">
        <f>IF(ISNUMBER(SEARCH("World",'RawData'!C674)),"",'RawData'!C674)</f>
        <v>Other countries</v>
      </c>
      <c r="D618" s="4" t="str">
        <f>IF(ISNUMBER(SEARCH("World",'RawData'!C674)),"",'RawData'!D674)</f>
        <v>Mine production, estimated</v>
      </c>
      <c r="E618" s="4" t="str">
        <f>IF(ISNUMBER(SEARCH("World",'RawData'!C674)),"",IF('RawData'!E674="WT001","kg",IF('RawData'!E674="WT002","ton",IF('RawData'!E674="WT003","k ton",""))))</f>
        <v>k ton</v>
      </c>
      <c r="F618" s="14">
        <f>IF(ISNUMBER(SEARCH("World",'RawData'!C674)),"",'RawData'!F674)</f>
        <v>882</v>
      </c>
      <c r="G618" s="14">
        <f>IF(ISNUMBER(SEARCH("World",'RawData'!C674)),"",'RawData'!G674)</f>
        <v>790</v>
      </c>
      <c r="H618" s="14">
        <f>IF(ISNUMBER(SEARCH("World",'RawData'!C674)),"",SUMIFS('RawData'!G:G,'RawData'!B:B,'RawData'!B674,'RawData'!C:C,"*World*"))</f>
        <v>6900</v>
      </c>
      <c r="I618" s="15">
        <f>IF(ISNUMBER(SEARCH("World",'RawData'!C674)),"",IFERROR(G618/H618,"-"))</f>
        <v>0.11449275362318841</v>
      </c>
      <c r="J618" s="7">
        <f>IF(ISNUMBER(SEARCH("World",'RawData'!C674)),"",IF(ISNUMBER(SEARCH("Other",C618)),COUNTIFS('RawData'!B:B,B618,'RawData'!C:C,"&lt;&gt;*World*"),IF(OR(G618="",G618=0),"-",SUMPRODUCT(('RawData'!B$2:B$822=B618)*('RawData'!G$2:G$822&gt;G618)*(ISERROR(SEARCH("World",'RawData'!C$2:C$822)))*(ISERROR(SEARCH("Other",'RawData'!C$2:C$822))))+1)))</f>
        <v>15</v>
      </c>
      <c r="K618" s="14">
        <f>IF(ISNUMBER(SEARCH("World",'RawData'!C674)),"",'RawData'!H674)</f>
        <v>0</v>
      </c>
      <c r="L618" s="14">
        <f>IF(ISNUMBER(SEARCH("World",'RawData'!C674)),"",SUMIFS('RawData'!H:H,'RawData'!B:B,'RawData'!B674,'RawData'!C:C,"*World*"))</f>
        <v>0</v>
      </c>
      <c r="M618" s="15" t="str">
        <f>IF(ISNUMBER(SEARCH("World",'RawData'!C674)),"",IFERROR(K618/L618,"-"))</f>
        <v>-</v>
      </c>
      <c r="N618" s="7">
        <f>IF(ISNUMBER(SEARCH("World",'RawData'!C674)),"",IF(ISNUMBER(SEARCH("Other",C618)),COUNTIFS('RawData'!B:B,B618,'RawData'!C:C,"&lt;&gt;*World*"),IF(OR(K618="",K618=0),"-",SUMPRODUCT(('RawData'!B$2:B$822=B618)*('RawData'!H$2:H$822&gt;K618)*(ISERROR(SEARCH("World",'RawData'!C$2:C$822)))*(ISERROR(SEARCH("Other",'RawData'!C$2:C$822))))+1)))</f>
        <v>15</v>
      </c>
    </row>
    <row r="619" spans="1:14" x14ac:dyDescent="0.3">
      <c r="A619" s="4" t="str">
        <f>IF(ISNUMBER(SEARCH("World",'RawData'!C675)),"",'RawData'!A675)</f>
        <v>MCS2026</v>
      </c>
      <c r="B619" s="4" t="str">
        <f>IF(ISNUMBER(SEARCH("World",'RawData'!C675)),"",'RawData'!B675)</f>
        <v>Talc</v>
      </c>
      <c r="C619" s="4" t="str">
        <f>IF(ISNUMBER(SEARCH("World",'RawData'!C675)),"",'RawData'!C675)</f>
        <v>Pakistan</v>
      </c>
      <c r="D619" s="4" t="str">
        <f>IF(ISNUMBER(SEARCH("World",'RawData'!C675)),"",'RawData'!D675)</f>
        <v>Mine production, estimated</v>
      </c>
      <c r="E619" s="4" t="str">
        <f>IF(ISNUMBER(SEARCH("World",'RawData'!C675)),"",IF('RawData'!E675="WT001","kg",IF('RawData'!E675="WT002","ton",IF('RawData'!E675="WT003","k ton",""))))</f>
        <v>k ton</v>
      </c>
      <c r="F619" s="14">
        <f>IF(ISNUMBER(SEARCH("World",'RawData'!C675)),"",'RawData'!F675)</f>
        <v>221</v>
      </c>
      <c r="G619" s="14">
        <f>IF(ISNUMBER(SEARCH("World",'RawData'!C675)),"",'RawData'!G675)</f>
        <v>200</v>
      </c>
      <c r="H619" s="14">
        <f>IF(ISNUMBER(SEARCH("World",'RawData'!C675)),"",SUMIFS('RawData'!G:G,'RawData'!B:B,'RawData'!B675,'RawData'!C:C,"*World*"))</f>
        <v>6900</v>
      </c>
      <c r="I619" s="15">
        <f>IF(ISNUMBER(SEARCH("World",'RawData'!C675)),"",IFERROR(G619/H619,"-"))</f>
        <v>2.8985507246376812E-2</v>
      </c>
      <c r="J619" s="7">
        <f>IF(ISNUMBER(SEARCH("World",'RawData'!C675)),"",IF(ISNUMBER(SEARCH("Other",C619)),COUNTIFS('RawData'!B:B,B619,'RawData'!C:C,"&lt;&gt;*World*"),IF(OR(G619="",G619=0),"-",SUMPRODUCT(('RawData'!B$2:B$822=B619)*('RawData'!G$2:G$822&gt;G619)*(ISERROR(SEARCH("World",'RawData'!C$2:C$822)))*(ISERROR(SEARCH("Other",'RawData'!C$2:C$822))))+1)))</f>
        <v>9</v>
      </c>
      <c r="K619" s="14">
        <f>IF(ISNUMBER(SEARCH("World",'RawData'!C675)),"",'RawData'!H675)</f>
        <v>0</v>
      </c>
      <c r="L619" s="14">
        <f>IF(ISNUMBER(SEARCH("World",'RawData'!C675)),"",SUMIFS('RawData'!H:H,'RawData'!B:B,'RawData'!B675,'RawData'!C:C,"*World*"))</f>
        <v>0</v>
      </c>
      <c r="M619" s="15" t="str">
        <f>IF(ISNUMBER(SEARCH("World",'RawData'!C675)),"",IFERROR(K619/L619,"-"))</f>
        <v>-</v>
      </c>
      <c r="N619" s="7" t="str">
        <f>IF(ISNUMBER(SEARCH("World",'RawData'!C675)),"",IF(ISNUMBER(SEARCH("Other",C619)),COUNTIFS('RawData'!B:B,B619,'RawData'!C:C,"&lt;&gt;*World*"),IF(OR(K619="",K619=0),"-",SUMPRODUCT(('RawData'!B$2:B$822=B619)*('RawData'!H$2:H$822&gt;K619)*(ISERROR(SEARCH("World",'RawData'!C$2:C$822)))*(ISERROR(SEARCH("Other",'RawData'!C$2:C$822))))+1)))</f>
        <v>-</v>
      </c>
    </row>
    <row r="620" spans="1:14" x14ac:dyDescent="0.3">
      <c r="A620" s="4" t="str">
        <f>IF(ISNUMBER(SEARCH("World",'RawData'!C676)),"",'RawData'!A676)</f>
        <v>MCS2026</v>
      </c>
      <c r="B620" s="4" t="str">
        <f>IF(ISNUMBER(SEARCH("World",'RawData'!C676)),"",'RawData'!B676)</f>
        <v>Talc</v>
      </c>
      <c r="C620" s="4" t="str">
        <f>IF(ISNUMBER(SEARCH("World",'RawData'!C676)),"",'RawData'!C676)</f>
        <v>Turkiye</v>
      </c>
      <c r="D620" s="4" t="str">
        <f>IF(ISNUMBER(SEARCH("World",'RawData'!C676)),"",'RawData'!D676)</f>
        <v>Mine production, estimated</v>
      </c>
      <c r="E620" s="4" t="str">
        <f>IF(ISNUMBER(SEARCH("World",'RawData'!C676)),"",IF('RawData'!E676="WT001","kg",IF('RawData'!E676="WT002","ton",IF('RawData'!E676="WT003","k ton",""))))</f>
        <v>k ton</v>
      </c>
      <c r="F620" s="14">
        <f>IF(ISNUMBER(SEARCH("World",'RawData'!C676)),"",'RawData'!F676)</f>
        <v>304</v>
      </c>
      <c r="G620" s="14">
        <f>IF(ISNUMBER(SEARCH("World",'RawData'!C676)),"",'RawData'!G676)</f>
        <v>300</v>
      </c>
      <c r="H620" s="14">
        <f>IF(ISNUMBER(SEARCH("World",'RawData'!C676)),"",SUMIFS('RawData'!G:G,'RawData'!B:B,'RawData'!B676,'RawData'!C:C,"*World*"))</f>
        <v>6900</v>
      </c>
      <c r="I620" s="15">
        <f>IF(ISNUMBER(SEARCH("World",'RawData'!C676)),"",IFERROR(G620/H620,"-"))</f>
        <v>4.3478260869565216E-2</v>
      </c>
      <c r="J620" s="7">
        <f>IF(ISNUMBER(SEARCH("World",'RawData'!C676)),"",IF(ISNUMBER(SEARCH("Other",C620)),COUNTIFS('RawData'!B:B,B620,'RawData'!C:C,"&lt;&gt;*World*"),IF(OR(G620="",G620=0),"-",SUMPRODUCT(('RawData'!B$2:B$822=B620)*('RawData'!G$2:G$822&gt;G620)*(ISERROR(SEARCH("World",'RawData'!C$2:C$822)))*(ISERROR(SEARCH("Other",'RawData'!C$2:C$822))))+1)))</f>
        <v>5</v>
      </c>
      <c r="K620" s="14">
        <f>IF(ISNUMBER(SEARCH("World",'RawData'!C676)),"",'RawData'!H676)</f>
        <v>15000</v>
      </c>
      <c r="L620" s="14">
        <f>IF(ISNUMBER(SEARCH("World",'RawData'!C676)),"",SUMIFS('RawData'!H:H,'RawData'!B:B,'RawData'!B676,'RawData'!C:C,"*World*"))</f>
        <v>0</v>
      </c>
      <c r="M620" s="15" t="str">
        <f>IF(ISNUMBER(SEARCH("World",'RawData'!C676)),"",IFERROR(K620/L620,"-"))</f>
        <v>-</v>
      </c>
      <c r="N620" s="7">
        <f>IF(ISNUMBER(SEARCH("World",'RawData'!C676)),"",IF(ISNUMBER(SEARCH("Other",C620)),COUNTIFS('RawData'!B:B,B620,'RawData'!C:C,"&lt;&gt;*World*"),IF(OR(K620="",K620=0),"-",SUMPRODUCT(('RawData'!B$2:B$822=B620)*('RawData'!H$2:H$822&gt;K620)*(ISERROR(SEARCH("World",'RawData'!C$2:C$822)))*(ISERROR(SEARCH("Other",'RawData'!C$2:C$822))))+1)))</f>
        <v>7</v>
      </c>
    </row>
    <row r="621" spans="1:14" x14ac:dyDescent="0.3">
      <c r="A621" s="4" t="str">
        <f>IF(ISNUMBER(SEARCH("World",'RawData'!C677)),"",'RawData'!A677)</f>
        <v>MCS2026</v>
      </c>
      <c r="B621" s="4" t="str">
        <f>IF(ISNUMBER(SEARCH("World",'RawData'!C677)),"",'RawData'!B677)</f>
        <v>Talc</v>
      </c>
      <c r="C621" s="4" t="str">
        <f>IF(ISNUMBER(SEARCH("World",'RawData'!C677)),"",'RawData'!C677)</f>
        <v xml:space="preserve">South Africa </v>
      </c>
      <c r="D621" s="4" t="str">
        <f>IF(ISNUMBER(SEARCH("World",'RawData'!C677)),"",'RawData'!D677)</f>
        <v>Mine production, estimated</v>
      </c>
      <c r="E621" s="4" t="str">
        <f>IF(ISNUMBER(SEARCH("World",'RawData'!C677)),"",IF('RawData'!E677="WT001","kg",IF('RawData'!E677="WT002","ton",IF('RawData'!E677="WT003","k ton",""))))</f>
        <v>k ton</v>
      </c>
      <c r="F621" s="14">
        <f>IF(ISNUMBER(SEARCH("World",'RawData'!C677)),"",'RawData'!F677)</f>
        <v>390</v>
      </c>
      <c r="G621" s="14">
        <f>IF(ISNUMBER(SEARCH("World",'RawData'!C677)),"",'RawData'!G677)</f>
        <v>300</v>
      </c>
      <c r="H621" s="14">
        <f>IF(ISNUMBER(SEARCH("World",'RawData'!C677)),"",SUMIFS('RawData'!G:G,'RawData'!B:B,'RawData'!B677,'RawData'!C:C,"*World*"))</f>
        <v>6900</v>
      </c>
      <c r="I621" s="15">
        <f>IF(ISNUMBER(SEARCH("World",'RawData'!C677)),"",IFERROR(G621/H621,"-"))</f>
        <v>4.3478260869565216E-2</v>
      </c>
      <c r="J621" s="7">
        <f>IF(ISNUMBER(SEARCH("World",'RawData'!C677)),"",IF(ISNUMBER(SEARCH("Other",C621)),COUNTIFS('RawData'!B:B,B621,'RawData'!C:C,"&lt;&gt;*World*"),IF(OR(G621="",G621=0),"-",SUMPRODUCT(('RawData'!B$2:B$822=B621)*('RawData'!G$2:G$822&gt;G621)*(ISERROR(SEARCH("World",'RawData'!C$2:C$822)))*(ISERROR(SEARCH("Other",'RawData'!C$2:C$822))))+1)))</f>
        <v>5</v>
      </c>
      <c r="K621" s="14">
        <f>IF(ISNUMBER(SEARCH("World",'RawData'!C677)),"",'RawData'!H677)</f>
        <v>0</v>
      </c>
      <c r="L621" s="14">
        <f>IF(ISNUMBER(SEARCH("World",'RawData'!C677)),"",SUMIFS('RawData'!H:H,'RawData'!B:B,'RawData'!B677,'RawData'!C:C,"*World*"))</f>
        <v>0</v>
      </c>
      <c r="M621" s="15" t="str">
        <f>IF(ISNUMBER(SEARCH("World",'RawData'!C677)),"",IFERROR(K621/L621,"-"))</f>
        <v>-</v>
      </c>
      <c r="N621" s="7" t="str">
        <f>IF(ISNUMBER(SEARCH("World",'RawData'!C677)),"",IF(ISNUMBER(SEARCH("Other",C621)),COUNTIFS('RawData'!B:B,B621,'RawData'!C:C,"&lt;&gt;*World*"),IF(OR(K621="",K621=0),"-",SUMPRODUCT(('RawData'!B$2:B$822=B621)*('RawData'!H$2:H$822&gt;K621)*(ISERROR(SEARCH("World",'RawData'!C$2:C$822)))*(ISERROR(SEARCH("Other",'RawData'!C$2:C$822))))+1)))</f>
        <v>-</v>
      </c>
    </row>
    <row r="622" spans="1:14" x14ac:dyDescent="0.3">
      <c r="A622" s="4" t="str">
        <f>IF(ISNUMBER(SEARCH("World",'RawData'!C678)),"",'RawData'!A678)</f>
        <v>MCS2026</v>
      </c>
      <c r="B622" s="4" t="str">
        <f>IF(ISNUMBER(SEARCH("World",'RawData'!C678)),"",'RawData'!B678)</f>
        <v>Talc</v>
      </c>
      <c r="C622" s="4" t="str">
        <f>IF(ISNUMBER(SEARCH("World",'RawData'!C678)),"",'RawData'!C678)</f>
        <v>South Korea</v>
      </c>
      <c r="D622" s="4" t="str">
        <f>IF(ISNUMBER(SEARCH("World",'RawData'!C678)),"",'RawData'!D678)</f>
        <v>Mine production, estimated</v>
      </c>
      <c r="E622" s="4" t="str">
        <f>IF(ISNUMBER(SEARCH("World",'RawData'!C678)),"",IF('RawData'!E678="WT001","kg",IF('RawData'!E678="WT002","ton",IF('RawData'!E678="WT003","k ton",""))))</f>
        <v>k ton</v>
      </c>
      <c r="F622" s="14">
        <f>IF(ISNUMBER(SEARCH("World",'RawData'!C678)),"",'RawData'!F678)</f>
        <v>322</v>
      </c>
      <c r="G622" s="14">
        <f>IF(ISNUMBER(SEARCH("World",'RawData'!C678)),"",'RawData'!G678)</f>
        <v>300</v>
      </c>
      <c r="H622" s="14">
        <f>IF(ISNUMBER(SEARCH("World",'RawData'!C678)),"",SUMIFS('RawData'!G:G,'RawData'!B:B,'RawData'!B678,'RawData'!C:C,"*World*"))</f>
        <v>6900</v>
      </c>
      <c r="I622" s="15">
        <f>IF(ISNUMBER(SEARCH("World",'RawData'!C678)),"",IFERROR(G622/H622,"-"))</f>
        <v>4.3478260869565216E-2</v>
      </c>
      <c r="J622" s="7">
        <f>IF(ISNUMBER(SEARCH("World",'RawData'!C678)),"",IF(ISNUMBER(SEARCH("Other",C622)),COUNTIFS('RawData'!B:B,B622,'RawData'!C:C,"&lt;&gt;*World*"),IF(OR(G622="",G622=0),"-",SUMPRODUCT(('RawData'!B$2:B$822=B622)*('RawData'!G$2:G$822&gt;G622)*(ISERROR(SEARCH("World",'RawData'!C$2:C$822)))*(ISERROR(SEARCH("Other",'RawData'!C$2:C$822))))+1)))</f>
        <v>5</v>
      </c>
      <c r="K622" s="14">
        <f>IF(ISNUMBER(SEARCH("World",'RawData'!C678)),"",'RawData'!H678)</f>
        <v>81000</v>
      </c>
      <c r="L622" s="14">
        <f>IF(ISNUMBER(SEARCH("World",'RawData'!C678)),"",SUMIFS('RawData'!H:H,'RawData'!B:B,'RawData'!B678,'RawData'!C:C,"*World*"))</f>
        <v>0</v>
      </c>
      <c r="M622" s="15" t="str">
        <f>IF(ISNUMBER(SEARCH("World",'RawData'!C678)),"",IFERROR(K622/L622,"-"))</f>
        <v>-</v>
      </c>
      <c r="N622" s="7">
        <f>IF(ISNUMBER(SEARCH("World",'RawData'!C678)),"",IF(ISNUMBER(SEARCH("Other",C622)),COUNTIFS('RawData'!B:B,B622,'RawData'!C:C,"&lt;&gt;*World*"),IF(OR(K622="",K622=0),"-",SUMPRODUCT(('RawData'!B$2:B$822=B622)*('RawData'!H$2:H$822&gt;K622)*(ISERROR(SEARCH("World",'RawData'!C$2:C$822)))*(ISERROR(SEARCH("Other",'RawData'!C$2:C$822))))+1)))</f>
        <v>4</v>
      </c>
    </row>
    <row r="623" spans="1:14" x14ac:dyDescent="0.3">
      <c r="A623" s="4" t="str">
        <f>IF(ISNUMBER(SEARCH("World",'RawData'!C679)),"",'RawData'!A679)</f>
        <v>MCS2026</v>
      </c>
      <c r="B623" s="4" t="str">
        <f>IF(ISNUMBER(SEARCH("World",'RawData'!C679)),"",'RawData'!B679)</f>
        <v>Talc</v>
      </c>
      <c r="C623" s="4" t="str">
        <f>IF(ISNUMBER(SEARCH("World",'RawData'!C679)),"",'RawData'!C679)</f>
        <v>United States</v>
      </c>
      <c r="D623" s="4" t="str">
        <f>IF(ISNUMBER(SEARCH("World",'RawData'!C679)),"",'RawData'!D679)</f>
        <v>Mine production, estimated</v>
      </c>
      <c r="E623" s="4" t="str">
        <f>IF(ISNUMBER(SEARCH("World",'RawData'!C679)),"",IF('RawData'!E679="WT001","kg",IF('RawData'!E679="WT002","ton",IF('RawData'!E679="WT003","k ton",""))))</f>
        <v>k ton</v>
      </c>
      <c r="F623" s="14">
        <f>IF(ISNUMBER(SEARCH("World",'RawData'!C679)),"",'RawData'!F679)</f>
        <v>457</v>
      </c>
      <c r="G623" s="14">
        <f>IF(ISNUMBER(SEARCH("World",'RawData'!C679)),"",'RawData'!G679)</f>
        <v>490</v>
      </c>
      <c r="H623" s="14">
        <f>IF(ISNUMBER(SEARCH("World",'RawData'!C679)),"",SUMIFS('RawData'!G:G,'RawData'!B:B,'RawData'!B679,'RawData'!C:C,"*World*"))</f>
        <v>6900</v>
      </c>
      <c r="I623" s="15">
        <f>IF(ISNUMBER(SEARCH("World",'RawData'!C679)),"",IFERROR(G623/H623,"-"))</f>
        <v>7.101449275362319E-2</v>
      </c>
      <c r="J623" s="7">
        <f>IF(ISNUMBER(SEARCH("World",'RawData'!C679)),"",IF(ISNUMBER(SEARCH("Other",C623)),COUNTIFS('RawData'!B:B,B623,'RawData'!C:C,"&lt;&gt;*World*"),IF(OR(G623="",G623=0),"-",SUMPRODUCT(('RawData'!B$2:B$822=B623)*('RawData'!G$2:G$822&gt;G623)*(ISERROR(SEARCH("World",'RawData'!C$2:C$822)))*(ISERROR(SEARCH("Other",'RawData'!C$2:C$822))))+1)))</f>
        <v>4</v>
      </c>
      <c r="K623" s="14">
        <f>IF(ISNUMBER(SEARCH("World",'RawData'!C679)),"",'RawData'!H679)</f>
        <v>140000</v>
      </c>
      <c r="L623" s="14">
        <f>IF(ISNUMBER(SEARCH("World",'RawData'!C679)),"",SUMIFS('RawData'!H:H,'RawData'!B:B,'RawData'!B679,'RawData'!C:C,"*World*"))</f>
        <v>0</v>
      </c>
      <c r="M623" s="15" t="str">
        <f>IF(ISNUMBER(SEARCH("World",'RawData'!C679)),"",IFERROR(K623/L623,"-"))</f>
        <v>-</v>
      </c>
      <c r="N623" s="7">
        <f>IF(ISNUMBER(SEARCH("World",'RawData'!C679)),"",IF(ISNUMBER(SEARCH("Other",C623)),COUNTIFS('RawData'!B:B,B623,'RawData'!C:C,"&lt;&gt;*World*"),IF(OR(K623="",K623=0),"-",SUMPRODUCT(('RawData'!B$2:B$822=B623)*('RawData'!H$2:H$822&gt;K623)*(ISERROR(SEARCH("World",'RawData'!C$2:C$822)))*(ISERROR(SEARCH("Other",'RawData'!C$2:C$822))))+1)))</f>
        <v>1</v>
      </c>
    </row>
    <row r="624" spans="1:14" x14ac:dyDescent="0.3">
      <c r="A624" s="4" t="str">
        <f>IF(ISNUMBER(SEARCH("World",'RawData'!C681)),"",'RawData'!A681)</f>
        <v>MCS2026</v>
      </c>
      <c r="B624" s="4" t="str">
        <f>IF(ISNUMBER(SEARCH("World",'RawData'!C681)),"",'RawData'!B681)</f>
        <v>Tantalum</v>
      </c>
      <c r="C624" s="4" t="str">
        <f>IF(ISNUMBER(SEARCH("World",'RawData'!C681)),"",'RawData'!C681)</f>
        <v>Australia</v>
      </c>
      <c r="D624" s="4" t="str">
        <f>IF(ISNUMBER(SEARCH("World",'RawData'!C681)),"",'RawData'!D681)</f>
        <v>Mine production, tantalum content</v>
      </c>
      <c r="E624" s="4" t="str">
        <f>IF(ISNUMBER(SEARCH("World",'RawData'!C681)),"",IF('RawData'!E681="WT001","kg",IF('RawData'!E681="WT002","ton",IF('RawData'!E681="WT003","k ton",""))))</f>
        <v>ton</v>
      </c>
      <c r="F624" s="14">
        <f>IF(ISNUMBER(SEARCH("World",'RawData'!C681)),"",'RawData'!F681)</f>
        <v>52</v>
      </c>
      <c r="G624" s="14">
        <f>IF(ISNUMBER(SEARCH("World",'RawData'!C681)),"",'RawData'!G681)</f>
        <v>50</v>
      </c>
      <c r="H624" s="14">
        <f>IF(ISNUMBER(SEARCH("World",'RawData'!C681)),"",SUMIFS('RawData'!G:G,'RawData'!B:B,'RawData'!B681,'RawData'!C:C,"*World*"))</f>
        <v>2500</v>
      </c>
      <c r="I624" s="15">
        <f>IF(ISNUMBER(SEARCH("World",'RawData'!C681)),"",IFERROR(G624/H624,"-"))</f>
        <v>0.02</v>
      </c>
      <c r="J624" s="7">
        <f>IF(ISNUMBER(SEARCH("World",'RawData'!C681)),"",IF(ISNUMBER(SEARCH("Other",C624)),COUNTIFS('RawData'!B:B,B624,'RawData'!C:C,"&lt;&gt;*World*"),IF(OR(G624="",G624=0),"-",SUMPRODUCT(('RawData'!B$2:B$822=B624)*('RawData'!G$2:G$822&gt;G624)*(ISERROR(SEARCH("World",'RawData'!C$2:C$822)))*(ISERROR(SEARCH("Other",'RawData'!C$2:C$822))))+1)))</f>
        <v>6</v>
      </c>
      <c r="K624" s="14">
        <f>IF(ISNUMBER(SEARCH("World",'RawData'!C681)),"",'RawData'!H681)</f>
        <v>120000</v>
      </c>
      <c r="L624" s="14">
        <f>IF(ISNUMBER(SEARCH("World",'RawData'!C681)),"",SUMIFS('RawData'!H:H,'RawData'!B:B,'RawData'!B681,'RawData'!C:C,"*World*"))</f>
        <v>0</v>
      </c>
      <c r="M624" s="15" t="str">
        <f>IF(ISNUMBER(SEARCH("World",'RawData'!C681)),"",IFERROR(K624/L624,"-"))</f>
        <v>-</v>
      </c>
      <c r="N624" s="7">
        <f>IF(ISNUMBER(SEARCH("World",'RawData'!C681)),"",IF(ISNUMBER(SEARCH("Other",C624)),COUNTIFS('RawData'!B:B,B624,'RawData'!C:C,"&lt;&gt;*World*"),IF(OR(K624="",K624=0),"-",SUMPRODUCT(('RawData'!B$2:B$822=B624)*('RawData'!H$2:H$822&gt;K624)*(ISERROR(SEARCH("World",'RawData'!C$2:C$822)))*(ISERROR(SEARCH("Other",'RawData'!C$2:C$822))))+1)))</f>
        <v>2</v>
      </c>
    </row>
    <row r="625" spans="1:14" x14ac:dyDescent="0.3">
      <c r="A625" s="4" t="str">
        <f>IF(ISNUMBER(SEARCH("World",'RawData'!C682)),"",'RawData'!A682)</f>
        <v>MCS2026</v>
      </c>
      <c r="B625" s="4" t="str">
        <f>IF(ISNUMBER(SEARCH("World",'RawData'!C682)),"",'RawData'!B682)</f>
        <v>Tantalum</v>
      </c>
      <c r="C625" s="4" t="str">
        <f>IF(ISNUMBER(SEARCH("World",'RawData'!C682)),"",'RawData'!C682)</f>
        <v>Bolivia</v>
      </c>
      <c r="D625" s="4" t="str">
        <f>IF(ISNUMBER(SEARCH("World",'RawData'!C682)),"",'RawData'!D682)</f>
        <v>Mine production, tantalum content</v>
      </c>
      <c r="E625" s="4" t="str">
        <f>IF(ISNUMBER(SEARCH("World",'RawData'!C682)),"",IF('RawData'!E682="WT001","kg",IF('RawData'!E682="WT002","ton",IF('RawData'!E682="WT003","k ton",""))))</f>
        <v>ton</v>
      </c>
      <c r="F625" s="14">
        <f>IF(ISNUMBER(SEARCH("World",'RawData'!C682)),"",'RawData'!F682)</f>
        <v>2</v>
      </c>
      <c r="G625" s="14">
        <f>IF(ISNUMBER(SEARCH("World",'RawData'!C682)),"",'RawData'!G682)</f>
        <v>2</v>
      </c>
      <c r="H625" s="14">
        <f>IF(ISNUMBER(SEARCH("World",'RawData'!C682)),"",SUMIFS('RawData'!G:G,'RawData'!B:B,'RawData'!B682,'RawData'!C:C,"*World*"))</f>
        <v>2500</v>
      </c>
      <c r="I625" s="15">
        <f>IF(ISNUMBER(SEARCH("World",'RawData'!C682)),"",IFERROR(G625/H625,"-"))</f>
        <v>8.0000000000000004E-4</v>
      </c>
      <c r="J625" s="7">
        <f>IF(ISNUMBER(SEARCH("World",'RawData'!C682)),"",IF(ISNUMBER(SEARCH("Other",C625)),COUNTIFS('RawData'!B:B,B625,'RawData'!C:C,"&lt;&gt;*World*"),IF(OR(G625="",G625=0),"-",SUMPRODUCT(('RawData'!B$2:B$822=B625)*('RawData'!G$2:G$822&gt;G625)*(ISERROR(SEARCH("World",'RawData'!C$2:C$822)))*(ISERROR(SEARCH("Other",'RawData'!C$2:C$822))))+1)))</f>
        <v>9</v>
      </c>
      <c r="K625" s="14">
        <f>IF(ISNUMBER(SEARCH("World",'RawData'!C682)),"",'RawData'!H682)</f>
        <v>0</v>
      </c>
      <c r="L625" s="14">
        <f>IF(ISNUMBER(SEARCH("World",'RawData'!C682)),"",SUMIFS('RawData'!H:H,'RawData'!B:B,'RawData'!B682,'RawData'!C:C,"*World*"))</f>
        <v>0</v>
      </c>
      <c r="M625" s="15" t="str">
        <f>IF(ISNUMBER(SEARCH("World",'RawData'!C682)),"",IFERROR(K625/L625,"-"))</f>
        <v>-</v>
      </c>
      <c r="N625" s="7" t="str">
        <f>IF(ISNUMBER(SEARCH("World",'RawData'!C682)),"",IF(ISNUMBER(SEARCH("Other",C625)),COUNTIFS('RawData'!B:B,B625,'RawData'!C:C,"&lt;&gt;*World*"),IF(OR(K625="",K625=0),"-",SUMPRODUCT(('RawData'!B$2:B$822=B625)*('RawData'!H$2:H$822&gt;K625)*(ISERROR(SEARCH("World",'RawData'!C$2:C$822)))*(ISERROR(SEARCH("Other",'RawData'!C$2:C$822))))+1)))</f>
        <v>-</v>
      </c>
    </row>
    <row r="626" spans="1:14" x14ac:dyDescent="0.3">
      <c r="A626" s="4" t="str">
        <f>IF(ISNUMBER(SEARCH("World",'RawData'!C683)),"",'RawData'!A683)</f>
        <v>MCS2026</v>
      </c>
      <c r="B626" s="4" t="str">
        <f>IF(ISNUMBER(SEARCH("World",'RawData'!C683)),"",'RawData'!B683)</f>
        <v>Tantalum</v>
      </c>
      <c r="C626" s="4" t="str">
        <f>IF(ISNUMBER(SEARCH("World",'RawData'!C683)),"",'RawData'!C683)</f>
        <v>Brazil</v>
      </c>
      <c r="D626" s="4" t="str">
        <f>IF(ISNUMBER(SEARCH("World",'RawData'!C683)),"",'RawData'!D683)</f>
        <v>Mine production, tantalum content</v>
      </c>
      <c r="E626" s="4" t="str">
        <f>IF(ISNUMBER(SEARCH("World",'RawData'!C683)),"",IF('RawData'!E683="WT001","kg",IF('RawData'!E683="WT002","ton",IF('RawData'!E683="WT003","k ton",""))))</f>
        <v>ton</v>
      </c>
      <c r="F626" s="14">
        <f>IF(ISNUMBER(SEARCH("World",'RawData'!C683)),"",'RawData'!F683)</f>
        <v>210</v>
      </c>
      <c r="G626" s="14">
        <f>IF(ISNUMBER(SEARCH("World",'RawData'!C683)),"",'RawData'!G683)</f>
        <v>190</v>
      </c>
      <c r="H626" s="14">
        <f>IF(ISNUMBER(SEARCH("World",'RawData'!C683)),"",SUMIFS('RawData'!G:G,'RawData'!B:B,'RawData'!B683,'RawData'!C:C,"*World*"))</f>
        <v>2500</v>
      </c>
      <c r="I626" s="15">
        <f>IF(ISNUMBER(SEARCH("World",'RawData'!C683)),"",IFERROR(G626/H626,"-"))</f>
        <v>7.5999999999999998E-2</v>
      </c>
      <c r="J626" s="7">
        <f>IF(ISNUMBER(SEARCH("World",'RawData'!C683)),"",IF(ISNUMBER(SEARCH("Other",C626)),COUNTIFS('RawData'!B:B,B626,'RawData'!C:C,"&lt;&gt;*World*"),IF(OR(G626="",G626=0),"-",SUMPRODUCT(('RawData'!B$2:B$822=B626)*('RawData'!G$2:G$822&gt;G626)*(ISERROR(SEARCH("World",'RawData'!C$2:C$822)))*(ISERROR(SEARCH("Other",'RawData'!C$2:C$822))))+1)))</f>
        <v>4</v>
      </c>
      <c r="K626" s="14">
        <f>IF(ISNUMBER(SEARCH("World",'RawData'!C683)),"",'RawData'!H683)</f>
        <v>40000</v>
      </c>
      <c r="L626" s="14">
        <f>IF(ISNUMBER(SEARCH("World",'RawData'!C683)),"",SUMIFS('RawData'!H:H,'RawData'!B:B,'RawData'!B683,'RawData'!C:C,"*World*"))</f>
        <v>0</v>
      </c>
      <c r="M626" s="15" t="str">
        <f>IF(ISNUMBER(SEARCH("World",'RawData'!C683)),"",IFERROR(K626/L626,"-"))</f>
        <v>-</v>
      </c>
      <c r="N626" s="7">
        <f>IF(ISNUMBER(SEARCH("World",'RawData'!C683)),"",IF(ISNUMBER(SEARCH("Other",C626)),COUNTIFS('RawData'!B:B,B626,'RawData'!C:C,"&lt;&gt;*World*"),IF(OR(K626="",K626=0),"-",SUMPRODUCT(('RawData'!B$2:B$822=B626)*('RawData'!H$2:H$822&gt;K626)*(ISERROR(SEARCH("World",'RawData'!C$2:C$822)))*(ISERROR(SEARCH("Other",'RawData'!C$2:C$822))))+1)))</f>
        <v>3</v>
      </c>
    </row>
    <row r="627" spans="1:14" x14ac:dyDescent="0.3">
      <c r="A627" s="4" t="str">
        <f>IF(ISNUMBER(SEARCH("World",'RawData'!C684)),"",'RawData'!A684)</f>
        <v>MCS2026</v>
      </c>
      <c r="B627" s="4" t="str">
        <f>IF(ISNUMBER(SEARCH("World",'RawData'!C684)),"",'RawData'!B684)</f>
        <v>Tantalum</v>
      </c>
      <c r="C627" s="4" t="str">
        <f>IF(ISNUMBER(SEARCH("World",'RawData'!C684)),"",'RawData'!C684)</f>
        <v>Burundi</v>
      </c>
      <c r="D627" s="4" t="str">
        <f>IF(ISNUMBER(SEARCH("World",'RawData'!C684)),"",'RawData'!D684)</f>
        <v>Mine production, tantalum content</v>
      </c>
      <c r="E627" s="4" t="str">
        <f>IF(ISNUMBER(SEARCH("World",'RawData'!C684)),"",IF('RawData'!E684="WT001","kg",IF('RawData'!E684="WT002","ton",IF('RawData'!E684="WT003","k ton",""))))</f>
        <v>ton</v>
      </c>
      <c r="F627" s="14">
        <f>IF(ISNUMBER(SEARCH("World",'RawData'!C684)),"",'RawData'!F684)</f>
        <v>2</v>
      </c>
      <c r="G627" s="14">
        <f>IF(ISNUMBER(SEARCH("World",'RawData'!C684)),"",'RawData'!G684)</f>
        <v>2</v>
      </c>
      <c r="H627" s="14">
        <f>IF(ISNUMBER(SEARCH("World",'RawData'!C684)),"",SUMIFS('RawData'!G:G,'RawData'!B:B,'RawData'!B684,'RawData'!C:C,"*World*"))</f>
        <v>2500</v>
      </c>
      <c r="I627" s="15">
        <f>IF(ISNUMBER(SEARCH("World",'RawData'!C684)),"",IFERROR(G627/H627,"-"))</f>
        <v>8.0000000000000004E-4</v>
      </c>
      <c r="J627" s="7">
        <f>IF(ISNUMBER(SEARCH("World",'RawData'!C684)),"",IF(ISNUMBER(SEARCH("Other",C627)),COUNTIFS('RawData'!B:B,B627,'RawData'!C:C,"&lt;&gt;*World*"),IF(OR(G627="",G627=0),"-",SUMPRODUCT(('RawData'!B$2:B$822=B627)*('RawData'!G$2:G$822&gt;G627)*(ISERROR(SEARCH("World",'RawData'!C$2:C$822)))*(ISERROR(SEARCH("Other",'RawData'!C$2:C$822))))+1)))</f>
        <v>9</v>
      </c>
      <c r="K627" s="14">
        <f>IF(ISNUMBER(SEARCH("World",'RawData'!C684)),"",'RawData'!H684)</f>
        <v>0</v>
      </c>
      <c r="L627" s="14">
        <f>IF(ISNUMBER(SEARCH("World",'RawData'!C684)),"",SUMIFS('RawData'!H:H,'RawData'!B:B,'RawData'!B684,'RawData'!C:C,"*World*"))</f>
        <v>0</v>
      </c>
      <c r="M627" s="15" t="str">
        <f>IF(ISNUMBER(SEARCH("World",'RawData'!C684)),"",IFERROR(K627/L627,"-"))</f>
        <v>-</v>
      </c>
      <c r="N627" s="7" t="str">
        <f>IF(ISNUMBER(SEARCH("World",'RawData'!C684)),"",IF(ISNUMBER(SEARCH("Other",C627)),COUNTIFS('RawData'!B:B,B627,'RawData'!C:C,"&lt;&gt;*World*"),IF(OR(K627="",K627=0),"-",SUMPRODUCT(('RawData'!B$2:B$822=B627)*('RawData'!H$2:H$822&gt;K627)*(ISERROR(SEARCH("World",'RawData'!C$2:C$822)))*(ISERROR(SEARCH("Other",'RawData'!C$2:C$822))))+1)))</f>
        <v>-</v>
      </c>
    </row>
    <row r="628" spans="1:14" x14ac:dyDescent="0.3">
      <c r="A628" s="4" t="str">
        <f>IF(ISNUMBER(SEARCH("World",'RawData'!C685)),"",'RawData'!A685)</f>
        <v>MCS2026</v>
      </c>
      <c r="B628" s="4" t="str">
        <f>IF(ISNUMBER(SEARCH("World",'RawData'!C685)),"",'RawData'!B685)</f>
        <v>Tantalum</v>
      </c>
      <c r="C628" s="4" t="str">
        <f>IF(ISNUMBER(SEARCH("World",'RawData'!C685)),"",'RawData'!C685)</f>
        <v>China</v>
      </c>
      <c r="D628" s="4" t="str">
        <f>IF(ISNUMBER(SEARCH("World",'RawData'!C685)),"",'RawData'!D685)</f>
        <v>Mine production, tantalum content</v>
      </c>
      <c r="E628" s="4" t="str">
        <f>IF(ISNUMBER(SEARCH("World",'RawData'!C685)),"",IF('RawData'!E685="WT001","kg",IF('RawData'!E685="WT002","ton",IF('RawData'!E685="WT003","k ton",""))))</f>
        <v>ton</v>
      </c>
      <c r="F628" s="14">
        <f>IF(ISNUMBER(SEARCH("World",'RawData'!C685)),"",'RawData'!F685)</f>
        <v>76</v>
      </c>
      <c r="G628" s="14">
        <f>IF(ISNUMBER(SEARCH("World",'RawData'!C685)),"",'RawData'!G685)</f>
        <v>80</v>
      </c>
      <c r="H628" s="14">
        <f>IF(ISNUMBER(SEARCH("World",'RawData'!C685)),"",SUMIFS('RawData'!G:G,'RawData'!B:B,'RawData'!B685,'RawData'!C:C,"*World*"))</f>
        <v>2500</v>
      </c>
      <c r="I628" s="15">
        <f>IF(ISNUMBER(SEARCH("World",'RawData'!C685)),"",IFERROR(G628/H628,"-"))</f>
        <v>3.2000000000000001E-2</v>
      </c>
      <c r="J628" s="7">
        <f>IF(ISNUMBER(SEARCH("World",'RawData'!C685)),"",IF(ISNUMBER(SEARCH("Other",C628)),COUNTIFS('RawData'!B:B,B628,'RawData'!C:C,"&lt;&gt;*World*"),IF(OR(G628="",G628=0),"-",SUMPRODUCT(('RawData'!B$2:B$822=B628)*('RawData'!G$2:G$822&gt;G628)*(ISERROR(SEARCH("World",'RawData'!C$2:C$822)))*(ISERROR(SEARCH("Other",'RawData'!C$2:C$822))))+1)))</f>
        <v>5</v>
      </c>
      <c r="K628" s="14">
        <f>IF(ISNUMBER(SEARCH("World",'RawData'!C685)),"",'RawData'!H685)</f>
        <v>240000</v>
      </c>
      <c r="L628" s="14">
        <f>IF(ISNUMBER(SEARCH("World",'RawData'!C685)),"",SUMIFS('RawData'!H:H,'RawData'!B:B,'RawData'!B685,'RawData'!C:C,"*World*"))</f>
        <v>0</v>
      </c>
      <c r="M628" s="15" t="str">
        <f>IF(ISNUMBER(SEARCH("World",'RawData'!C685)),"",IFERROR(K628/L628,"-"))</f>
        <v>-</v>
      </c>
      <c r="N628" s="7">
        <f>IF(ISNUMBER(SEARCH("World",'RawData'!C685)),"",IF(ISNUMBER(SEARCH("Other",C628)),COUNTIFS('RawData'!B:B,B628,'RawData'!C:C,"&lt;&gt;*World*"),IF(OR(K628="",K628=0),"-",SUMPRODUCT(('RawData'!B$2:B$822=B628)*('RawData'!H$2:H$822&gt;K628)*(ISERROR(SEARCH("World",'RawData'!C$2:C$822)))*(ISERROR(SEARCH("Other",'RawData'!C$2:C$822))))+1)))</f>
        <v>1</v>
      </c>
    </row>
    <row r="629" spans="1:14" x14ac:dyDescent="0.3">
      <c r="A629" s="4" t="str">
        <f>IF(ISNUMBER(SEARCH("World",'RawData'!C686)),"",'RawData'!A686)</f>
        <v>MCS2026</v>
      </c>
      <c r="B629" s="4" t="str">
        <f>IF(ISNUMBER(SEARCH("World",'RawData'!C686)),"",'RawData'!B686)</f>
        <v>Tantalum</v>
      </c>
      <c r="C629" s="4" t="str">
        <f>IF(ISNUMBER(SEARCH("World",'RawData'!C686)),"",'RawData'!C686)</f>
        <v>DRCongo</v>
      </c>
      <c r="D629" s="4" t="str">
        <f>IF(ISNUMBER(SEARCH("World",'RawData'!C686)),"",'RawData'!D686)</f>
        <v>Mine production, tantalum content</v>
      </c>
      <c r="E629" s="4" t="str">
        <f>IF(ISNUMBER(SEARCH("World",'RawData'!C686)),"",IF('RawData'!E686="WT001","kg",IF('RawData'!E686="WT002","ton",IF('RawData'!E686="WT003","k ton",""))))</f>
        <v>ton</v>
      </c>
      <c r="F629" s="14">
        <f>IF(ISNUMBER(SEARCH("World",'RawData'!C686)),"",'RawData'!F686)</f>
        <v>1270</v>
      </c>
      <c r="G629" s="14">
        <f>IF(ISNUMBER(SEARCH("World",'RawData'!C686)),"",'RawData'!G686)</f>
        <v>1300</v>
      </c>
      <c r="H629" s="14">
        <f>IF(ISNUMBER(SEARCH("World",'RawData'!C686)),"",SUMIFS('RawData'!G:G,'RawData'!B:B,'RawData'!B686,'RawData'!C:C,"*World*"))</f>
        <v>2500</v>
      </c>
      <c r="I629" s="15">
        <f>IF(ISNUMBER(SEARCH("World",'RawData'!C686)),"",IFERROR(G629/H629,"-"))</f>
        <v>0.52</v>
      </c>
      <c r="J629" s="7">
        <f>IF(ISNUMBER(SEARCH("World",'RawData'!C686)),"",IF(ISNUMBER(SEARCH("Other",C629)),COUNTIFS('RawData'!B:B,B629,'RawData'!C:C,"&lt;&gt;*World*"),IF(OR(G629="",G629=0),"-",SUMPRODUCT(('RawData'!B$2:B$822=B629)*('RawData'!G$2:G$822&gt;G629)*(ISERROR(SEARCH("World",'RawData'!C$2:C$822)))*(ISERROR(SEARCH("Other",'RawData'!C$2:C$822))))+1)))</f>
        <v>1</v>
      </c>
      <c r="K629" s="14">
        <f>IF(ISNUMBER(SEARCH("World",'RawData'!C686)),"",'RawData'!H686)</f>
        <v>0</v>
      </c>
      <c r="L629" s="14">
        <f>IF(ISNUMBER(SEARCH("World",'RawData'!C686)),"",SUMIFS('RawData'!H:H,'RawData'!B:B,'RawData'!B686,'RawData'!C:C,"*World*"))</f>
        <v>0</v>
      </c>
      <c r="M629" s="15" t="str">
        <f>IF(ISNUMBER(SEARCH("World",'RawData'!C686)),"",IFERROR(K629/L629,"-"))</f>
        <v>-</v>
      </c>
      <c r="N629" s="7" t="str">
        <f>IF(ISNUMBER(SEARCH("World",'RawData'!C686)),"",IF(ISNUMBER(SEARCH("Other",C629)),COUNTIFS('RawData'!B:B,B629,'RawData'!C:C,"&lt;&gt;*World*"),IF(OR(K629="",K629=0),"-",SUMPRODUCT(('RawData'!B$2:B$822=B629)*('RawData'!H$2:H$822&gt;K629)*(ISERROR(SEARCH("World",'RawData'!C$2:C$822)))*(ISERROR(SEARCH("Other",'RawData'!C$2:C$822))))+1)))</f>
        <v>-</v>
      </c>
    </row>
    <row r="630" spans="1:14" x14ac:dyDescent="0.3">
      <c r="A630" s="4" t="str">
        <f>IF(ISNUMBER(SEARCH("World",'RawData'!C687)),"",'RawData'!A687)</f>
        <v>MCS2026</v>
      </c>
      <c r="B630" s="4" t="str">
        <f>IF(ISNUMBER(SEARCH("World",'RawData'!C687)),"",'RawData'!B687)</f>
        <v>Tantalum</v>
      </c>
      <c r="C630" s="4" t="str">
        <f>IF(ISNUMBER(SEARCH("World",'RawData'!C687)),"",'RawData'!C687)</f>
        <v>Ethiopia</v>
      </c>
      <c r="D630" s="4" t="str">
        <f>IF(ISNUMBER(SEARCH("World",'RawData'!C687)),"",'RawData'!D687)</f>
        <v>Mine production, tantalum content</v>
      </c>
      <c r="E630" s="4" t="str">
        <f>IF(ISNUMBER(SEARCH("World",'RawData'!C687)),"",IF('RawData'!E687="WT001","kg",IF('RawData'!E687="WT002","ton",IF('RawData'!E687="WT003","k ton",""))))</f>
        <v>ton</v>
      </c>
      <c r="F630" s="14">
        <f>IF(ISNUMBER(SEARCH("World",'RawData'!C687)),"",'RawData'!F687)</f>
        <v>40</v>
      </c>
      <c r="G630" s="14">
        <f>IF(ISNUMBER(SEARCH("World",'RawData'!C687)),"",'RawData'!G687)</f>
        <v>40</v>
      </c>
      <c r="H630" s="14">
        <f>IF(ISNUMBER(SEARCH("World",'RawData'!C687)),"",SUMIFS('RawData'!G:G,'RawData'!B:B,'RawData'!B687,'RawData'!C:C,"*World*"))</f>
        <v>2500</v>
      </c>
      <c r="I630" s="15">
        <f>IF(ISNUMBER(SEARCH("World",'RawData'!C687)),"",IFERROR(G630/H630,"-"))</f>
        <v>1.6E-2</v>
      </c>
      <c r="J630" s="7">
        <f>IF(ISNUMBER(SEARCH("World",'RawData'!C687)),"",IF(ISNUMBER(SEARCH("Other",C630)),COUNTIFS('RawData'!B:B,B630,'RawData'!C:C,"&lt;&gt;*World*"),IF(OR(G630="",G630=0),"-",SUMPRODUCT(('RawData'!B$2:B$822=B630)*('RawData'!G$2:G$822&gt;G630)*(ISERROR(SEARCH("World",'RawData'!C$2:C$822)))*(ISERROR(SEARCH("Other",'RawData'!C$2:C$822))))+1)))</f>
        <v>7</v>
      </c>
      <c r="K630" s="14">
        <f>IF(ISNUMBER(SEARCH("World",'RawData'!C687)),"",'RawData'!H687)</f>
        <v>0</v>
      </c>
      <c r="L630" s="14">
        <f>IF(ISNUMBER(SEARCH("World",'RawData'!C687)),"",SUMIFS('RawData'!H:H,'RawData'!B:B,'RawData'!B687,'RawData'!C:C,"*World*"))</f>
        <v>0</v>
      </c>
      <c r="M630" s="15" t="str">
        <f>IF(ISNUMBER(SEARCH("World",'RawData'!C687)),"",IFERROR(K630/L630,"-"))</f>
        <v>-</v>
      </c>
      <c r="N630" s="7" t="str">
        <f>IF(ISNUMBER(SEARCH("World",'RawData'!C687)),"",IF(ISNUMBER(SEARCH("Other",C630)),COUNTIFS('RawData'!B:B,B630,'RawData'!C:C,"&lt;&gt;*World*"),IF(OR(K630="",K630=0),"-",SUMPRODUCT(('RawData'!B$2:B$822=B630)*('RawData'!H$2:H$822&gt;K630)*(ISERROR(SEARCH("World",'RawData'!C$2:C$822)))*(ISERROR(SEARCH("Other",'RawData'!C$2:C$822))))+1)))</f>
        <v>-</v>
      </c>
    </row>
    <row r="631" spans="1:14" x14ac:dyDescent="0.3">
      <c r="A631" s="4" t="str">
        <f>IF(ISNUMBER(SEARCH("World",'RawData'!C688)),"",'RawData'!A688)</f>
        <v>MCS2026</v>
      </c>
      <c r="B631" s="4" t="str">
        <f>IF(ISNUMBER(SEARCH("World",'RawData'!C688)),"",'RawData'!B688)</f>
        <v>Tantalum</v>
      </c>
      <c r="C631" s="4" t="str">
        <f>IF(ISNUMBER(SEARCH("World",'RawData'!C688)),"",'RawData'!C688)</f>
        <v>Mozambique</v>
      </c>
      <c r="D631" s="4" t="str">
        <f>IF(ISNUMBER(SEARCH("World",'RawData'!C688)),"",'RawData'!D688)</f>
        <v>Mine production, tantalum content</v>
      </c>
      <c r="E631" s="4" t="str">
        <f>IF(ISNUMBER(SEARCH("World",'RawData'!C688)),"",IF('RawData'!E688="WT001","kg",IF('RawData'!E688="WT002","ton",IF('RawData'!E688="WT003","k ton",""))))</f>
        <v>ton</v>
      </c>
      <c r="F631" s="14">
        <f>IF(ISNUMBER(SEARCH("World",'RawData'!C688)),"",'RawData'!F688)</f>
        <v>55</v>
      </c>
      <c r="G631" s="14">
        <f>IF(ISNUMBER(SEARCH("World",'RawData'!C688)),"",'RawData'!G688)</f>
        <v>1</v>
      </c>
      <c r="H631" s="14">
        <f>IF(ISNUMBER(SEARCH("World",'RawData'!C688)),"",SUMIFS('RawData'!G:G,'RawData'!B:B,'RawData'!B688,'RawData'!C:C,"*World*"))</f>
        <v>2500</v>
      </c>
      <c r="I631" s="15">
        <f>IF(ISNUMBER(SEARCH("World",'RawData'!C688)),"",IFERROR(G631/H631,"-"))</f>
        <v>4.0000000000000002E-4</v>
      </c>
      <c r="J631" s="7">
        <f>IF(ISNUMBER(SEARCH("World",'RawData'!C688)),"",IF(ISNUMBER(SEARCH("Other",C631)),COUNTIFS('RawData'!B:B,B631,'RawData'!C:C,"&lt;&gt;*World*"),IF(OR(G631="",G631=0),"-",SUMPRODUCT(('RawData'!B$2:B$822=B631)*('RawData'!G$2:G$822&gt;G631)*(ISERROR(SEARCH("World",'RawData'!C$2:C$822)))*(ISERROR(SEARCH("Other",'RawData'!C$2:C$822))))+1)))</f>
        <v>11</v>
      </c>
      <c r="K631" s="14">
        <f>IF(ISNUMBER(SEARCH("World",'RawData'!C688)),"",'RawData'!H688)</f>
        <v>0</v>
      </c>
      <c r="L631" s="14">
        <f>IF(ISNUMBER(SEARCH("World",'RawData'!C688)),"",SUMIFS('RawData'!H:H,'RawData'!B:B,'RawData'!B688,'RawData'!C:C,"*World*"))</f>
        <v>0</v>
      </c>
      <c r="M631" s="15" t="str">
        <f>IF(ISNUMBER(SEARCH("World",'RawData'!C688)),"",IFERROR(K631/L631,"-"))</f>
        <v>-</v>
      </c>
      <c r="N631" s="7" t="str">
        <f>IF(ISNUMBER(SEARCH("World",'RawData'!C688)),"",IF(ISNUMBER(SEARCH("Other",C631)),COUNTIFS('RawData'!B:B,B631,'RawData'!C:C,"&lt;&gt;*World*"),IF(OR(K631="",K631=0),"-",SUMPRODUCT(('RawData'!B$2:B$822=B631)*('RawData'!H$2:H$822&gt;K631)*(ISERROR(SEARCH("World",'RawData'!C$2:C$822)))*(ISERROR(SEARCH("Other",'RawData'!C$2:C$822))))+1)))</f>
        <v>-</v>
      </c>
    </row>
    <row r="632" spans="1:14" x14ac:dyDescent="0.3">
      <c r="A632" s="4" t="str">
        <f>IF(ISNUMBER(SEARCH("World",'RawData'!C689)),"",'RawData'!A689)</f>
        <v>MCS2026</v>
      </c>
      <c r="B632" s="4" t="str">
        <f>IF(ISNUMBER(SEARCH("World",'RawData'!C689)),"",'RawData'!B689)</f>
        <v>Tantalum</v>
      </c>
      <c r="C632" s="4" t="str">
        <f>IF(ISNUMBER(SEARCH("World",'RawData'!C689)),"",'RawData'!C689)</f>
        <v>Nigeria</v>
      </c>
      <c r="D632" s="4" t="str">
        <f>IF(ISNUMBER(SEARCH("World",'RawData'!C689)),"",'RawData'!D689)</f>
        <v>Mine production, tantalum content</v>
      </c>
      <c r="E632" s="4" t="str">
        <f>IF(ISNUMBER(SEARCH("World",'RawData'!C689)),"",IF('RawData'!E689="WT001","kg",IF('RawData'!E689="WT002","ton",IF('RawData'!E689="WT003","k ton",""))))</f>
        <v>ton</v>
      </c>
      <c r="F632" s="14">
        <f>IF(ISNUMBER(SEARCH("World",'RawData'!C689)),"",'RawData'!F689)</f>
        <v>390</v>
      </c>
      <c r="G632" s="14">
        <f>IF(ISNUMBER(SEARCH("World",'RawData'!C689)),"",'RawData'!G689)</f>
        <v>390</v>
      </c>
      <c r="H632" s="14">
        <f>IF(ISNUMBER(SEARCH("World",'RawData'!C689)),"",SUMIFS('RawData'!G:G,'RawData'!B:B,'RawData'!B689,'RawData'!C:C,"*World*"))</f>
        <v>2500</v>
      </c>
      <c r="I632" s="15">
        <f>IF(ISNUMBER(SEARCH("World",'RawData'!C689)),"",IFERROR(G632/H632,"-"))</f>
        <v>0.156</v>
      </c>
      <c r="J632" s="7">
        <f>IF(ISNUMBER(SEARCH("World",'RawData'!C689)),"",IF(ISNUMBER(SEARCH("Other",C632)),COUNTIFS('RawData'!B:B,B632,'RawData'!C:C,"&lt;&gt;*World*"),IF(OR(G632="",G632=0),"-",SUMPRODUCT(('RawData'!B$2:B$822=B632)*('RawData'!G$2:G$822&gt;G632)*(ISERROR(SEARCH("World",'RawData'!C$2:C$822)))*(ISERROR(SEARCH("Other",'RawData'!C$2:C$822))))+1)))</f>
        <v>3</v>
      </c>
      <c r="K632" s="14">
        <f>IF(ISNUMBER(SEARCH("World",'RawData'!C689)),"",'RawData'!H689)</f>
        <v>0</v>
      </c>
      <c r="L632" s="14">
        <f>IF(ISNUMBER(SEARCH("World",'RawData'!C689)),"",SUMIFS('RawData'!H:H,'RawData'!B:B,'RawData'!B689,'RawData'!C:C,"*World*"))</f>
        <v>0</v>
      </c>
      <c r="M632" s="15" t="str">
        <f>IF(ISNUMBER(SEARCH("World",'RawData'!C689)),"",IFERROR(K632/L632,"-"))</f>
        <v>-</v>
      </c>
      <c r="N632" s="7" t="str">
        <f>IF(ISNUMBER(SEARCH("World",'RawData'!C689)),"",IF(ISNUMBER(SEARCH("Other",C632)),COUNTIFS('RawData'!B:B,B632,'RawData'!C:C,"&lt;&gt;*World*"),IF(OR(K632="",K632=0),"-",SUMPRODUCT(('RawData'!B$2:B$822=B632)*('RawData'!H$2:H$822&gt;K632)*(ISERROR(SEARCH("World",'RawData'!C$2:C$822)))*(ISERROR(SEARCH("Other",'RawData'!C$2:C$822))))+1)))</f>
        <v>-</v>
      </c>
    </row>
    <row r="633" spans="1:14" x14ac:dyDescent="0.3">
      <c r="A633" s="4" t="str">
        <f>IF(ISNUMBER(SEARCH("World",'RawData'!C690)),"",'RawData'!A690)</f>
        <v>MCS2026</v>
      </c>
      <c r="B633" s="4" t="str">
        <f>IF(ISNUMBER(SEARCH("World",'RawData'!C690)),"",'RawData'!B690)</f>
        <v>Tantalum</v>
      </c>
      <c r="C633" s="4" t="str">
        <f>IF(ISNUMBER(SEARCH("World",'RawData'!C690)),"",'RawData'!C690)</f>
        <v xml:space="preserve">Russia </v>
      </c>
      <c r="D633" s="4" t="str">
        <f>IF(ISNUMBER(SEARCH("World",'RawData'!C690)),"",'RawData'!D690)</f>
        <v>Mine production, tantalum content</v>
      </c>
      <c r="E633" s="4" t="str">
        <f>IF(ISNUMBER(SEARCH("World",'RawData'!C690)),"",IF('RawData'!E690="WT001","kg",IF('RawData'!E690="WT002","ton",IF('RawData'!E690="WT003","k ton",""))))</f>
        <v>ton</v>
      </c>
      <c r="F633" s="14">
        <f>IF(ISNUMBER(SEARCH("World",'RawData'!C690)),"",'RawData'!F690)</f>
        <v>29</v>
      </c>
      <c r="G633" s="14">
        <f>IF(ISNUMBER(SEARCH("World",'RawData'!C690)),"",'RawData'!G690)</f>
        <v>30</v>
      </c>
      <c r="H633" s="14">
        <f>IF(ISNUMBER(SEARCH("World",'RawData'!C690)),"",SUMIFS('RawData'!G:G,'RawData'!B:B,'RawData'!B690,'RawData'!C:C,"*World*"))</f>
        <v>2500</v>
      </c>
      <c r="I633" s="15">
        <f>IF(ISNUMBER(SEARCH("World",'RawData'!C690)),"",IFERROR(G633/H633,"-"))</f>
        <v>1.2E-2</v>
      </c>
      <c r="J633" s="7">
        <f>IF(ISNUMBER(SEARCH("World",'RawData'!C690)),"",IF(ISNUMBER(SEARCH("Other",C633)),COUNTIFS('RawData'!B:B,B633,'RawData'!C:C,"&lt;&gt;*World*"),IF(OR(G633="",G633=0),"-",SUMPRODUCT(('RawData'!B$2:B$822=B633)*('RawData'!G$2:G$822&gt;G633)*(ISERROR(SEARCH("World",'RawData'!C$2:C$822)))*(ISERROR(SEARCH("Other",'RawData'!C$2:C$822))))+1)))</f>
        <v>8</v>
      </c>
      <c r="K633" s="14">
        <f>IF(ISNUMBER(SEARCH("World",'RawData'!C690)),"",'RawData'!H690)</f>
        <v>150</v>
      </c>
      <c r="L633" s="14">
        <f>IF(ISNUMBER(SEARCH("World",'RawData'!C690)),"",SUMIFS('RawData'!H:H,'RawData'!B:B,'RawData'!B690,'RawData'!C:C,"*World*"))</f>
        <v>0</v>
      </c>
      <c r="M633" s="15" t="str">
        <f>IF(ISNUMBER(SEARCH("World",'RawData'!C690)),"",IFERROR(K633/L633,"-"))</f>
        <v>-</v>
      </c>
      <c r="N633" s="7">
        <f>IF(ISNUMBER(SEARCH("World",'RawData'!C690)),"",IF(ISNUMBER(SEARCH("Other",C633)),COUNTIFS('RawData'!B:B,B633,'RawData'!C:C,"&lt;&gt;*World*"),IF(OR(K633="",K633=0),"-",SUMPRODUCT(('RawData'!B$2:B$822=B633)*('RawData'!H$2:H$822&gt;K633)*(ISERROR(SEARCH("World",'RawData'!C$2:C$822)))*(ISERROR(SEARCH("Other",'RawData'!C$2:C$822))))+1)))</f>
        <v>4</v>
      </c>
    </row>
    <row r="634" spans="1:14" x14ac:dyDescent="0.3">
      <c r="A634" s="4" t="str">
        <f>IF(ISNUMBER(SEARCH("World",'RawData'!C691)),"",'RawData'!A691)</f>
        <v>MCS2026</v>
      </c>
      <c r="B634" s="4" t="str">
        <f>IF(ISNUMBER(SEARCH("World",'RawData'!C691)),"",'RawData'!B691)</f>
        <v>Tantalum</v>
      </c>
      <c r="C634" s="4" t="str">
        <f>IF(ISNUMBER(SEARCH("World",'RawData'!C691)),"",'RawData'!C691)</f>
        <v>Rwanda</v>
      </c>
      <c r="D634" s="4" t="str">
        <f>IF(ISNUMBER(SEARCH("World",'RawData'!C691)),"",'RawData'!D691)</f>
        <v>Mine production, tantalum content</v>
      </c>
      <c r="E634" s="4" t="str">
        <f>IF(ISNUMBER(SEARCH("World",'RawData'!C691)),"",IF('RawData'!E691="WT001","kg",IF('RawData'!E691="WT002","ton",IF('RawData'!E691="WT003","k ton",""))))</f>
        <v>ton</v>
      </c>
      <c r="F634" s="14">
        <f>IF(ISNUMBER(SEARCH("World",'RawData'!C691)),"",'RawData'!F691)</f>
        <v>374</v>
      </c>
      <c r="G634" s="14">
        <f>IF(ISNUMBER(SEARCH("World",'RawData'!C691)),"",'RawData'!G691)</f>
        <v>400</v>
      </c>
      <c r="H634" s="14">
        <f>IF(ISNUMBER(SEARCH("World",'RawData'!C691)),"",SUMIFS('RawData'!G:G,'RawData'!B:B,'RawData'!B691,'RawData'!C:C,"*World*"))</f>
        <v>2500</v>
      </c>
      <c r="I634" s="15">
        <f>IF(ISNUMBER(SEARCH("World",'RawData'!C691)),"",IFERROR(G634/H634,"-"))</f>
        <v>0.16</v>
      </c>
      <c r="J634" s="7">
        <f>IF(ISNUMBER(SEARCH("World",'RawData'!C691)),"",IF(ISNUMBER(SEARCH("Other",C634)),COUNTIFS('RawData'!B:B,B634,'RawData'!C:C,"&lt;&gt;*World*"),IF(OR(G634="",G634=0),"-",SUMPRODUCT(('RawData'!B$2:B$822=B634)*('RawData'!G$2:G$822&gt;G634)*(ISERROR(SEARCH("World",'RawData'!C$2:C$822)))*(ISERROR(SEARCH("Other",'RawData'!C$2:C$822))))+1)))</f>
        <v>2</v>
      </c>
      <c r="K634" s="14">
        <f>IF(ISNUMBER(SEARCH("World",'RawData'!C691)),"",'RawData'!H691)</f>
        <v>0</v>
      </c>
      <c r="L634" s="14">
        <f>IF(ISNUMBER(SEARCH("World",'RawData'!C691)),"",SUMIFS('RawData'!H:H,'RawData'!B:B,'RawData'!B691,'RawData'!C:C,"*World*"))</f>
        <v>0</v>
      </c>
      <c r="M634" s="15" t="str">
        <f>IF(ISNUMBER(SEARCH("World",'RawData'!C691)),"",IFERROR(K634/L634,"-"))</f>
        <v>-</v>
      </c>
      <c r="N634" s="7" t="str">
        <f>IF(ISNUMBER(SEARCH("World",'RawData'!C691)),"",IF(ISNUMBER(SEARCH("Other",C634)),COUNTIFS('RawData'!B:B,B634,'RawData'!C:C,"&lt;&gt;*World*"),IF(OR(K634="",K634=0),"-",SUMPRODUCT(('RawData'!B$2:B$822=B634)*('RawData'!H$2:H$822&gt;K634)*(ISERROR(SEARCH("World",'RawData'!C$2:C$822)))*(ISERROR(SEARCH("Other",'RawData'!C$2:C$822))))+1)))</f>
        <v>-</v>
      </c>
    </row>
    <row r="635" spans="1:14" x14ac:dyDescent="0.3">
      <c r="A635" s="4" t="str">
        <f>IF(ISNUMBER(SEARCH("World",'RawData'!C692)),"",'RawData'!A692)</f>
        <v>MCS2026</v>
      </c>
      <c r="B635" s="4" t="str">
        <f>IF(ISNUMBER(SEARCH("World",'RawData'!C692)),"",'RawData'!B692)</f>
        <v>Tantalum</v>
      </c>
      <c r="C635" s="4" t="str">
        <f>IF(ISNUMBER(SEARCH("World",'RawData'!C692)),"",'RawData'!C692)</f>
        <v>United States</v>
      </c>
      <c r="D635" s="4" t="str">
        <f>IF(ISNUMBER(SEARCH("World",'RawData'!C692)),"",'RawData'!D692)</f>
        <v>Mine production, tantalum content</v>
      </c>
      <c r="E635" s="4" t="str">
        <f>IF(ISNUMBER(SEARCH("World",'RawData'!C692)),"",IF('RawData'!E692="WT001","kg",IF('RawData'!E692="WT002","ton",IF('RawData'!E692="WT003","k ton",""))))</f>
        <v>ton</v>
      </c>
      <c r="F635" s="14">
        <f>IF(ISNUMBER(SEARCH("World",'RawData'!C692)),"",'RawData'!F692)</f>
        <v>0</v>
      </c>
      <c r="G635" s="14">
        <f>IF(ISNUMBER(SEARCH("World",'RawData'!C692)),"",'RawData'!G692)</f>
        <v>0</v>
      </c>
      <c r="H635" s="14">
        <f>IF(ISNUMBER(SEARCH("World",'RawData'!C692)),"",SUMIFS('RawData'!G:G,'RawData'!B:B,'RawData'!B692,'RawData'!C:C,"*World*"))</f>
        <v>2500</v>
      </c>
      <c r="I635" s="15">
        <f>IF(ISNUMBER(SEARCH("World",'RawData'!C692)),"",IFERROR(G635/H635,"-"))</f>
        <v>0</v>
      </c>
      <c r="J635" s="7" t="str">
        <f>IF(ISNUMBER(SEARCH("World",'RawData'!C692)),"",IF(ISNUMBER(SEARCH("Other",C635)),COUNTIFS('RawData'!B:B,B635,'RawData'!C:C,"&lt;&gt;*World*"),IF(OR(G635="",G635=0),"-",SUMPRODUCT(('RawData'!B$2:B$822=B635)*('RawData'!G$2:G$822&gt;G635)*(ISERROR(SEARCH("World",'RawData'!C$2:C$822)))*(ISERROR(SEARCH("Other",'RawData'!C$2:C$822))))+1)))</f>
        <v>-</v>
      </c>
      <c r="K635" s="14">
        <f>IF(ISNUMBER(SEARCH("World",'RawData'!C692)),"",'RawData'!H692)</f>
        <v>0</v>
      </c>
      <c r="L635" s="14">
        <f>IF(ISNUMBER(SEARCH("World",'RawData'!C692)),"",SUMIFS('RawData'!H:H,'RawData'!B:B,'RawData'!B692,'RawData'!C:C,"*World*"))</f>
        <v>0</v>
      </c>
      <c r="M635" s="15" t="str">
        <f>IF(ISNUMBER(SEARCH("World",'RawData'!C692)),"",IFERROR(K635/L635,"-"))</f>
        <v>-</v>
      </c>
      <c r="N635" s="7" t="str">
        <f>IF(ISNUMBER(SEARCH("World",'RawData'!C692)),"",IF(ISNUMBER(SEARCH("Other",C635)),COUNTIFS('RawData'!B:B,B635,'RawData'!C:C,"&lt;&gt;*World*"),IF(OR(K635="",K635=0),"-",SUMPRODUCT(('RawData'!B$2:B$822=B635)*('RawData'!H$2:H$822&gt;K635)*(ISERROR(SEARCH("World",'RawData'!C$2:C$822)))*(ISERROR(SEARCH("Other",'RawData'!C$2:C$822))))+1)))</f>
        <v>-</v>
      </c>
    </row>
    <row r="636" spans="1:14" x14ac:dyDescent="0.3">
      <c r="A636" s="4" t="str">
        <f>IF(ISNUMBER(SEARCH("World",'RawData'!C694)),"",'RawData'!A694)</f>
        <v>MCS2026</v>
      </c>
      <c r="B636" s="4" t="str">
        <f>IF(ISNUMBER(SEARCH("World",'RawData'!C694)),"",'RawData'!B694)</f>
        <v>Tellurium</v>
      </c>
      <c r="C636" s="4" t="str">
        <f>IF(ISNUMBER(SEARCH("World",'RawData'!C694)),"",'RawData'!C694)</f>
        <v>Bulgaria</v>
      </c>
      <c r="D636" s="4" t="str">
        <f>IF(ISNUMBER(SEARCH("World",'RawData'!C694)),"",'RawData'!D694)</f>
        <v>Refinery production, tellurium content</v>
      </c>
      <c r="E636" s="4" t="str">
        <f>IF(ISNUMBER(SEARCH("World",'RawData'!C694)),"",IF('RawData'!E694="WT001","kg",IF('RawData'!E694="WT002","ton",IF('RawData'!E694="WT003","k ton",""))))</f>
        <v>ton</v>
      </c>
      <c r="F636" s="14">
        <f>IF(ISNUMBER(SEARCH("World",'RawData'!C694)),"",'RawData'!F694)</f>
        <v>1</v>
      </c>
      <c r="G636" s="14">
        <f>IF(ISNUMBER(SEARCH("World",'RawData'!C694)),"",'RawData'!G694)</f>
        <v>1</v>
      </c>
      <c r="H636" s="14">
        <f>IF(ISNUMBER(SEARCH("World",'RawData'!C694)),"",SUMIFS('RawData'!G:G,'RawData'!B:B,'RawData'!B694,'RawData'!C:C,"*World*"))</f>
        <v>1000</v>
      </c>
      <c r="I636" s="15">
        <f>IF(ISNUMBER(SEARCH("World",'RawData'!C694)),"",IFERROR(G636/H636,"-"))</f>
        <v>1E-3</v>
      </c>
      <c r="J636" s="7">
        <f>IF(ISNUMBER(SEARCH("World",'RawData'!C694)),"",IF(ISNUMBER(SEARCH("Other",C636)),COUNTIFS('RawData'!B:B,B636,'RawData'!C:C,"&lt;&gt;*World*"),IF(OR(G636="",G636=0),"-",SUMPRODUCT(('RawData'!B$2:B$822=B636)*('RawData'!G$2:G$822&gt;G636)*(ISERROR(SEARCH("World",'RawData'!C$2:C$822)))*(ISERROR(SEARCH("Other",'RawData'!C$2:C$822))))+1)))</f>
        <v>8</v>
      </c>
      <c r="K636" s="14">
        <f>IF(ISNUMBER(SEARCH("World",'RawData'!C694)),"",'RawData'!H694)</f>
        <v>0</v>
      </c>
      <c r="L636" s="14">
        <f>IF(ISNUMBER(SEARCH("World",'RawData'!C694)),"",SUMIFS('RawData'!H:H,'RawData'!B:B,'RawData'!B694,'RawData'!C:C,"*World*"))</f>
        <v>0</v>
      </c>
      <c r="M636" s="15" t="str">
        <f>IF(ISNUMBER(SEARCH("World",'RawData'!C694)),"",IFERROR(K636/L636,"-"))</f>
        <v>-</v>
      </c>
      <c r="N636" s="7" t="str">
        <f>IF(ISNUMBER(SEARCH("World",'RawData'!C694)),"",IF(ISNUMBER(SEARCH("Other",C636)),COUNTIFS('RawData'!B:B,B636,'RawData'!C:C,"&lt;&gt;*World*"),IF(OR(K636="",K636=0),"-",SUMPRODUCT(('RawData'!B$2:B$822=B636)*('RawData'!H$2:H$822&gt;K636)*(ISERROR(SEARCH("World",'RawData'!C$2:C$822)))*(ISERROR(SEARCH("Other",'RawData'!C$2:C$822))))+1)))</f>
        <v>-</v>
      </c>
    </row>
    <row r="637" spans="1:14" x14ac:dyDescent="0.3">
      <c r="A637" s="4" t="str">
        <f>IF(ISNUMBER(SEARCH("World",'RawData'!C695)),"",'RawData'!A695)</f>
        <v>MCS2026</v>
      </c>
      <c r="B637" s="4" t="str">
        <f>IF(ISNUMBER(SEARCH("World",'RawData'!C695)),"",'RawData'!B695)</f>
        <v>Tellurium</v>
      </c>
      <c r="C637" s="4" t="str">
        <f>IF(ISNUMBER(SEARCH("World",'RawData'!C695)),"",'RawData'!C695)</f>
        <v xml:space="preserve">Canada </v>
      </c>
      <c r="D637" s="4" t="str">
        <f>IF(ISNUMBER(SEARCH("World",'RawData'!C695)),"",'RawData'!D695)</f>
        <v>Refinery production, tellurium content</v>
      </c>
      <c r="E637" s="4" t="str">
        <f>IF(ISNUMBER(SEARCH("World",'RawData'!C695)),"",IF('RawData'!E695="WT001","kg",IF('RawData'!E695="WT002","ton",IF('RawData'!E695="WT003","k ton",""))))</f>
        <v>ton</v>
      </c>
      <c r="F637" s="14">
        <f>IF(ISNUMBER(SEARCH("World",'RawData'!C695)),"",'RawData'!F695)</f>
        <v>27</v>
      </c>
      <c r="G637" s="14">
        <f>IF(ISNUMBER(SEARCH("World",'RawData'!C695)),"",'RawData'!G695)</f>
        <v>28</v>
      </c>
      <c r="H637" s="14">
        <f>IF(ISNUMBER(SEARCH("World",'RawData'!C695)),"",SUMIFS('RawData'!G:G,'RawData'!B:B,'RawData'!B695,'RawData'!C:C,"*World*"))</f>
        <v>1000</v>
      </c>
      <c r="I637" s="15">
        <f>IF(ISNUMBER(SEARCH("World",'RawData'!C695)),"",IFERROR(G637/H637,"-"))</f>
        <v>2.8000000000000001E-2</v>
      </c>
      <c r="J637" s="7">
        <f>IF(ISNUMBER(SEARCH("World",'RawData'!C695)),"",IF(ISNUMBER(SEARCH("Other",C637)),COUNTIFS('RawData'!B:B,B637,'RawData'!C:C,"&lt;&gt;*World*"),IF(OR(G637="",G637=0),"-",SUMPRODUCT(('RawData'!B$2:B$822=B637)*('RawData'!G$2:G$822&gt;G637)*(ISERROR(SEARCH("World",'RawData'!C$2:C$822)))*(ISERROR(SEARCH("Other",'RawData'!C$2:C$822))))+1)))</f>
        <v>5</v>
      </c>
      <c r="K637" s="14">
        <f>IF(ISNUMBER(SEARCH("World",'RawData'!C695)),"",'RawData'!H695)</f>
        <v>0</v>
      </c>
      <c r="L637" s="14">
        <f>IF(ISNUMBER(SEARCH("World",'RawData'!C695)),"",SUMIFS('RawData'!H:H,'RawData'!B:B,'RawData'!B695,'RawData'!C:C,"*World*"))</f>
        <v>0</v>
      </c>
      <c r="M637" s="15" t="str">
        <f>IF(ISNUMBER(SEARCH("World",'RawData'!C695)),"",IFERROR(K637/L637,"-"))</f>
        <v>-</v>
      </c>
      <c r="N637" s="7" t="str">
        <f>IF(ISNUMBER(SEARCH("World",'RawData'!C695)),"",IF(ISNUMBER(SEARCH("Other",C637)),COUNTIFS('RawData'!B:B,B637,'RawData'!C:C,"&lt;&gt;*World*"),IF(OR(K637="",K637=0),"-",SUMPRODUCT(('RawData'!B$2:B$822=B637)*('RawData'!H$2:H$822&gt;K637)*(ISERROR(SEARCH("World",'RawData'!C$2:C$822)))*(ISERROR(SEARCH("Other",'RawData'!C$2:C$822))))+1)))</f>
        <v>-</v>
      </c>
    </row>
    <row r="638" spans="1:14" x14ac:dyDescent="0.3">
      <c r="A638" s="4" t="str">
        <f>IF(ISNUMBER(SEARCH("World",'RawData'!C696)),"",'RawData'!A696)</f>
        <v>MCS2026</v>
      </c>
      <c r="B638" s="4" t="str">
        <f>IF(ISNUMBER(SEARCH("World",'RawData'!C696)),"",'RawData'!B696)</f>
        <v>Tellurium</v>
      </c>
      <c r="C638" s="4" t="str">
        <f>IF(ISNUMBER(SEARCH("World",'RawData'!C696)),"",'RawData'!C696)</f>
        <v>China</v>
      </c>
      <c r="D638" s="4" t="str">
        <f>IF(ISNUMBER(SEARCH("World",'RawData'!C696)),"",'RawData'!D696)</f>
        <v>Refinery production, tellurium content</v>
      </c>
      <c r="E638" s="4" t="str">
        <f>IF(ISNUMBER(SEARCH("World",'RawData'!C696)),"",IF('RawData'!E696="WT001","kg",IF('RawData'!E696="WT002","ton",IF('RawData'!E696="WT003","k ton",""))))</f>
        <v>ton</v>
      </c>
      <c r="F638" s="14">
        <f>IF(ISNUMBER(SEARCH("World",'RawData'!C696)),"",'RawData'!F696)</f>
        <v>750</v>
      </c>
      <c r="G638" s="14">
        <f>IF(ISNUMBER(SEARCH("World",'RawData'!C696)),"",'RawData'!G696)</f>
        <v>800</v>
      </c>
      <c r="H638" s="14">
        <f>IF(ISNUMBER(SEARCH("World",'RawData'!C696)),"",SUMIFS('RawData'!G:G,'RawData'!B:B,'RawData'!B696,'RawData'!C:C,"*World*"))</f>
        <v>1000</v>
      </c>
      <c r="I638" s="15">
        <f>IF(ISNUMBER(SEARCH("World",'RawData'!C696)),"",IFERROR(G638/H638,"-"))</f>
        <v>0.8</v>
      </c>
      <c r="J638" s="7">
        <f>IF(ISNUMBER(SEARCH("World",'RawData'!C696)),"",IF(ISNUMBER(SEARCH("Other",C638)),COUNTIFS('RawData'!B:B,B638,'RawData'!C:C,"&lt;&gt;*World*"),IF(OR(G638="",G638=0),"-",SUMPRODUCT(('RawData'!B$2:B$822=B638)*('RawData'!G$2:G$822&gt;G638)*(ISERROR(SEARCH("World",'RawData'!C$2:C$822)))*(ISERROR(SEARCH("Other",'RawData'!C$2:C$822))))+1)))</f>
        <v>1</v>
      </c>
      <c r="K638" s="14">
        <f>IF(ISNUMBER(SEARCH("World",'RawData'!C696)),"",'RawData'!H696)</f>
        <v>0</v>
      </c>
      <c r="L638" s="14">
        <f>IF(ISNUMBER(SEARCH("World",'RawData'!C696)),"",SUMIFS('RawData'!H:H,'RawData'!B:B,'RawData'!B696,'RawData'!C:C,"*World*"))</f>
        <v>0</v>
      </c>
      <c r="M638" s="15" t="str">
        <f>IF(ISNUMBER(SEARCH("World",'RawData'!C696)),"",IFERROR(K638/L638,"-"))</f>
        <v>-</v>
      </c>
      <c r="N638" s="7" t="str">
        <f>IF(ISNUMBER(SEARCH("World",'RawData'!C696)),"",IF(ISNUMBER(SEARCH("Other",C638)),COUNTIFS('RawData'!B:B,B638,'RawData'!C:C,"&lt;&gt;*World*"),IF(OR(K638="",K638=0),"-",SUMPRODUCT(('RawData'!B$2:B$822=B638)*('RawData'!H$2:H$822&gt;K638)*(ISERROR(SEARCH("World",'RawData'!C$2:C$822)))*(ISERROR(SEARCH("Other",'RawData'!C$2:C$822))))+1)))</f>
        <v>-</v>
      </c>
    </row>
    <row r="639" spans="1:14" x14ac:dyDescent="0.3">
      <c r="A639" s="4" t="str">
        <f>IF(ISNUMBER(SEARCH("World",'RawData'!C697)),"",'RawData'!A697)</f>
        <v>MCS2026</v>
      </c>
      <c r="B639" s="4" t="str">
        <f>IF(ISNUMBER(SEARCH("World",'RawData'!C697)),"",'RawData'!B697)</f>
        <v>Tellurium</v>
      </c>
      <c r="C639" s="4" t="str">
        <f>IF(ISNUMBER(SEARCH("World",'RawData'!C697)),"",'RawData'!C697)</f>
        <v>Japan</v>
      </c>
      <c r="D639" s="4" t="str">
        <f>IF(ISNUMBER(SEARCH("World",'RawData'!C697)),"",'RawData'!D697)</f>
        <v>Refinery production, tellurium content</v>
      </c>
      <c r="E639" s="4" t="str">
        <f>IF(ISNUMBER(SEARCH("World",'RawData'!C697)),"",IF('RawData'!E697="WT001","kg",IF('RawData'!E697="WT002","ton",IF('RawData'!E697="WT003","k ton",""))))</f>
        <v>ton</v>
      </c>
      <c r="F639" s="14">
        <f>IF(ISNUMBER(SEARCH("World",'RawData'!C697)),"",'RawData'!F697)</f>
        <v>70</v>
      </c>
      <c r="G639" s="14">
        <f>IF(ISNUMBER(SEARCH("World",'RawData'!C697)),"",'RawData'!G697)</f>
        <v>61</v>
      </c>
      <c r="H639" s="14">
        <f>IF(ISNUMBER(SEARCH("World",'RawData'!C697)),"",SUMIFS('RawData'!G:G,'RawData'!B:B,'RawData'!B697,'RawData'!C:C,"*World*"))</f>
        <v>1000</v>
      </c>
      <c r="I639" s="15">
        <f>IF(ISNUMBER(SEARCH("World",'RawData'!C697)),"",IFERROR(G639/H639,"-"))</f>
        <v>6.0999999999999999E-2</v>
      </c>
      <c r="J639" s="7">
        <f>IF(ISNUMBER(SEARCH("World",'RawData'!C697)),"",IF(ISNUMBER(SEARCH("Other",C639)),COUNTIFS('RawData'!B:B,B639,'RawData'!C:C,"&lt;&gt;*World*"),IF(OR(G639="",G639=0),"-",SUMPRODUCT(('RawData'!B$2:B$822=B639)*('RawData'!G$2:G$822&gt;G639)*(ISERROR(SEARCH("World",'RawData'!C$2:C$822)))*(ISERROR(SEARCH("Other",'RawData'!C$2:C$822))))+1)))</f>
        <v>3</v>
      </c>
      <c r="K639" s="14">
        <f>IF(ISNUMBER(SEARCH("World",'RawData'!C697)),"",'RawData'!H697)</f>
        <v>0</v>
      </c>
      <c r="L639" s="14">
        <f>IF(ISNUMBER(SEARCH("World",'RawData'!C697)),"",SUMIFS('RawData'!H:H,'RawData'!B:B,'RawData'!B697,'RawData'!C:C,"*World*"))</f>
        <v>0</v>
      </c>
      <c r="M639" s="15" t="str">
        <f>IF(ISNUMBER(SEARCH("World",'RawData'!C697)),"",IFERROR(K639/L639,"-"))</f>
        <v>-</v>
      </c>
      <c r="N639" s="7" t="str">
        <f>IF(ISNUMBER(SEARCH("World",'RawData'!C697)),"",IF(ISNUMBER(SEARCH("Other",C639)),COUNTIFS('RawData'!B:B,B639,'RawData'!C:C,"&lt;&gt;*World*"),IF(OR(K639="",K639=0),"-",SUMPRODUCT(('RawData'!B$2:B$822=B639)*('RawData'!H$2:H$822&gt;K639)*(ISERROR(SEARCH("World",'RawData'!C$2:C$822)))*(ISERROR(SEARCH("Other",'RawData'!C$2:C$822))))+1)))</f>
        <v>-</v>
      </c>
    </row>
    <row r="640" spans="1:14" x14ac:dyDescent="0.3">
      <c r="A640" s="4" t="str">
        <f>IF(ISNUMBER(SEARCH("World",'RawData'!C698)),"",'RawData'!A698)</f>
        <v>MCS2026</v>
      </c>
      <c r="B640" s="4" t="str">
        <f>IF(ISNUMBER(SEARCH("World",'RawData'!C698)),"",'RawData'!B698)</f>
        <v>Tellurium</v>
      </c>
      <c r="C640" s="4" t="str">
        <f>IF(ISNUMBER(SEARCH("World",'RawData'!C698)),"",'RawData'!C698)</f>
        <v>Other Countries</v>
      </c>
      <c r="D640" s="4" t="str">
        <f>IF(ISNUMBER(SEARCH("World",'RawData'!C698)),"",'RawData'!D698)</f>
        <v>Refinery production, tellurium content</v>
      </c>
      <c r="E640" s="4" t="str">
        <f>IF(ISNUMBER(SEARCH("World",'RawData'!C698)),"",IF('RawData'!E698="WT001","kg",IF('RawData'!E698="WT002","ton",IF('RawData'!E698="WT003","k ton",""))))</f>
        <v>ton</v>
      </c>
      <c r="F640" s="14">
        <f>IF(ISNUMBER(SEARCH("World",'RawData'!C698)),"",'RawData'!F698)</f>
        <v>0</v>
      </c>
      <c r="G640" s="14">
        <f>IF(ISNUMBER(SEARCH("World",'RawData'!C698)),"",'RawData'!G698)</f>
        <v>0</v>
      </c>
      <c r="H640" s="14">
        <f>IF(ISNUMBER(SEARCH("World",'RawData'!C698)),"",SUMIFS('RawData'!G:G,'RawData'!B:B,'RawData'!B698,'RawData'!C:C,"*World*"))</f>
        <v>1000</v>
      </c>
      <c r="I640" s="15">
        <f>IF(ISNUMBER(SEARCH("World",'RawData'!C698)),"",IFERROR(G640/H640,"-"))</f>
        <v>0</v>
      </c>
      <c r="J640" s="7">
        <f>IF(ISNUMBER(SEARCH("World",'RawData'!C698)),"",IF(ISNUMBER(SEARCH("Other",C640)),COUNTIFS('RawData'!B:B,B640,'RawData'!C:C,"&lt;&gt;*World*"),IF(OR(G640="",G640=0),"-",SUMPRODUCT(('RawData'!B$2:B$822=B640)*('RawData'!G$2:G$822&gt;G640)*(ISERROR(SEARCH("World",'RawData'!C$2:C$822)))*(ISERROR(SEARCH("Other",'RawData'!C$2:C$822))))+1)))</f>
        <v>10</v>
      </c>
      <c r="K640" s="14">
        <f>IF(ISNUMBER(SEARCH("World",'RawData'!C698)),"",'RawData'!H698)</f>
        <v>0</v>
      </c>
      <c r="L640" s="14">
        <f>IF(ISNUMBER(SEARCH("World",'RawData'!C698)),"",SUMIFS('RawData'!H:H,'RawData'!B:B,'RawData'!B698,'RawData'!C:C,"*World*"))</f>
        <v>0</v>
      </c>
      <c r="M640" s="15" t="str">
        <f>IF(ISNUMBER(SEARCH("World",'RawData'!C698)),"",IFERROR(K640/L640,"-"))</f>
        <v>-</v>
      </c>
      <c r="N640" s="7">
        <f>IF(ISNUMBER(SEARCH("World",'RawData'!C698)),"",IF(ISNUMBER(SEARCH("Other",C640)),COUNTIFS('RawData'!B:B,B640,'RawData'!C:C,"&lt;&gt;*World*"),IF(OR(K640="",K640=0),"-",SUMPRODUCT(('RawData'!B$2:B$822=B640)*('RawData'!H$2:H$822&gt;K640)*(ISERROR(SEARCH("World",'RawData'!C$2:C$822)))*(ISERROR(SEARCH("Other",'RawData'!C$2:C$822))))+1)))</f>
        <v>10</v>
      </c>
    </row>
    <row r="641" spans="1:14" x14ac:dyDescent="0.3">
      <c r="A641" s="4" t="str">
        <f>IF(ISNUMBER(SEARCH("World",'RawData'!C699)),"",'RawData'!A699)</f>
        <v>MCS2026</v>
      </c>
      <c r="B641" s="4" t="str">
        <f>IF(ISNUMBER(SEARCH("World",'RawData'!C699)),"",'RawData'!B699)</f>
        <v>Tellurium</v>
      </c>
      <c r="C641" s="4" t="str">
        <f>IF(ISNUMBER(SEARCH("World",'RawData'!C699)),"",'RawData'!C699)</f>
        <v xml:space="preserve">Russia </v>
      </c>
      <c r="D641" s="4" t="str">
        <f>IF(ISNUMBER(SEARCH("World",'RawData'!C699)),"",'RawData'!D699)</f>
        <v>Refinery production, tellurium content</v>
      </c>
      <c r="E641" s="4" t="str">
        <f>IF(ISNUMBER(SEARCH("World",'RawData'!C699)),"",IF('RawData'!E699="WT001","kg",IF('RawData'!E699="WT002","ton",IF('RawData'!E699="WT003","k ton",""))))</f>
        <v>ton</v>
      </c>
      <c r="F641" s="14">
        <f>IF(ISNUMBER(SEARCH("World",'RawData'!C699)),"",'RawData'!F699)</f>
        <v>64</v>
      </c>
      <c r="G641" s="14">
        <f>IF(ISNUMBER(SEARCH("World",'RawData'!C699)),"",'RawData'!G699)</f>
        <v>67</v>
      </c>
      <c r="H641" s="14">
        <f>IF(ISNUMBER(SEARCH("World",'RawData'!C699)),"",SUMIFS('RawData'!G:G,'RawData'!B:B,'RawData'!B699,'RawData'!C:C,"*World*"))</f>
        <v>1000</v>
      </c>
      <c r="I641" s="15">
        <f>IF(ISNUMBER(SEARCH("World",'RawData'!C699)),"",IFERROR(G641/H641,"-"))</f>
        <v>6.7000000000000004E-2</v>
      </c>
      <c r="J641" s="7">
        <f>IF(ISNUMBER(SEARCH("World",'RawData'!C699)),"",IF(ISNUMBER(SEARCH("Other",C641)),COUNTIFS('RawData'!B:B,B641,'RawData'!C:C,"&lt;&gt;*World*"),IF(OR(G641="",G641=0),"-",SUMPRODUCT(('RawData'!B$2:B$822=B641)*('RawData'!G$2:G$822&gt;G641)*(ISERROR(SEARCH("World",'RawData'!C$2:C$822)))*(ISERROR(SEARCH("Other",'RawData'!C$2:C$822))))+1)))</f>
        <v>2</v>
      </c>
      <c r="K641" s="14">
        <f>IF(ISNUMBER(SEARCH("World",'RawData'!C699)),"",'RawData'!H699)</f>
        <v>0</v>
      </c>
      <c r="L641" s="14">
        <f>IF(ISNUMBER(SEARCH("World",'RawData'!C699)),"",SUMIFS('RawData'!H:H,'RawData'!B:B,'RawData'!B699,'RawData'!C:C,"*World*"))</f>
        <v>0</v>
      </c>
      <c r="M641" s="15" t="str">
        <f>IF(ISNUMBER(SEARCH("World",'RawData'!C699)),"",IFERROR(K641/L641,"-"))</f>
        <v>-</v>
      </c>
      <c r="N641" s="7" t="str">
        <f>IF(ISNUMBER(SEARCH("World",'RawData'!C699)),"",IF(ISNUMBER(SEARCH("Other",C641)),COUNTIFS('RawData'!B:B,B641,'RawData'!C:C,"&lt;&gt;*World*"),IF(OR(K641="",K641=0),"-",SUMPRODUCT(('RawData'!B$2:B$822=B641)*('RawData'!H$2:H$822&gt;K641)*(ISERROR(SEARCH("World",'RawData'!C$2:C$822)))*(ISERROR(SEARCH("Other",'RawData'!C$2:C$822))))+1)))</f>
        <v>-</v>
      </c>
    </row>
    <row r="642" spans="1:14" x14ac:dyDescent="0.3">
      <c r="A642" s="4" t="str">
        <f>IF(ISNUMBER(SEARCH("World",'RawData'!C700)),"",'RawData'!A700)</f>
        <v>MCS2026</v>
      </c>
      <c r="B642" s="4" t="str">
        <f>IF(ISNUMBER(SEARCH("World",'RawData'!C700)),"",'RawData'!B700)</f>
        <v>Tellurium</v>
      </c>
      <c r="C642" s="4" t="str">
        <f>IF(ISNUMBER(SEARCH("World",'RawData'!C700)),"",'RawData'!C700)</f>
        <v xml:space="preserve">South Africa </v>
      </c>
      <c r="D642" s="4" t="str">
        <f>IF(ISNUMBER(SEARCH("World",'RawData'!C700)),"",'RawData'!D700)</f>
        <v>Refinery production, tellurium content</v>
      </c>
      <c r="E642" s="4" t="str">
        <f>IF(ISNUMBER(SEARCH("World",'RawData'!C700)),"",IF('RawData'!E700="WT001","kg",IF('RawData'!E700="WT002","ton",IF('RawData'!E700="WT003","k ton",""))))</f>
        <v>ton</v>
      </c>
      <c r="F642" s="14">
        <f>IF(ISNUMBER(SEARCH("World",'RawData'!C700)),"",'RawData'!F700)</f>
        <v>5</v>
      </c>
      <c r="G642" s="14">
        <f>IF(ISNUMBER(SEARCH("World",'RawData'!C700)),"",'RawData'!G700)</f>
        <v>5</v>
      </c>
      <c r="H642" s="14">
        <f>IF(ISNUMBER(SEARCH("World",'RawData'!C700)),"",SUMIFS('RawData'!G:G,'RawData'!B:B,'RawData'!B700,'RawData'!C:C,"*World*"))</f>
        <v>1000</v>
      </c>
      <c r="I642" s="15">
        <f>IF(ISNUMBER(SEARCH("World",'RawData'!C700)),"",IFERROR(G642/H642,"-"))</f>
        <v>5.0000000000000001E-3</v>
      </c>
      <c r="J642" s="7">
        <f>IF(ISNUMBER(SEARCH("World",'RawData'!C700)),"",IF(ISNUMBER(SEARCH("Other",C642)),COUNTIFS('RawData'!B:B,B642,'RawData'!C:C,"&lt;&gt;*World*"),IF(OR(G642="",G642=0),"-",SUMPRODUCT(('RawData'!B$2:B$822=B642)*('RawData'!G$2:G$822&gt;G642)*(ISERROR(SEARCH("World",'RawData'!C$2:C$822)))*(ISERROR(SEARCH("Other",'RawData'!C$2:C$822))))+1)))</f>
        <v>7</v>
      </c>
      <c r="K642" s="14">
        <f>IF(ISNUMBER(SEARCH("World",'RawData'!C700)),"",'RawData'!H700)</f>
        <v>0</v>
      </c>
      <c r="L642" s="14">
        <f>IF(ISNUMBER(SEARCH("World",'RawData'!C700)),"",SUMIFS('RawData'!H:H,'RawData'!B:B,'RawData'!B700,'RawData'!C:C,"*World*"))</f>
        <v>0</v>
      </c>
      <c r="M642" s="15" t="str">
        <f>IF(ISNUMBER(SEARCH("World",'RawData'!C700)),"",IFERROR(K642/L642,"-"))</f>
        <v>-</v>
      </c>
      <c r="N642" s="7" t="str">
        <f>IF(ISNUMBER(SEARCH("World",'RawData'!C700)),"",IF(ISNUMBER(SEARCH("Other",C642)),COUNTIFS('RawData'!B:B,B642,'RawData'!C:C,"&lt;&gt;*World*"),IF(OR(K642="",K642=0),"-",SUMPRODUCT(('RawData'!B$2:B$822=B642)*('RawData'!H$2:H$822&gt;K642)*(ISERROR(SEARCH("World",'RawData'!C$2:C$822)))*(ISERROR(SEARCH("Other",'RawData'!C$2:C$822))))+1)))</f>
        <v>-</v>
      </c>
    </row>
    <row r="643" spans="1:14" x14ac:dyDescent="0.3">
      <c r="A643" s="4" t="str">
        <f>IF(ISNUMBER(SEARCH("World",'RawData'!C701)),"",'RawData'!A701)</f>
        <v>MCS2026</v>
      </c>
      <c r="B643" s="4" t="str">
        <f>IF(ISNUMBER(SEARCH("World",'RawData'!C701)),"",'RawData'!B701)</f>
        <v>Tellurium</v>
      </c>
      <c r="C643" s="4" t="str">
        <f>IF(ISNUMBER(SEARCH("World",'RawData'!C701)),"",'RawData'!C701)</f>
        <v>Sweden</v>
      </c>
      <c r="D643" s="4" t="str">
        <f>IF(ISNUMBER(SEARCH("World",'RawData'!C701)),"",'RawData'!D701)</f>
        <v>Refinery production, tellurium content</v>
      </c>
      <c r="E643" s="4" t="str">
        <f>IF(ISNUMBER(SEARCH("World",'RawData'!C701)),"",IF('RawData'!E701="WT001","kg",IF('RawData'!E701="WT002","ton",IF('RawData'!E701="WT003","k ton",""))))</f>
        <v>ton</v>
      </c>
      <c r="F643" s="14">
        <f>IF(ISNUMBER(SEARCH("World",'RawData'!C701)),"",'RawData'!F701)</f>
        <v>46</v>
      </c>
      <c r="G643" s="14">
        <f>IF(ISNUMBER(SEARCH("World",'RawData'!C701)),"",'RawData'!G701)</f>
        <v>48</v>
      </c>
      <c r="H643" s="14">
        <f>IF(ISNUMBER(SEARCH("World",'RawData'!C701)),"",SUMIFS('RawData'!G:G,'RawData'!B:B,'RawData'!B701,'RawData'!C:C,"*World*"))</f>
        <v>1000</v>
      </c>
      <c r="I643" s="15">
        <f>IF(ISNUMBER(SEARCH("World",'RawData'!C701)),"",IFERROR(G643/H643,"-"))</f>
        <v>4.8000000000000001E-2</v>
      </c>
      <c r="J643" s="7">
        <f>IF(ISNUMBER(SEARCH("World",'RawData'!C701)),"",IF(ISNUMBER(SEARCH("Other",C643)),COUNTIFS('RawData'!B:B,B643,'RawData'!C:C,"&lt;&gt;*World*"),IF(OR(G643="",G643=0),"-",SUMPRODUCT(('RawData'!B$2:B$822=B643)*('RawData'!G$2:G$822&gt;G643)*(ISERROR(SEARCH("World",'RawData'!C$2:C$822)))*(ISERROR(SEARCH("Other",'RawData'!C$2:C$822))))+1)))</f>
        <v>4</v>
      </c>
      <c r="K643" s="14">
        <f>IF(ISNUMBER(SEARCH("World",'RawData'!C701)),"",'RawData'!H701)</f>
        <v>0</v>
      </c>
      <c r="L643" s="14">
        <f>IF(ISNUMBER(SEARCH("World",'RawData'!C701)),"",SUMIFS('RawData'!H:H,'RawData'!B:B,'RawData'!B701,'RawData'!C:C,"*World*"))</f>
        <v>0</v>
      </c>
      <c r="M643" s="15" t="str">
        <f>IF(ISNUMBER(SEARCH("World",'RawData'!C701)),"",IFERROR(K643/L643,"-"))</f>
        <v>-</v>
      </c>
      <c r="N643" s="7" t="str">
        <f>IF(ISNUMBER(SEARCH("World",'RawData'!C701)),"",IF(ISNUMBER(SEARCH("Other",C643)),COUNTIFS('RawData'!B:B,B643,'RawData'!C:C,"&lt;&gt;*World*"),IF(OR(K643="",K643=0),"-",SUMPRODUCT(('RawData'!B$2:B$822=B643)*('RawData'!H$2:H$822&gt;K643)*(ISERROR(SEARCH("World",'RawData'!C$2:C$822)))*(ISERROR(SEARCH("Other",'RawData'!C$2:C$822))))+1)))</f>
        <v>-</v>
      </c>
    </row>
    <row r="644" spans="1:14" x14ac:dyDescent="0.3">
      <c r="A644" s="4" t="str">
        <f>IF(ISNUMBER(SEARCH("World",'RawData'!C702)),"",'RawData'!A702)</f>
        <v>MCS2026</v>
      </c>
      <c r="B644" s="4" t="str">
        <f>IF(ISNUMBER(SEARCH("World",'RawData'!C702)),"",'RawData'!B702)</f>
        <v>Tellurium</v>
      </c>
      <c r="C644" s="4" t="str">
        <f>IF(ISNUMBER(SEARCH("World",'RawData'!C702)),"",'RawData'!C702)</f>
        <v>United States</v>
      </c>
      <c r="D644" s="4" t="str">
        <f>IF(ISNUMBER(SEARCH("World",'RawData'!C702)),"",'RawData'!D702)</f>
        <v>Refinery production, tellurium content</v>
      </c>
      <c r="E644" s="4" t="str">
        <f>IF(ISNUMBER(SEARCH("World",'RawData'!C702)),"",IF('RawData'!E702="WT001","kg",IF('RawData'!E702="WT002","ton",IF('RawData'!E702="WT003","k ton",""))))</f>
        <v>ton</v>
      </c>
      <c r="F644" s="14">
        <f>IF(ISNUMBER(SEARCH("World",'RawData'!C702)),"",'RawData'!F702)</f>
        <v>0</v>
      </c>
      <c r="G644" s="14">
        <f>IF(ISNUMBER(SEARCH("World",'RawData'!C702)),"",'RawData'!G702)</f>
        <v>0</v>
      </c>
      <c r="H644" s="14">
        <f>IF(ISNUMBER(SEARCH("World",'RawData'!C702)),"",SUMIFS('RawData'!G:G,'RawData'!B:B,'RawData'!B702,'RawData'!C:C,"*World*"))</f>
        <v>1000</v>
      </c>
      <c r="I644" s="15">
        <f>IF(ISNUMBER(SEARCH("World",'RawData'!C702)),"",IFERROR(G644/H644,"-"))</f>
        <v>0</v>
      </c>
      <c r="J644" s="7" t="str">
        <f>IF(ISNUMBER(SEARCH("World",'RawData'!C702)),"",IF(ISNUMBER(SEARCH("Other",C644)),COUNTIFS('RawData'!B:B,B644,'RawData'!C:C,"&lt;&gt;*World*"),IF(OR(G644="",G644=0),"-",SUMPRODUCT(('RawData'!B$2:B$822=B644)*('RawData'!G$2:G$822&gt;G644)*(ISERROR(SEARCH("World",'RawData'!C$2:C$822)))*(ISERROR(SEARCH("Other",'RawData'!C$2:C$822))))+1)))</f>
        <v>-</v>
      </c>
      <c r="K644" s="14">
        <f>IF(ISNUMBER(SEARCH("World",'RawData'!C702)),"",'RawData'!H702)</f>
        <v>0</v>
      </c>
      <c r="L644" s="14">
        <f>IF(ISNUMBER(SEARCH("World",'RawData'!C702)),"",SUMIFS('RawData'!H:H,'RawData'!B:B,'RawData'!B702,'RawData'!C:C,"*World*"))</f>
        <v>0</v>
      </c>
      <c r="M644" s="15" t="str">
        <f>IF(ISNUMBER(SEARCH("World",'RawData'!C702)),"",IFERROR(K644/L644,"-"))</f>
        <v>-</v>
      </c>
      <c r="N644" s="7" t="str">
        <f>IF(ISNUMBER(SEARCH("World",'RawData'!C702)),"",IF(ISNUMBER(SEARCH("Other",C644)),COUNTIFS('RawData'!B:B,B644,'RawData'!C:C,"&lt;&gt;*World*"),IF(OR(K644="",K644=0),"-",SUMPRODUCT(('RawData'!B$2:B$822=B644)*('RawData'!H$2:H$822&gt;K644)*(ISERROR(SEARCH("World",'RawData'!C$2:C$822)))*(ISERROR(SEARCH("Other",'RawData'!C$2:C$822))))+1)))</f>
        <v>-</v>
      </c>
    </row>
    <row r="645" spans="1:14" x14ac:dyDescent="0.3">
      <c r="A645" s="4" t="str">
        <f>IF(ISNUMBER(SEARCH("World",'RawData'!C703)),"",'RawData'!A703)</f>
        <v>MCS2026</v>
      </c>
      <c r="B645" s="4" t="str">
        <f>IF(ISNUMBER(SEARCH("World",'RawData'!C703)),"",'RawData'!B703)</f>
        <v>Tellurium</v>
      </c>
      <c r="C645" s="4" t="str">
        <f>IF(ISNUMBER(SEARCH("World",'RawData'!C703)),"",'RawData'!C703)</f>
        <v>Uzbekistan</v>
      </c>
      <c r="D645" s="4" t="str">
        <f>IF(ISNUMBER(SEARCH("World",'RawData'!C703)),"",'RawData'!D703)</f>
        <v>Refinery production, tellurium content</v>
      </c>
      <c r="E645" s="4" t="str">
        <f>IF(ISNUMBER(SEARCH("World",'RawData'!C703)),"",IF('RawData'!E703="WT001","kg",IF('RawData'!E703="WT002","ton",IF('RawData'!E703="WT003","k ton",""))))</f>
        <v>ton</v>
      </c>
      <c r="F645" s="14">
        <f>IF(ISNUMBER(SEARCH("World",'RawData'!C703)),"",'RawData'!F703)</f>
        <v>18</v>
      </c>
      <c r="G645" s="14">
        <f>IF(ISNUMBER(SEARCH("World",'RawData'!C703)),"",'RawData'!G703)</f>
        <v>18</v>
      </c>
      <c r="H645" s="14">
        <f>IF(ISNUMBER(SEARCH("World",'RawData'!C703)),"",SUMIFS('RawData'!G:G,'RawData'!B:B,'RawData'!B703,'RawData'!C:C,"*World*"))</f>
        <v>1000</v>
      </c>
      <c r="I645" s="15">
        <f>IF(ISNUMBER(SEARCH("World",'RawData'!C703)),"",IFERROR(G645/H645,"-"))</f>
        <v>1.7999999999999999E-2</v>
      </c>
      <c r="J645" s="7">
        <f>IF(ISNUMBER(SEARCH("World",'RawData'!C703)),"",IF(ISNUMBER(SEARCH("Other",C645)),COUNTIFS('RawData'!B:B,B645,'RawData'!C:C,"&lt;&gt;*World*"),IF(OR(G645="",G645=0),"-",SUMPRODUCT(('RawData'!B$2:B$822=B645)*('RawData'!G$2:G$822&gt;G645)*(ISERROR(SEARCH("World",'RawData'!C$2:C$822)))*(ISERROR(SEARCH("Other",'RawData'!C$2:C$822))))+1)))</f>
        <v>6</v>
      </c>
      <c r="K645" s="14">
        <f>IF(ISNUMBER(SEARCH("World",'RawData'!C703)),"",'RawData'!H703)</f>
        <v>0</v>
      </c>
      <c r="L645" s="14">
        <f>IF(ISNUMBER(SEARCH("World",'RawData'!C703)),"",SUMIFS('RawData'!H:H,'RawData'!B:B,'RawData'!B703,'RawData'!C:C,"*World*"))</f>
        <v>0</v>
      </c>
      <c r="M645" s="15" t="str">
        <f>IF(ISNUMBER(SEARCH("World",'RawData'!C703)),"",IFERROR(K645/L645,"-"))</f>
        <v>-</v>
      </c>
      <c r="N645" s="7" t="str">
        <f>IF(ISNUMBER(SEARCH("World",'RawData'!C703)),"",IF(ISNUMBER(SEARCH("Other",C645)),COUNTIFS('RawData'!B:B,B645,'RawData'!C:C,"&lt;&gt;*World*"),IF(OR(K645="",K645=0),"-",SUMPRODUCT(('RawData'!B$2:B$822=B645)*('RawData'!H$2:H$822&gt;K645)*(ISERROR(SEARCH("World",'RawData'!C$2:C$822)))*(ISERROR(SEARCH("Other",'RawData'!C$2:C$822))))+1)))</f>
        <v>-</v>
      </c>
    </row>
    <row r="646" spans="1:14" x14ac:dyDescent="0.3">
      <c r="A646" s="4" t="str">
        <f>IF(ISNUMBER(SEARCH("World",'RawData'!C705)),"",'RawData'!A705)</f>
        <v>MCS2026</v>
      </c>
      <c r="B646" s="4" t="str">
        <f>IF(ISNUMBER(SEARCH("World",'RawData'!C705)),"",'RawData'!B705)</f>
        <v>Tin</v>
      </c>
      <c r="C646" s="4" t="str">
        <f>IF(ISNUMBER(SEARCH("World",'RawData'!C705)),"",'RawData'!C705)</f>
        <v>Australia</v>
      </c>
      <c r="D646" s="4" t="str">
        <f>IF(ISNUMBER(SEARCH("World",'RawData'!C705)),"",'RawData'!D705)</f>
        <v>Mine production, tin content</v>
      </c>
      <c r="E646" s="4" t="str">
        <f>IF(ISNUMBER(SEARCH("World",'RawData'!C705)),"",IF('RawData'!E705="WT001","kg",IF('RawData'!E705="WT002","ton",IF('RawData'!E705="WT003","k ton",""))))</f>
        <v>ton</v>
      </c>
      <c r="F646" s="14">
        <f>IF(ISNUMBER(SEARCH("World",'RawData'!C705)),"",'RawData'!F705)</f>
        <v>11300</v>
      </c>
      <c r="G646" s="14">
        <f>IF(ISNUMBER(SEARCH("World",'RawData'!C705)),"",'RawData'!G705)</f>
        <v>12000</v>
      </c>
      <c r="H646" s="14">
        <f>IF(ISNUMBER(SEARCH("World",'RawData'!C705)),"",SUMIFS('RawData'!G:G,'RawData'!B:B,'RawData'!B705,'RawData'!C:C,"*World*"))</f>
        <v>290000</v>
      </c>
      <c r="I646" s="15">
        <f>IF(ISNUMBER(SEARCH("World",'RawData'!C705)),"",IFERROR(G646/H646,"-"))</f>
        <v>4.1379310344827586E-2</v>
      </c>
      <c r="J646" s="7">
        <f>IF(ISNUMBER(SEARCH("World",'RawData'!C705)),"",IF(ISNUMBER(SEARCH("Other",C646)),COUNTIFS('RawData'!B:B,B646,'RawData'!C:C,"&lt;&gt;*World*"),IF(OR(G646="",G646=0),"-",SUMPRODUCT(('RawData'!B$2:B$822=B646)*('RawData'!G$2:G$822&gt;G646)*(ISERROR(SEARCH("World",'RawData'!C$2:C$822)))*(ISERROR(SEARCH("Other",'RawData'!C$2:C$822))))+1)))</f>
        <v>7</v>
      </c>
      <c r="K646" s="14">
        <f>IF(ISNUMBER(SEARCH("World",'RawData'!C705)),"",'RawData'!H705)</f>
        <v>570000</v>
      </c>
      <c r="L646" s="14">
        <f>IF(ISNUMBER(SEARCH("World",'RawData'!C705)),"",SUMIFS('RawData'!H:H,'RawData'!B:B,'RawData'!B705,'RawData'!C:C,"*World*"))</f>
        <v>6000000</v>
      </c>
      <c r="M646" s="15">
        <f>IF(ISNUMBER(SEARCH("World",'RawData'!C705)),"",IFERROR(K646/L646,"-"))</f>
        <v>9.5000000000000001E-2</v>
      </c>
      <c r="N646" s="7">
        <f>IF(ISNUMBER(SEARCH("World",'RawData'!C705)),"",IF(ISNUMBER(SEARCH("Other",C646)),COUNTIFS('RawData'!B:B,B646,'RawData'!C:C,"&lt;&gt;*World*"),IF(OR(K646="",K646=0),"-",SUMPRODUCT(('RawData'!B$2:B$822=B646)*('RawData'!H$2:H$822&gt;K646)*(ISERROR(SEARCH("World",'RawData'!C$2:C$822)))*(ISERROR(SEARCH("Other",'RawData'!C$2:C$822))))+1)))</f>
        <v>5</v>
      </c>
    </row>
    <row r="647" spans="1:14" x14ac:dyDescent="0.3">
      <c r="A647" s="4" t="str">
        <f>IF(ISNUMBER(SEARCH("World",'RawData'!C706)),"",'RawData'!A706)</f>
        <v>MCS2026</v>
      </c>
      <c r="B647" s="4" t="str">
        <f>IF(ISNUMBER(SEARCH("World",'RawData'!C706)),"",'RawData'!B706)</f>
        <v>Tin</v>
      </c>
      <c r="C647" s="4" t="str">
        <f>IF(ISNUMBER(SEARCH("World",'RawData'!C706)),"",'RawData'!C706)</f>
        <v>Bolivia</v>
      </c>
      <c r="D647" s="4" t="str">
        <f>IF(ISNUMBER(SEARCH("World",'RawData'!C706)),"",'RawData'!D706)</f>
        <v>Mine production, tin content</v>
      </c>
      <c r="E647" s="4" t="str">
        <f>IF(ISNUMBER(SEARCH("World",'RawData'!C706)),"",IF('RawData'!E706="WT001","kg",IF('RawData'!E706="WT002","ton",IF('RawData'!E706="WT003","k ton",""))))</f>
        <v>ton</v>
      </c>
      <c r="F647" s="14">
        <f>IF(ISNUMBER(SEARCH("World",'RawData'!C706)),"",'RawData'!F706)</f>
        <v>21200</v>
      </c>
      <c r="G647" s="14">
        <f>IF(ISNUMBER(SEARCH("World",'RawData'!C706)),"",'RawData'!G706)</f>
        <v>15000</v>
      </c>
      <c r="H647" s="14">
        <f>IF(ISNUMBER(SEARCH("World",'RawData'!C706)),"",SUMIFS('RawData'!G:G,'RawData'!B:B,'RawData'!B706,'RawData'!C:C,"*World*"))</f>
        <v>290000</v>
      </c>
      <c r="I647" s="15">
        <f>IF(ISNUMBER(SEARCH("World",'RawData'!C706)),"",IFERROR(G647/H647,"-"))</f>
        <v>5.1724137931034482E-2</v>
      </c>
      <c r="J647" s="7">
        <f>IF(ISNUMBER(SEARCH("World",'RawData'!C706)),"",IF(ISNUMBER(SEARCH("Other",C647)),COUNTIFS('RawData'!B:B,B647,'RawData'!C:C,"&lt;&gt;*World*"),IF(OR(G647="",G647=0),"-",SUMPRODUCT(('RawData'!B$2:B$822=B647)*('RawData'!G$2:G$822&gt;G647)*(ISERROR(SEARCH("World",'RawData'!C$2:C$822)))*(ISERROR(SEARCH("Other",'RawData'!C$2:C$822))))+1)))</f>
        <v>6</v>
      </c>
      <c r="K647" s="14">
        <f>IF(ISNUMBER(SEARCH("World",'RawData'!C706)),"",'RawData'!H706)</f>
        <v>400000</v>
      </c>
      <c r="L647" s="14">
        <f>IF(ISNUMBER(SEARCH("World",'RawData'!C706)),"",SUMIFS('RawData'!H:H,'RawData'!B:B,'RawData'!B706,'RawData'!C:C,"*World*"))</f>
        <v>6000000</v>
      </c>
      <c r="M647" s="15">
        <f>IF(ISNUMBER(SEARCH("World",'RawData'!C706)),"",IFERROR(K647/L647,"-"))</f>
        <v>6.6666666666666666E-2</v>
      </c>
      <c r="N647" s="7">
        <f>IF(ISNUMBER(SEARCH("World",'RawData'!C706)),"",IF(ISNUMBER(SEARCH("Other",C647)),COUNTIFS('RawData'!B:B,B647,'RawData'!C:C,"&lt;&gt;*World*"),IF(OR(K647="",K647=0),"-",SUMPRODUCT(('RawData'!B$2:B$822=B647)*('RawData'!H$2:H$822&gt;K647)*(ISERROR(SEARCH("World",'RawData'!C$2:C$822)))*(ISERROR(SEARCH("Other",'RawData'!C$2:C$822))))+1)))</f>
        <v>7</v>
      </c>
    </row>
    <row r="648" spans="1:14" x14ac:dyDescent="0.3">
      <c r="A648" s="4" t="str">
        <f>IF(ISNUMBER(SEARCH("World",'RawData'!C707)),"",'RawData'!A707)</f>
        <v>MCS2026</v>
      </c>
      <c r="B648" s="4" t="str">
        <f>IF(ISNUMBER(SEARCH("World",'RawData'!C707)),"",'RawData'!B707)</f>
        <v>Tin</v>
      </c>
      <c r="C648" s="4" t="str">
        <f>IF(ISNUMBER(SEARCH("World",'RawData'!C707)),"",'RawData'!C707)</f>
        <v>Brazil</v>
      </c>
      <c r="D648" s="4" t="str">
        <f>IF(ISNUMBER(SEARCH("World",'RawData'!C707)),"",'RawData'!D707)</f>
        <v>Mine production, tin content</v>
      </c>
      <c r="E648" s="4" t="str">
        <f>IF(ISNUMBER(SEARCH("World",'RawData'!C707)),"",IF('RawData'!E707="WT001","kg",IF('RawData'!E707="WT002","ton",IF('RawData'!E707="WT003","k ton",""))))</f>
        <v>ton</v>
      </c>
      <c r="F648" s="14">
        <f>IF(ISNUMBER(SEARCH("World",'RawData'!C707)),"",'RawData'!F707)</f>
        <v>27600</v>
      </c>
      <c r="G648" s="14">
        <f>IF(ISNUMBER(SEARCH("World",'RawData'!C707)),"",'RawData'!G707)</f>
        <v>28000</v>
      </c>
      <c r="H648" s="14">
        <f>IF(ISNUMBER(SEARCH("World",'RawData'!C707)),"",SUMIFS('RawData'!G:G,'RawData'!B:B,'RawData'!B707,'RawData'!C:C,"*World*"))</f>
        <v>290000</v>
      </c>
      <c r="I648" s="15">
        <f>IF(ISNUMBER(SEARCH("World",'RawData'!C707)),"",IFERROR(G648/H648,"-"))</f>
        <v>9.6551724137931033E-2</v>
      </c>
      <c r="J648" s="7">
        <f>IF(ISNUMBER(SEARCH("World",'RawData'!C707)),"",IF(ISNUMBER(SEARCH("Other",C648)),COUNTIFS('RawData'!B:B,B648,'RawData'!C:C,"&lt;&gt;*World*"),IF(OR(G648="",G648=0),"-",SUMPRODUCT(('RawData'!B$2:B$822=B648)*('RawData'!G$2:G$822&gt;G648)*(ISERROR(SEARCH("World",'RawData'!C$2:C$822)))*(ISERROR(SEARCH("Other",'RawData'!C$2:C$822))))+1)))</f>
        <v>4</v>
      </c>
      <c r="K648" s="14">
        <f>IF(ISNUMBER(SEARCH("World",'RawData'!C707)),"",'RawData'!H707)</f>
        <v>700000</v>
      </c>
      <c r="L648" s="14">
        <f>IF(ISNUMBER(SEARCH("World",'RawData'!C707)),"",SUMIFS('RawData'!H:H,'RawData'!B:B,'RawData'!B707,'RawData'!C:C,"*World*"))</f>
        <v>6000000</v>
      </c>
      <c r="M648" s="15">
        <f>IF(ISNUMBER(SEARCH("World",'RawData'!C707)),"",IFERROR(K648/L648,"-"))</f>
        <v>0.11666666666666667</v>
      </c>
      <c r="N648" s="7">
        <f>IF(ISNUMBER(SEARCH("World",'RawData'!C707)),"",IF(ISNUMBER(SEARCH("Other",C648)),COUNTIFS('RawData'!B:B,B648,'RawData'!C:C,"&lt;&gt;*World*"),IF(OR(K648="",K648=0),"-",SUMPRODUCT(('RawData'!B$2:B$822=B648)*('RawData'!H$2:H$822&gt;K648)*(ISERROR(SEARCH("World",'RawData'!C$2:C$822)))*(ISERROR(SEARCH("Other",'RawData'!C$2:C$822))))+1)))</f>
        <v>3</v>
      </c>
    </row>
    <row r="649" spans="1:14" x14ac:dyDescent="0.3">
      <c r="A649" s="4" t="str">
        <f>IF(ISNUMBER(SEARCH("World",'RawData'!C708)),"",'RawData'!A708)</f>
        <v>MCS2026</v>
      </c>
      <c r="B649" s="4" t="str">
        <f>IF(ISNUMBER(SEARCH("World",'RawData'!C708)),"",'RawData'!B708)</f>
        <v>Tin</v>
      </c>
      <c r="C649" s="4" t="str">
        <f>IF(ISNUMBER(SEARCH("World",'RawData'!C708)),"",'RawData'!C708)</f>
        <v>China</v>
      </c>
      <c r="D649" s="4" t="str">
        <f>IF(ISNUMBER(SEARCH("World",'RawData'!C708)),"",'RawData'!D708)</f>
        <v>Mine production, tin content</v>
      </c>
      <c r="E649" s="4" t="str">
        <f>IF(ISNUMBER(SEARCH("World",'RawData'!C708)),"",IF('RawData'!E708="WT001","kg",IF('RawData'!E708="WT002","ton",IF('RawData'!E708="WT003","k ton",""))))</f>
        <v>ton</v>
      </c>
      <c r="F649" s="14">
        <f>IF(ISNUMBER(SEARCH("World",'RawData'!C708)),"",'RawData'!F708)</f>
        <v>71000</v>
      </c>
      <c r="G649" s="14">
        <f>IF(ISNUMBER(SEARCH("World",'RawData'!C708)),"",'RawData'!G708)</f>
        <v>71000</v>
      </c>
      <c r="H649" s="14">
        <f>IF(ISNUMBER(SEARCH("World",'RawData'!C708)),"",SUMIFS('RawData'!G:G,'RawData'!B:B,'RawData'!B708,'RawData'!C:C,"*World*"))</f>
        <v>290000</v>
      </c>
      <c r="I649" s="15">
        <f>IF(ISNUMBER(SEARCH("World",'RawData'!C708)),"",IFERROR(G649/H649,"-"))</f>
        <v>0.24482758620689654</v>
      </c>
      <c r="J649" s="7">
        <f>IF(ISNUMBER(SEARCH("World",'RawData'!C708)),"",IF(ISNUMBER(SEARCH("Other",C649)),COUNTIFS('RawData'!B:B,B649,'RawData'!C:C,"&lt;&gt;*World*"),IF(OR(G649="",G649=0),"-",SUMPRODUCT(('RawData'!B$2:B$822=B649)*('RawData'!G$2:G$822&gt;G649)*(ISERROR(SEARCH("World",'RawData'!C$2:C$822)))*(ISERROR(SEARCH("Other",'RawData'!C$2:C$822))))+1)))</f>
        <v>1</v>
      </c>
      <c r="K649" s="14">
        <f>IF(ISNUMBER(SEARCH("World",'RawData'!C708)),"",'RawData'!H708)</f>
        <v>1200000</v>
      </c>
      <c r="L649" s="14">
        <f>IF(ISNUMBER(SEARCH("World",'RawData'!C708)),"",SUMIFS('RawData'!H:H,'RawData'!B:B,'RawData'!B708,'RawData'!C:C,"*World*"))</f>
        <v>6000000</v>
      </c>
      <c r="M649" s="15">
        <f>IF(ISNUMBER(SEARCH("World",'RawData'!C708)),"",IFERROR(K649/L649,"-"))</f>
        <v>0.2</v>
      </c>
      <c r="N649" s="7">
        <f>IF(ISNUMBER(SEARCH("World",'RawData'!C708)),"",IF(ISNUMBER(SEARCH("Other",C649)),COUNTIFS('RawData'!B:B,B649,'RawData'!C:C,"&lt;&gt;*World*"),IF(OR(K649="",K649=0),"-",SUMPRODUCT(('RawData'!B$2:B$822=B649)*('RawData'!H$2:H$822&gt;K649)*(ISERROR(SEARCH("World",'RawData'!C$2:C$822)))*(ISERROR(SEARCH("Other",'RawData'!C$2:C$822))))+1)))</f>
        <v>2</v>
      </c>
    </row>
    <row r="650" spans="1:14" x14ac:dyDescent="0.3">
      <c r="A650" s="4" t="str">
        <f>IF(ISNUMBER(SEARCH("World",'RawData'!C709)),"",'RawData'!A709)</f>
        <v>MCS2026</v>
      </c>
      <c r="B650" s="4" t="str">
        <f>IF(ISNUMBER(SEARCH("World",'RawData'!C709)),"",'RawData'!B709)</f>
        <v>Tin</v>
      </c>
      <c r="C650" s="4" t="str">
        <f>IF(ISNUMBER(SEARCH("World",'RawData'!C709)),"",'RawData'!C709)</f>
        <v>DRCongo</v>
      </c>
      <c r="D650" s="4" t="str">
        <f>IF(ISNUMBER(SEARCH("World",'RawData'!C709)),"",'RawData'!D709)</f>
        <v>Mine production, tin content</v>
      </c>
      <c r="E650" s="4" t="str">
        <f>IF(ISNUMBER(SEARCH("World",'RawData'!C709)),"",IF('RawData'!E709="WT001","kg",IF('RawData'!E709="WT002","ton",IF('RawData'!E709="WT003","k ton",""))))</f>
        <v>ton</v>
      </c>
      <c r="F650" s="14">
        <f>IF(ISNUMBER(SEARCH("World",'RawData'!C709)),"",'RawData'!F709)</f>
        <v>26000</v>
      </c>
      <c r="G650" s="14">
        <f>IF(ISNUMBER(SEARCH("World",'RawData'!C709)),"",'RawData'!G709)</f>
        <v>27000</v>
      </c>
      <c r="H650" s="14">
        <f>IF(ISNUMBER(SEARCH("World",'RawData'!C709)),"",SUMIFS('RawData'!G:G,'RawData'!B:B,'RawData'!B709,'RawData'!C:C,"*World*"))</f>
        <v>290000</v>
      </c>
      <c r="I650" s="15">
        <f>IF(ISNUMBER(SEARCH("World",'RawData'!C709)),"",IFERROR(G650/H650,"-"))</f>
        <v>9.3103448275862075E-2</v>
      </c>
      <c r="J650" s="7">
        <f>IF(ISNUMBER(SEARCH("World",'RawData'!C709)),"",IF(ISNUMBER(SEARCH("Other",C650)),COUNTIFS('RawData'!B:B,B650,'RawData'!C:C,"&lt;&gt;*World*"),IF(OR(G650="",G650=0),"-",SUMPRODUCT(('RawData'!B$2:B$822=B650)*('RawData'!G$2:G$822&gt;G650)*(ISERROR(SEARCH("World",'RawData'!C$2:C$822)))*(ISERROR(SEARCH("Other",'RawData'!C$2:C$822))))+1)))</f>
        <v>5</v>
      </c>
      <c r="K650" s="14">
        <f>IF(ISNUMBER(SEARCH("World",'RawData'!C709)),"",'RawData'!H709)</f>
        <v>91000</v>
      </c>
      <c r="L650" s="14">
        <f>IF(ISNUMBER(SEARCH("World",'RawData'!C709)),"",SUMIFS('RawData'!H:H,'RawData'!B:B,'RawData'!B709,'RawData'!C:C,"*World*"))</f>
        <v>6000000</v>
      </c>
      <c r="M650" s="15">
        <f>IF(ISNUMBER(SEARCH("World",'RawData'!C709)),"",IFERROR(K650/L650,"-"))</f>
        <v>1.5166666666666667E-2</v>
      </c>
      <c r="N650" s="7">
        <f>IF(ISNUMBER(SEARCH("World",'RawData'!C709)),"",IF(ISNUMBER(SEARCH("Other",C650)),COUNTIFS('RawData'!B:B,B650,'RawData'!C:C,"&lt;&gt;*World*"),IF(OR(K650="",K650=0),"-",SUMPRODUCT(('RawData'!B$2:B$822=B650)*('RawData'!H$2:H$822&gt;K650)*(ISERROR(SEARCH("World",'RawData'!C$2:C$822)))*(ISERROR(SEARCH("Other",'RawData'!C$2:C$822))))+1)))</f>
        <v>9</v>
      </c>
    </row>
    <row r="651" spans="1:14" x14ac:dyDescent="0.3">
      <c r="A651" s="4" t="str">
        <f>IF(ISNUMBER(SEARCH("World",'RawData'!C710)),"",'RawData'!A710)</f>
        <v>MCS2026</v>
      </c>
      <c r="B651" s="4" t="str">
        <f>IF(ISNUMBER(SEARCH("World",'RawData'!C710)),"",'RawData'!B710)</f>
        <v>Tin</v>
      </c>
      <c r="C651" s="4" t="str">
        <f>IF(ISNUMBER(SEARCH("World",'RawData'!C710)),"",'RawData'!C710)</f>
        <v>Indonesia</v>
      </c>
      <c r="D651" s="4" t="str">
        <f>IF(ISNUMBER(SEARCH("World",'RawData'!C710)),"",'RawData'!D710)</f>
        <v>Mine production, tin content</v>
      </c>
      <c r="E651" s="4" t="str">
        <f>IF(ISNUMBER(SEARCH("World",'RawData'!C710)),"",IF('RawData'!E710="WT001","kg",IF('RawData'!E710="WT002","ton",IF('RawData'!E710="WT003","k ton",""))))</f>
        <v>ton</v>
      </c>
      <c r="F651" s="14">
        <f>IF(ISNUMBER(SEARCH("World",'RawData'!C710)),"",'RawData'!F710)</f>
        <v>55000</v>
      </c>
      <c r="G651" s="14">
        <f>IF(ISNUMBER(SEARCH("World",'RawData'!C710)),"",'RawData'!G710)</f>
        <v>61000</v>
      </c>
      <c r="H651" s="14">
        <f>IF(ISNUMBER(SEARCH("World",'RawData'!C710)),"",SUMIFS('RawData'!G:G,'RawData'!B:B,'RawData'!B710,'RawData'!C:C,"*World*"))</f>
        <v>290000</v>
      </c>
      <c r="I651" s="15">
        <f>IF(ISNUMBER(SEARCH("World",'RawData'!C710)),"",IFERROR(G651/H651,"-"))</f>
        <v>0.2103448275862069</v>
      </c>
      <c r="J651" s="7">
        <f>IF(ISNUMBER(SEARCH("World",'RawData'!C710)),"",IF(ISNUMBER(SEARCH("Other",C651)),COUNTIFS('RawData'!B:B,B651,'RawData'!C:C,"&lt;&gt;*World*"),IF(OR(G651="",G651=0),"-",SUMPRODUCT(('RawData'!B$2:B$822=B651)*('RawData'!G$2:G$822&gt;G651)*(ISERROR(SEARCH("World",'RawData'!C$2:C$822)))*(ISERROR(SEARCH("Other",'RawData'!C$2:C$822))))+1)))</f>
        <v>2</v>
      </c>
      <c r="K651" s="14">
        <f>IF(ISNUMBER(SEARCH("World",'RawData'!C710)),"",'RawData'!H710)</f>
        <v>1400000</v>
      </c>
      <c r="L651" s="14">
        <f>IF(ISNUMBER(SEARCH("World",'RawData'!C710)),"",SUMIFS('RawData'!H:H,'RawData'!B:B,'RawData'!B710,'RawData'!C:C,"*World*"))</f>
        <v>6000000</v>
      </c>
      <c r="M651" s="15">
        <f>IF(ISNUMBER(SEARCH("World",'RawData'!C710)),"",IFERROR(K651/L651,"-"))</f>
        <v>0.23333333333333334</v>
      </c>
      <c r="N651" s="7">
        <f>IF(ISNUMBER(SEARCH("World",'RawData'!C710)),"",IF(ISNUMBER(SEARCH("Other",C651)),COUNTIFS('RawData'!B:B,B651,'RawData'!C:C,"&lt;&gt;*World*"),IF(OR(K651="",K651=0),"-",SUMPRODUCT(('RawData'!B$2:B$822=B651)*('RawData'!H$2:H$822&gt;K651)*(ISERROR(SEARCH("World",'RawData'!C$2:C$822)))*(ISERROR(SEARCH("Other",'RawData'!C$2:C$822))))+1)))</f>
        <v>1</v>
      </c>
    </row>
    <row r="652" spans="1:14" x14ac:dyDescent="0.3">
      <c r="A652" s="4" t="str">
        <f>IF(ISNUMBER(SEARCH("World",'RawData'!C711)),"",'RawData'!A711)</f>
        <v>MCS2026</v>
      </c>
      <c r="B652" s="4" t="str">
        <f>IF(ISNUMBER(SEARCH("World",'RawData'!C711)),"",'RawData'!B711)</f>
        <v>Tin</v>
      </c>
      <c r="C652" s="4" t="str">
        <f>IF(ISNUMBER(SEARCH("World",'RawData'!C711)),"",'RawData'!C711)</f>
        <v>Laos</v>
      </c>
      <c r="D652" s="4" t="str">
        <f>IF(ISNUMBER(SEARCH("World",'RawData'!C711)),"",'RawData'!D711)</f>
        <v>Mine production, tin content</v>
      </c>
      <c r="E652" s="4" t="str">
        <f>IF(ISNUMBER(SEARCH("World",'RawData'!C711)),"",IF('RawData'!E711="WT001","kg",IF('RawData'!E711="WT002","ton",IF('RawData'!E711="WT003","k ton",""))))</f>
        <v>ton</v>
      </c>
      <c r="F652" s="14">
        <f>IF(ISNUMBER(SEARCH("World",'RawData'!C711)),"",'RawData'!F711)</f>
        <v>1860</v>
      </c>
      <c r="G652" s="14">
        <f>IF(ISNUMBER(SEARCH("World",'RawData'!C711)),"",'RawData'!G711)</f>
        <v>1800</v>
      </c>
      <c r="H652" s="14">
        <f>IF(ISNUMBER(SEARCH("World",'RawData'!C711)),"",SUMIFS('RawData'!G:G,'RawData'!B:B,'RawData'!B711,'RawData'!C:C,"*World*"))</f>
        <v>290000</v>
      </c>
      <c r="I652" s="15">
        <f>IF(ISNUMBER(SEARCH("World",'RawData'!C711)),"",IFERROR(G652/H652,"-"))</f>
        <v>6.2068965517241377E-3</v>
      </c>
      <c r="J652" s="7">
        <f>IF(ISNUMBER(SEARCH("World",'RawData'!C711)),"",IF(ISNUMBER(SEARCH("Other",C652)),COUNTIFS('RawData'!B:B,B652,'RawData'!C:C,"&lt;&gt;*World*"),IF(OR(G652="",G652=0),"-",SUMPRODUCT(('RawData'!B$2:B$822=B652)*('RawData'!G$2:G$822&gt;G652)*(ISERROR(SEARCH("World",'RawData'!C$2:C$822)))*(ISERROR(SEARCH("Other",'RawData'!C$2:C$822))))+1)))</f>
        <v>14</v>
      </c>
      <c r="K652" s="14">
        <f>IF(ISNUMBER(SEARCH("World",'RawData'!C711)),"",'RawData'!H711)</f>
        <v>0</v>
      </c>
      <c r="L652" s="14">
        <f>IF(ISNUMBER(SEARCH("World",'RawData'!C711)),"",SUMIFS('RawData'!H:H,'RawData'!B:B,'RawData'!B711,'RawData'!C:C,"*World*"))</f>
        <v>6000000</v>
      </c>
      <c r="M652" s="15">
        <f>IF(ISNUMBER(SEARCH("World",'RawData'!C711)),"",IFERROR(K652/L652,"-"))</f>
        <v>0</v>
      </c>
      <c r="N652" s="7" t="str">
        <f>IF(ISNUMBER(SEARCH("World",'RawData'!C711)),"",IF(ISNUMBER(SEARCH("Other",C652)),COUNTIFS('RawData'!B:B,B652,'RawData'!C:C,"&lt;&gt;*World*"),IF(OR(K652="",K652=0),"-",SUMPRODUCT(('RawData'!B$2:B$822=B652)*('RawData'!H$2:H$822&gt;K652)*(ISERROR(SEARCH("World",'RawData'!C$2:C$822)))*(ISERROR(SEARCH("Other",'RawData'!C$2:C$822))))+1)))</f>
        <v>-</v>
      </c>
    </row>
    <row r="653" spans="1:14" x14ac:dyDescent="0.3">
      <c r="A653" s="4" t="str">
        <f>IF(ISNUMBER(SEARCH("World",'RawData'!C712)),"",'RawData'!A712)</f>
        <v>MCS2026</v>
      </c>
      <c r="B653" s="4" t="str">
        <f>IF(ISNUMBER(SEARCH("World",'RawData'!C712)),"",'RawData'!B712)</f>
        <v>Tin</v>
      </c>
      <c r="C653" s="4" t="str">
        <f>IF(ISNUMBER(SEARCH("World",'RawData'!C712)),"",'RawData'!C712)</f>
        <v>Malaysia</v>
      </c>
      <c r="D653" s="4" t="str">
        <f>IF(ISNUMBER(SEARCH("World",'RawData'!C712)),"",'RawData'!D712)</f>
        <v>Mine production, tin content</v>
      </c>
      <c r="E653" s="4" t="str">
        <f>IF(ISNUMBER(SEARCH("World",'RawData'!C712)),"",IF('RawData'!E712="WT001","kg",IF('RawData'!E712="WT002","ton",IF('RawData'!E712="WT003","k ton",""))))</f>
        <v>ton</v>
      </c>
      <c r="F653" s="14">
        <f>IF(ISNUMBER(SEARCH("World",'RawData'!C712)),"",'RawData'!F712)</f>
        <v>5460</v>
      </c>
      <c r="G653" s="14">
        <f>IF(ISNUMBER(SEARCH("World",'RawData'!C712)),"",'RawData'!G712)</f>
        <v>5000</v>
      </c>
      <c r="H653" s="14">
        <f>IF(ISNUMBER(SEARCH("World",'RawData'!C712)),"",SUMIFS('RawData'!G:G,'RawData'!B:B,'RawData'!B712,'RawData'!C:C,"*World*"))</f>
        <v>290000</v>
      </c>
      <c r="I653" s="15">
        <f>IF(ISNUMBER(SEARCH("World",'RawData'!C712)),"",IFERROR(G653/H653,"-"))</f>
        <v>1.7241379310344827E-2</v>
      </c>
      <c r="J653" s="7">
        <f>IF(ISNUMBER(SEARCH("World",'RawData'!C712)),"",IF(ISNUMBER(SEARCH("Other",C653)),COUNTIFS('RawData'!B:B,B653,'RawData'!C:C,"&lt;&gt;*World*"),IF(OR(G653="",G653=0),"-",SUMPRODUCT(('RawData'!B$2:B$822=B653)*('RawData'!G$2:G$822&gt;G653)*(ISERROR(SEARCH("World",'RawData'!C$2:C$822)))*(ISERROR(SEARCH("Other",'RawData'!C$2:C$822))))+1)))</f>
        <v>10</v>
      </c>
      <c r="K653" s="14">
        <f>IF(ISNUMBER(SEARCH("World",'RawData'!C712)),"",'RawData'!H712)</f>
        <v>0</v>
      </c>
      <c r="L653" s="14">
        <f>IF(ISNUMBER(SEARCH("World",'RawData'!C712)),"",SUMIFS('RawData'!H:H,'RawData'!B:B,'RawData'!B712,'RawData'!C:C,"*World*"))</f>
        <v>6000000</v>
      </c>
      <c r="M653" s="15">
        <f>IF(ISNUMBER(SEARCH("World",'RawData'!C712)),"",IFERROR(K653/L653,"-"))</f>
        <v>0</v>
      </c>
      <c r="N653" s="7" t="str">
        <f>IF(ISNUMBER(SEARCH("World",'RawData'!C712)),"",IF(ISNUMBER(SEARCH("Other",C653)),COUNTIFS('RawData'!B:B,B653,'RawData'!C:C,"&lt;&gt;*World*"),IF(OR(K653="",K653=0),"-",SUMPRODUCT(('RawData'!B$2:B$822=B653)*('RawData'!H$2:H$822&gt;K653)*(ISERROR(SEARCH("World",'RawData'!C$2:C$822)))*(ISERROR(SEARCH("Other",'RawData'!C$2:C$822))))+1)))</f>
        <v>-</v>
      </c>
    </row>
    <row r="654" spans="1:14" x14ac:dyDescent="0.3">
      <c r="A654" s="4" t="str">
        <f>IF(ISNUMBER(SEARCH("World",'RawData'!C713)),"",'RawData'!A713)</f>
        <v>MCS2026</v>
      </c>
      <c r="B654" s="4" t="str">
        <f>IF(ISNUMBER(SEARCH("World",'RawData'!C713)),"",'RawData'!B713)</f>
        <v>Tin</v>
      </c>
      <c r="C654" s="4" t="str">
        <f>IF(ISNUMBER(SEARCH("World",'RawData'!C713)),"",'RawData'!C713)</f>
        <v>Myanmar</v>
      </c>
      <c r="D654" s="4" t="str">
        <f>IF(ISNUMBER(SEARCH("World",'RawData'!C713)),"",'RawData'!D713)</f>
        <v>Mine production, tin content</v>
      </c>
      <c r="E654" s="4" t="str">
        <f>IF(ISNUMBER(SEARCH("World",'RawData'!C713)),"",IF('RawData'!E713="WT001","kg",IF('RawData'!E713="WT002","ton",IF('RawData'!E713="WT003","k ton",""))))</f>
        <v>ton</v>
      </c>
      <c r="F654" s="14">
        <f>IF(ISNUMBER(SEARCH("World",'RawData'!C713)),"",'RawData'!F713)</f>
        <v>20000</v>
      </c>
      <c r="G654" s="14">
        <f>IF(ISNUMBER(SEARCH("World",'RawData'!C713)),"",'RawData'!G713)</f>
        <v>12000</v>
      </c>
      <c r="H654" s="14">
        <f>IF(ISNUMBER(SEARCH("World",'RawData'!C713)),"",SUMIFS('RawData'!G:G,'RawData'!B:B,'RawData'!B713,'RawData'!C:C,"*World*"))</f>
        <v>290000</v>
      </c>
      <c r="I654" s="15">
        <f>IF(ISNUMBER(SEARCH("World",'RawData'!C713)),"",IFERROR(G654/H654,"-"))</f>
        <v>4.1379310344827586E-2</v>
      </c>
      <c r="J654" s="7">
        <f>IF(ISNUMBER(SEARCH("World",'RawData'!C713)),"",IF(ISNUMBER(SEARCH("Other",C654)),COUNTIFS('RawData'!B:B,B654,'RawData'!C:C,"&lt;&gt;*World*"),IF(OR(G654="",G654=0),"-",SUMPRODUCT(('RawData'!B$2:B$822=B654)*('RawData'!G$2:G$822&gt;G654)*(ISERROR(SEARCH("World",'RawData'!C$2:C$822)))*(ISERROR(SEARCH("Other",'RawData'!C$2:C$822))))+1)))</f>
        <v>7</v>
      </c>
      <c r="K654" s="14">
        <f>IF(ISNUMBER(SEARCH("World",'RawData'!C713)),"",'RawData'!H713)</f>
        <v>700000</v>
      </c>
      <c r="L654" s="14">
        <f>IF(ISNUMBER(SEARCH("World",'RawData'!C713)),"",SUMIFS('RawData'!H:H,'RawData'!B:B,'RawData'!B713,'RawData'!C:C,"*World*"))</f>
        <v>6000000</v>
      </c>
      <c r="M654" s="15">
        <f>IF(ISNUMBER(SEARCH("World",'RawData'!C713)),"",IFERROR(K654/L654,"-"))</f>
        <v>0.11666666666666667</v>
      </c>
      <c r="N654" s="7">
        <f>IF(ISNUMBER(SEARCH("World",'RawData'!C713)),"",IF(ISNUMBER(SEARCH("Other",C654)),COUNTIFS('RawData'!B:B,B654,'RawData'!C:C,"&lt;&gt;*World*"),IF(OR(K654="",K654=0),"-",SUMPRODUCT(('RawData'!B$2:B$822=B654)*('RawData'!H$2:H$822&gt;K654)*(ISERROR(SEARCH("World",'RawData'!C$2:C$822)))*(ISERROR(SEARCH("Other",'RawData'!C$2:C$822))))+1)))</f>
        <v>3</v>
      </c>
    </row>
    <row r="655" spans="1:14" x14ac:dyDescent="0.3">
      <c r="A655" s="4" t="str">
        <f>IF(ISNUMBER(SEARCH("World",'RawData'!C714)),"",'RawData'!A714)</f>
        <v>MCS2026</v>
      </c>
      <c r="B655" s="4" t="str">
        <f>IF(ISNUMBER(SEARCH("World",'RawData'!C714)),"",'RawData'!B714)</f>
        <v>Tin</v>
      </c>
      <c r="C655" s="4" t="str">
        <f>IF(ISNUMBER(SEARCH("World",'RawData'!C714)),"",'RawData'!C714)</f>
        <v>Nigeria</v>
      </c>
      <c r="D655" s="4" t="str">
        <f>IF(ISNUMBER(SEARCH("World",'RawData'!C714)),"",'RawData'!D714)</f>
        <v>Mine production, tin content</v>
      </c>
      <c r="E655" s="4" t="str">
        <f>IF(ISNUMBER(SEARCH("World",'RawData'!C714)),"",IF('RawData'!E714="WT001","kg",IF('RawData'!E714="WT002","ton",IF('RawData'!E714="WT003","k ton",""))))</f>
        <v>ton</v>
      </c>
      <c r="F655" s="14">
        <f>IF(ISNUMBER(SEARCH("World",'RawData'!C714)),"",'RawData'!F714)</f>
        <v>3100</v>
      </c>
      <c r="G655" s="14">
        <f>IF(ISNUMBER(SEARCH("World",'RawData'!C714)),"",'RawData'!G714)</f>
        <v>3500</v>
      </c>
      <c r="H655" s="14">
        <f>IF(ISNUMBER(SEARCH("World",'RawData'!C714)),"",SUMIFS('RawData'!G:G,'RawData'!B:B,'RawData'!B714,'RawData'!C:C,"*World*"))</f>
        <v>290000</v>
      </c>
      <c r="I655" s="15">
        <f>IF(ISNUMBER(SEARCH("World",'RawData'!C714)),"",IFERROR(G655/H655,"-"))</f>
        <v>1.2068965517241379E-2</v>
      </c>
      <c r="J655" s="7">
        <f>IF(ISNUMBER(SEARCH("World",'RawData'!C714)),"",IF(ISNUMBER(SEARCH("Other",C655)),COUNTIFS('RawData'!B:B,B655,'RawData'!C:C,"&lt;&gt;*World*"),IF(OR(G655="",G655=0),"-",SUMPRODUCT(('RawData'!B$2:B$822=B655)*('RawData'!G$2:G$822&gt;G655)*(ISERROR(SEARCH("World",'RawData'!C$2:C$822)))*(ISERROR(SEARCH("Other",'RawData'!C$2:C$822))))+1)))</f>
        <v>13</v>
      </c>
      <c r="K655" s="14">
        <f>IF(ISNUMBER(SEARCH("World",'RawData'!C714)),"",'RawData'!H714)</f>
        <v>0</v>
      </c>
      <c r="L655" s="14">
        <f>IF(ISNUMBER(SEARCH("World",'RawData'!C714)),"",SUMIFS('RawData'!H:H,'RawData'!B:B,'RawData'!B714,'RawData'!C:C,"*World*"))</f>
        <v>6000000</v>
      </c>
      <c r="M655" s="15">
        <f>IF(ISNUMBER(SEARCH("World",'RawData'!C714)),"",IFERROR(K655/L655,"-"))</f>
        <v>0</v>
      </c>
      <c r="N655" s="7" t="str">
        <f>IF(ISNUMBER(SEARCH("World",'RawData'!C714)),"",IF(ISNUMBER(SEARCH("Other",C655)),COUNTIFS('RawData'!B:B,B655,'RawData'!C:C,"&lt;&gt;*World*"),IF(OR(K655="",K655=0),"-",SUMPRODUCT(('RawData'!B$2:B$822=B655)*('RawData'!H$2:H$822&gt;K655)*(ISERROR(SEARCH("World",'RawData'!C$2:C$822)))*(ISERROR(SEARCH("Other",'RawData'!C$2:C$822))))+1)))</f>
        <v>-</v>
      </c>
    </row>
    <row r="656" spans="1:14" x14ac:dyDescent="0.3">
      <c r="A656" s="4" t="str">
        <f>IF(ISNUMBER(SEARCH("World",'RawData'!C715)),"",'RawData'!A715)</f>
        <v>MCS2026</v>
      </c>
      <c r="B656" s="4" t="str">
        <f>IF(ISNUMBER(SEARCH("World",'RawData'!C715)),"",'RawData'!B715)</f>
        <v>Tin</v>
      </c>
      <c r="C656" s="4" t="str">
        <f>IF(ISNUMBER(SEARCH("World",'RawData'!C715)),"",'RawData'!C715)</f>
        <v>Other Countries</v>
      </c>
      <c r="D656" s="4" t="str">
        <f>IF(ISNUMBER(SEARCH("World",'RawData'!C715)),"",'RawData'!D715)</f>
        <v>Mine production, tin content</v>
      </c>
      <c r="E656" s="4" t="str">
        <f>IF(ISNUMBER(SEARCH("World",'RawData'!C715)),"",IF('RawData'!E715="WT001","kg",IF('RawData'!E715="WT002","ton",IF('RawData'!E715="WT003","k ton",""))))</f>
        <v>ton</v>
      </c>
      <c r="F656" s="14">
        <f>IF(ISNUMBER(SEARCH("World",'RawData'!C715)),"",'RawData'!F715)</f>
        <v>1570</v>
      </c>
      <c r="G656" s="14">
        <f>IF(ISNUMBER(SEARCH("World",'RawData'!C715)),"",'RawData'!G715)</f>
        <v>1700</v>
      </c>
      <c r="H656" s="14">
        <f>IF(ISNUMBER(SEARCH("World",'RawData'!C715)),"",SUMIFS('RawData'!G:G,'RawData'!B:B,'RawData'!B715,'RawData'!C:C,"*World*"))</f>
        <v>290000</v>
      </c>
      <c r="I656" s="15">
        <f>IF(ISNUMBER(SEARCH("World",'RawData'!C715)),"",IFERROR(G656/H656,"-"))</f>
        <v>5.8620689655172415E-3</v>
      </c>
      <c r="J656" s="7">
        <f>IF(ISNUMBER(SEARCH("World",'RawData'!C715)),"",IF(ISNUMBER(SEARCH("Other",C656)),COUNTIFS('RawData'!B:B,B656,'RawData'!C:C,"&lt;&gt;*World*"),IF(OR(G656="",G656=0),"-",SUMPRODUCT(('RawData'!B$2:B$822=B656)*('RawData'!G$2:G$822&gt;G656)*(ISERROR(SEARCH("World",'RawData'!C$2:C$822)))*(ISERROR(SEARCH("Other",'RawData'!C$2:C$822))))+1)))</f>
        <v>16</v>
      </c>
      <c r="K656" s="14">
        <f>IF(ISNUMBER(SEARCH("World",'RawData'!C715)),"",'RawData'!H715)</f>
        <v>310000</v>
      </c>
      <c r="L656" s="14">
        <f>IF(ISNUMBER(SEARCH("World",'RawData'!C715)),"",SUMIFS('RawData'!H:H,'RawData'!B:B,'RawData'!B715,'RawData'!C:C,"*World*"))</f>
        <v>6000000</v>
      </c>
      <c r="M656" s="15">
        <f>IF(ISNUMBER(SEARCH("World",'RawData'!C715)),"",IFERROR(K656/L656,"-"))</f>
        <v>5.1666666666666666E-2</v>
      </c>
      <c r="N656" s="7">
        <f>IF(ISNUMBER(SEARCH("World",'RawData'!C715)),"",IF(ISNUMBER(SEARCH("Other",C656)),COUNTIFS('RawData'!B:B,B656,'RawData'!C:C,"&lt;&gt;*World*"),IF(OR(K656="",K656=0),"-",SUMPRODUCT(('RawData'!B$2:B$822=B656)*('RawData'!H$2:H$822&gt;K656)*(ISERROR(SEARCH("World",'RawData'!C$2:C$822)))*(ISERROR(SEARCH("Other",'RawData'!C$2:C$822))))+1)))</f>
        <v>16</v>
      </c>
    </row>
    <row r="657" spans="1:14" x14ac:dyDescent="0.3">
      <c r="A657" s="4" t="str">
        <f>IF(ISNUMBER(SEARCH("World",'RawData'!C716)),"",'RawData'!A716)</f>
        <v>MCS2026</v>
      </c>
      <c r="B657" s="4" t="str">
        <f>IF(ISNUMBER(SEARCH("World",'RawData'!C716)),"",'RawData'!B716)</f>
        <v>Tin</v>
      </c>
      <c r="C657" s="4" t="str">
        <f>IF(ISNUMBER(SEARCH("World",'RawData'!C716)),"",'RawData'!C716)</f>
        <v>Peru</v>
      </c>
      <c r="D657" s="4" t="str">
        <f>IF(ISNUMBER(SEARCH("World",'RawData'!C716)),"",'RawData'!D716)</f>
        <v>Mine production, tin content</v>
      </c>
      <c r="E657" s="4" t="str">
        <f>IF(ISNUMBER(SEARCH("World",'RawData'!C716)),"",IF('RawData'!E716="WT001","kg",IF('RawData'!E716="WT002","ton",IF('RawData'!E716="WT003","k ton",""))))</f>
        <v>ton</v>
      </c>
      <c r="F657" s="14">
        <f>IF(ISNUMBER(SEARCH("World",'RawData'!C716)),"",'RawData'!F716)</f>
        <v>32300</v>
      </c>
      <c r="G657" s="14">
        <f>IF(ISNUMBER(SEARCH("World",'RawData'!C716)),"",'RawData'!G716)</f>
        <v>33000</v>
      </c>
      <c r="H657" s="14">
        <f>IF(ISNUMBER(SEARCH("World",'RawData'!C716)),"",SUMIFS('RawData'!G:G,'RawData'!B:B,'RawData'!B716,'RawData'!C:C,"*World*"))</f>
        <v>290000</v>
      </c>
      <c r="I657" s="15">
        <f>IF(ISNUMBER(SEARCH("World",'RawData'!C716)),"",IFERROR(G657/H657,"-"))</f>
        <v>0.11379310344827587</v>
      </c>
      <c r="J657" s="7">
        <f>IF(ISNUMBER(SEARCH("World",'RawData'!C716)),"",IF(ISNUMBER(SEARCH("Other",C657)),COUNTIFS('RawData'!B:B,B657,'RawData'!C:C,"&lt;&gt;*World*"),IF(OR(G657="",G657=0),"-",SUMPRODUCT(('RawData'!B$2:B$822=B657)*('RawData'!G$2:G$822&gt;G657)*(ISERROR(SEARCH("World",'RawData'!C$2:C$822)))*(ISERROR(SEARCH("Other",'RawData'!C$2:C$822))))+1)))</f>
        <v>3</v>
      </c>
      <c r="K657" s="14">
        <f>IF(ISNUMBER(SEARCH("World",'RawData'!C716)),"",'RawData'!H716)</f>
        <v>150000</v>
      </c>
      <c r="L657" s="14">
        <f>IF(ISNUMBER(SEARCH("World",'RawData'!C716)),"",SUMIFS('RawData'!H:H,'RawData'!B:B,'RawData'!B716,'RawData'!C:C,"*World*"))</f>
        <v>6000000</v>
      </c>
      <c r="M657" s="15">
        <f>IF(ISNUMBER(SEARCH("World",'RawData'!C716)),"",IFERROR(K657/L657,"-"))</f>
        <v>2.5000000000000001E-2</v>
      </c>
      <c r="N657" s="7">
        <f>IF(ISNUMBER(SEARCH("World",'RawData'!C716)),"",IF(ISNUMBER(SEARCH("Other",C657)),COUNTIFS('RawData'!B:B,B657,'RawData'!C:C,"&lt;&gt;*World*"),IF(OR(K657="",K657=0),"-",SUMPRODUCT(('RawData'!B$2:B$822=B657)*('RawData'!H$2:H$822&gt;K657)*(ISERROR(SEARCH("World",'RawData'!C$2:C$822)))*(ISERROR(SEARCH("Other",'RawData'!C$2:C$822))))+1)))</f>
        <v>8</v>
      </c>
    </row>
    <row r="658" spans="1:14" x14ac:dyDescent="0.3">
      <c r="A658" s="4" t="str">
        <f>IF(ISNUMBER(SEARCH("World",'RawData'!C717)),"",'RawData'!A717)</f>
        <v>MCS2026</v>
      </c>
      <c r="B658" s="4" t="str">
        <f>IF(ISNUMBER(SEARCH("World",'RawData'!C717)),"",'RawData'!B717)</f>
        <v>Tin</v>
      </c>
      <c r="C658" s="4" t="str">
        <f>IF(ISNUMBER(SEARCH("World",'RawData'!C717)),"",'RawData'!C717)</f>
        <v xml:space="preserve">Russia </v>
      </c>
      <c r="D658" s="4" t="str">
        <f>IF(ISNUMBER(SEARCH("World",'RawData'!C717)),"",'RawData'!D717)</f>
        <v>Mine production, tin content</v>
      </c>
      <c r="E658" s="4" t="str">
        <f>IF(ISNUMBER(SEARCH("World",'RawData'!C717)),"",IF('RawData'!E717="WT001","kg",IF('RawData'!E717="WT002","ton",IF('RawData'!E717="WT003","k ton",""))))</f>
        <v>ton</v>
      </c>
      <c r="F658" s="14">
        <f>IF(ISNUMBER(SEARCH("World",'RawData'!C717)),"",'RawData'!F717)</f>
        <v>3260</v>
      </c>
      <c r="G658" s="14">
        <f>IF(ISNUMBER(SEARCH("World",'RawData'!C717)),"",'RawData'!G717)</f>
        <v>4500</v>
      </c>
      <c r="H658" s="14">
        <f>IF(ISNUMBER(SEARCH("World",'RawData'!C717)),"",SUMIFS('RawData'!G:G,'RawData'!B:B,'RawData'!B717,'RawData'!C:C,"*World*"))</f>
        <v>290000</v>
      </c>
      <c r="I658" s="15">
        <f>IF(ISNUMBER(SEARCH("World",'RawData'!C717)),"",IFERROR(G658/H658,"-"))</f>
        <v>1.5517241379310345E-2</v>
      </c>
      <c r="J658" s="7">
        <f>IF(ISNUMBER(SEARCH("World",'RawData'!C717)),"",IF(ISNUMBER(SEARCH("Other",C658)),COUNTIFS('RawData'!B:B,B658,'RawData'!C:C,"&lt;&gt;*World*"),IF(OR(G658="",G658=0),"-",SUMPRODUCT(('RawData'!B$2:B$822=B658)*('RawData'!G$2:G$822&gt;G658)*(ISERROR(SEARCH("World",'RawData'!C$2:C$822)))*(ISERROR(SEARCH("Other",'RawData'!C$2:C$822))))+1)))</f>
        <v>12</v>
      </c>
      <c r="K658" s="14">
        <f>IF(ISNUMBER(SEARCH("World",'RawData'!C717)),"",'RawData'!H717)</f>
        <v>460000</v>
      </c>
      <c r="L658" s="14">
        <f>IF(ISNUMBER(SEARCH("World",'RawData'!C717)),"",SUMIFS('RawData'!H:H,'RawData'!B:B,'RawData'!B717,'RawData'!C:C,"*World*"))</f>
        <v>6000000</v>
      </c>
      <c r="M658" s="15">
        <f>IF(ISNUMBER(SEARCH("World",'RawData'!C717)),"",IFERROR(K658/L658,"-"))</f>
        <v>7.6666666666666661E-2</v>
      </c>
      <c r="N658" s="7">
        <f>IF(ISNUMBER(SEARCH("World",'RawData'!C717)),"",IF(ISNUMBER(SEARCH("Other",C658)),COUNTIFS('RawData'!B:B,B658,'RawData'!C:C,"&lt;&gt;*World*"),IF(OR(K658="",K658=0),"-",SUMPRODUCT(('RawData'!B$2:B$822=B658)*('RawData'!H$2:H$822&gt;K658)*(ISERROR(SEARCH("World",'RawData'!C$2:C$822)))*(ISERROR(SEARCH("Other",'RawData'!C$2:C$822))))+1)))</f>
        <v>6</v>
      </c>
    </row>
    <row r="659" spans="1:14" x14ac:dyDescent="0.3">
      <c r="A659" s="4" t="str">
        <f>IF(ISNUMBER(SEARCH("World",'RawData'!C718)),"",'RawData'!A718)</f>
        <v>MCS2026</v>
      </c>
      <c r="B659" s="4" t="str">
        <f>IF(ISNUMBER(SEARCH("World",'RawData'!C718)),"",'RawData'!B718)</f>
        <v>Tin</v>
      </c>
      <c r="C659" s="4" t="str">
        <f>IF(ISNUMBER(SEARCH("World",'RawData'!C718)),"",'RawData'!C718)</f>
        <v>Rwanda</v>
      </c>
      <c r="D659" s="4" t="str">
        <f>IF(ISNUMBER(SEARCH("World",'RawData'!C718)),"",'RawData'!D718)</f>
        <v>Mine production, tin content</v>
      </c>
      <c r="E659" s="4" t="str">
        <f>IF(ISNUMBER(SEARCH("World",'RawData'!C718)),"",IF('RawData'!E718="WT001","kg",IF('RawData'!E718="WT002","ton",IF('RawData'!E718="WT003","k ton",""))))</f>
        <v>ton</v>
      </c>
      <c r="F659" s="14">
        <f>IF(ISNUMBER(SEARCH("World",'RawData'!C718)),"",'RawData'!F718)</f>
        <v>4100</v>
      </c>
      <c r="G659" s="14">
        <f>IF(ISNUMBER(SEARCH("World",'RawData'!C718)),"",'RawData'!G718)</f>
        <v>4600</v>
      </c>
      <c r="H659" s="14">
        <f>IF(ISNUMBER(SEARCH("World",'RawData'!C718)),"",SUMIFS('RawData'!G:G,'RawData'!B:B,'RawData'!B718,'RawData'!C:C,"*World*"))</f>
        <v>290000</v>
      </c>
      <c r="I659" s="15">
        <f>IF(ISNUMBER(SEARCH("World",'RawData'!C718)),"",IFERROR(G659/H659,"-"))</f>
        <v>1.5862068965517243E-2</v>
      </c>
      <c r="J659" s="7">
        <f>IF(ISNUMBER(SEARCH("World",'RawData'!C718)),"",IF(ISNUMBER(SEARCH("Other",C659)),COUNTIFS('RawData'!B:B,B659,'RawData'!C:C,"&lt;&gt;*World*"),IF(OR(G659="",G659=0),"-",SUMPRODUCT(('RawData'!B$2:B$822=B659)*('RawData'!G$2:G$822&gt;G659)*(ISERROR(SEARCH("World",'RawData'!C$2:C$822)))*(ISERROR(SEARCH("Other",'RawData'!C$2:C$822))))+1)))</f>
        <v>11</v>
      </c>
      <c r="K659" s="14">
        <f>IF(ISNUMBER(SEARCH("World",'RawData'!C718)),"",'RawData'!H718)</f>
        <v>0</v>
      </c>
      <c r="L659" s="14">
        <f>IF(ISNUMBER(SEARCH("World",'RawData'!C718)),"",SUMIFS('RawData'!H:H,'RawData'!B:B,'RawData'!B718,'RawData'!C:C,"*World*"))</f>
        <v>6000000</v>
      </c>
      <c r="M659" s="15">
        <f>IF(ISNUMBER(SEARCH("World",'RawData'!C718)),"",IFERROR(K659/L659,"-"))</f>
        <v>0</v>
      </c>
      <c r="N659" s="7" t="str">
        <f>IF(ISNUMBER(SEARCH("World",'RawData'!C718)),"",IF(ISNUMBER(SEARCH("Other",C659)),COUNTIFS('RawData'!B:B,B659,'RawData'!C:C,"&lt;&gt;*World*"),IF(OR(K659="",K659=0),"-",SUMPRODUCT(('RawData'!B$2:B$822=B659)*('RawData'!H$2:H$822&gt;K659)*(ISERROR(SEARCH("World",'RawData'!C$2:C$822)))*(ISERROR(SEARCH("Other",'RawData'!C$2:C$822))))+1)))</f>
        <v>-</v>
      </c>
    </row>
    <row r="660" spans="1:14" x14ac:dyDescent="0.3">
      <c r="A660" s="4" t="str">
        <f>IF(ISNUMBER(SEARCH("World",'RawData'!C719)),"",'RawData'!A719)</f>
        <v>MCS2026</v>
      </c>
      <c r="B660" s="4" t="str">
        <f>IF(ISNUMBER(SEARCH("World",'RawData'!C719)),"",'RawData'!B719)</f>
        <v>Tin</v>
      </c>
      <c r="C660" s="4" t="str">
        <f>IF(ISNUMBER(SEARCH("World",'RawData'!C719)),"",'RawData'!C719)</f>
        <v>United States</v>
      </c>
      <c r="D660" s="4" t="str">
        <f>IF(ISNUMBER(SEARCH("World",'RawData'!C719)),"",'RawData'!D719)</f>
        <v>Mine production, tin content</v>
      </c>
      <c r="E660" s="4" t="str">
        <f>IF(ISNUMBER(SEARCH("World",'RawData'!C719)),"",IF('RawData'!E719="WT001","kg",IF('RawData'!E719="WT002","ton",IF('RawData'!E719="WT003","k ton",""))))</f>
        <v>ton</v>
      </c>
      <c r="F660" s="14">
        <f>IF(ISNUMBER(SEARCH("World",'RawData'!C719)),"",'RawData'!F719)</f>
        <v>0</v>
      </c>
      <c r="G660" s="14">
        <f>IF(ISNUMBER(SEARCH("World",'RawData'!C719)),"",'RawData'!G719)</f>
        <v>0</v>
      </c>
      <c r="H660" s="14">
        <f>IF(ISNUMBER(SEARCH("World",'RawData'!C719)),"",SUMIFS('RawData'!G:G,'RawData'!B:B,'RawData'!B719,'RawData'!C:C,"*World*"))</f>
        <v>290000</v>
      </c>
      <c r="I660" s="15">
        <f>IF(ISNUMBER(SEARCH("World",'RawData'!C719)),"",IFERROR(G660/H660,"-"))</f>
        <v>0</v>
      </c>
      <c r="J660" s="7" t="str">
        <f>IF(ISNUMBER(SEARCH("World",'RawData'!C719)),"",IF(ISNUMBER(SEARCH("Other",C660)),COUNTIFS('RawData'!B:B,B660,'RawData'!C:C,"&lt;&gt;*World*"),IF(OR(G660="",G660=0),"-",SUMPRODUCT(('RawData'!B$2:B$822=B660)*('RawData'!G$2:G$822&gt;G660)*(ISERROR(SEARCH("World",'RawData'!C$2:C$822)))*(ISERROR(SEARCH("Other",'RawData'!C$2:C$822))))+1)))</f>
        <v>-</v>
      </c>
      <c r="K660" s="14">
        <f>IF(ISNUMBER(SEARCH("World",'RawData'!C719)),"",'RawData'!H719)</f>
        <v>0</v>
      </c>
      <c r="L660" s="14">
        <f>IF(ISNUMBER(SEARCH("World",'RawData'!C719)),"",SUMIFS('RawData'!H:H,'RawData'!B:B,'RawData'!B719,'RawData'!C:C,"*World*"))</f>
        <v>6000000</v>
      </c>
      <c r="M660" s="15">
        <f>IF(ISNUMBER(SEARCH("World",'RawData'!C719)),"",IFERROR(K660/L660,"-"))</f>
        <v>0</v>
      </c>
      <c r="N660" s="7" t="str">
        <f>IF(ISNUMBER(SEARCH("World",'RawData'!C719)),"",IF(ISNUMBER(SEARCH("Other",C660)),COUNTIFS('RawData'!B:B,B660,'RawData'!C:C,"&lt;&gt;*World*"),IF(OR(K660="",K660=0),"-",SUMPRODUCT(('RawData'!B$2:B$822=B660)*('RawData'!H$2:H$822&gt;K660)*(ISERROR(SEARCH("World",'RawData'!C$2:C$822)))*(ISERROR(SEARCH("Other",'RawData'!C$2:C$822))))+1)))</f>
        <v>-</v>
      </c>
    </row>
    <row r="661" spans="1:14" x14ac:dyDescent="0.3">
      <c r="A661" s="4" t="str">
        <f>IF(ISNUMBER(SEARCH("World",'RawData'!C720)),"",'RawData'!A720)</f>
        <v>MCS2026</v>
      </c>
      <c r="B661" s="4" t="str">
        <f>IF(ISNUMBER(SEARCH("World",'RawData'!C720)),"",'RawData'!B720)</f>
        <v>Tin</v>
      </c>
      <c r="C661" s="4" t="str">
        <f>IF(ISNUMBER(SEARCH("World",'RawData'!C720)),"",'RawData'!C720)</f>
        <v>Vietnam</v>
      </c>
      <c r="D661" s="4" t="str">
        <f>IF(ISNUMBER(SEARCH("World",'RawData'!C720)),"",'RawData'!D720)</f>
        <v>Mine production, tin content</v>
      </c>
      <c r="E661" s="4" t="str">
        <f>IF(ISNUMBER(SEARCH("World",'RawData'!C720)),"",IF('RawData'!E720="WT001","kg",IF('RawData'!E720="WT002","ton",IF('RawData'!E720="WT003","k ton",""))))</f>
        <v>ton</v>
      </c>
      <c r="F661" s="14">
        <f>IF(ISNUMBER(SEARCH("World",'RawData'!C720)),"",'RawData'!F720)</f>
        <v>11000</v>
      </c>
      <c r="G661" s="14">
        <f>IF(ISNUMBER(SEARCH("World",'RawData'!C720)),"",'RawData'!G720)</f>
        <v>11000</v>
      </c>
      <c r="H661" s="14">
        <f>IF(ISNUMBER(SEARCH("World",'RawData'!C720)),"",SUMIFS('RawData'!G:G,'RawData'!B:B,'RawData'!B720,'RawData'!C:C,"*World*"))</f>
        <v>290000</v>
      </c>
      <c r="I661" s="15">
        <f>IF(ISNUMBER(SEARCH("World",'RawData'!C720)),"",IFERROR(G661/H661,"-"))</f>
        <v>3.793103448275862E-2</v>
      </c>
      <c r="J661" s="7">
        <f>IF(ISNUMBER(SEARCH("World",'RawData'!C720)),"",IF(ISNUMBER(SEARCH("Other",C661)),COUNTIFS('RawData'!B:B,B661,'RawData'!C:C,"&lt;&gt;*World*"),IF(OR(G661="",G661=0),"-",SUMPRODUCT(('RawData'!B$2:B$822=B661)*('RawData'!G$2:G$822&gt;G661)*(ISERROR(SEARCH("World",'RawData'!C$2:C$822)))*(ISERROR(SEARCH("Other",'RawData'!C$2:C$822))))+1)))</f>
        <v>9</v>
      </c>
      <c r="K661" s="14">
        <f>IF(ISNUMBER(SEARCH("World",'RawData'!C720)),"",'RawData'!H720)</f>
        <v>23000</v>
      </c>
      <c r="L661" s="14">
        <f>IF(ISNUMBER(SEARCH("World",'RawData'!C720)),"",SUMIFS('RawData'!H:H,'RawData'!B:B,'RawData'!B720,'RawData'!C:C,"*World*"))</f>
        <v>6000000</v>
      </c>
      <c r="M661" s="15">
        <f>IF(ISNUMBER(SEARCH("World",'RawData'!C720)),"",IFERROR(K661/L661,"-"))</f>
        <v>3.8333333333333331E-3</v>
      </c>
      <c r="N661" s="7">
        <f>IF(ISNUMBER(SEARCH("World",'RawData'!C720)),"",IF(ISNUMBER(SEARCH("Other",C661)),COUNTIFS('RawData'!B:B,B661,'RawData'!C:C,"&lt;&gt;*World*"),IF(OR(K661="",K661=0),"-",SUMPRODUCT(('RawData'!B$2:B$822=B661)*('RawData'!H$2:H$822&gt;K661)*(ISERROR(SEARCH("World",'RawData'!C$2:C$822)))*(ISERROR(SEARCH("Other",'RawData'!C$2:C$822))))+1)))</f>
        <v>10</v>
      </c>
    </row>
    <row r="662" spans="1:14" x14ac:dyDescent="0.3">
      <c r="A662" s="4" t="str">
        <f>IF(ISNUMBER(SEARCH("World",'RawData'!C722)),"",'RawData'!A722)</f>
        <v>MCS2026</v>
      </c>
      <c r="B662" s="4" t="str">
        <f>IF(ISNUMBER(SEARCH("World",'RawData'!C722)),"",'RawData'!B722)</f>
        <v>Titanium(Ilmentite)</v>
      </c>
      <c r="C662" s="4" t="str">
        <f>IF(ISNUMBER(SEARCH("World",'RawData'!C722)),"",'RawData'!C722)</f>
        <v>Australia</v>
      </c>
      <c r="D662" s="4" t="str">
        <f>IF(ISNUMBER(SEARCH("World",'RawData'!C722)),"",'RawData'!D722)</f>
        <v>Mine production, ilmentite, titanium dioxide (TiO₂) content</v>
      </c>
      <c r="E662" s="4" t="str">
        <f>IF(ISNUMBER(SEARCH("World",'RawData'!C722)),"",IF('RawData'!E722="WT001","kg",IF('RawData'!E722="WT002","ton",IF('RawData'!E722="WT003","k ton",""))))</f>
        <v>k ton</v>
      </c>
      <c r="F662" s="14">
        <f>IF(ISNUMBER(SEARCH("World",'RawData'!C722)),"",'RawData'!F722)</f>
        <v>600</v>
      </c>
      <c r="G662" s="14">
        <f>IF(ISNUMBER(SEARCH("World",'RawData'!C722)),"",'RawData'!G722)</f>
        <v>780</v>
      </c>
      <c r="H662" s="14">
        <f>IF(ISNUMBER(SEARCH("World",'RawData'!C722)),"",SUMIFS('RawData'!G:G,'RawData'!B:B,'RawData'!B722,'RawData'!C:C,"*World*"))</f>
        <v>9400</v>
      </c>
      <c r="I662" s="15">
        <f>IF(ISNUMBER(SEARCH("World",'RawData'!C722)),"",IFERROR(G662/H662,"-"))</f>
        <v>8.2978723404255314E-2</v>
      </c>
      <c r="J662" s="7">
        <f>IF(ISNUMBER(SEARCH("World",'RawData'!C722)),"",IF(ISNUMBER(SEARCH("Other",C662)),COUNTIFS('RawData'!B:B,B662,'RawData'!C:C,"&lt;&gt;*World*"),IF(OR(G662="",G662=0),"-",SUMPRODUCT(('RawData'!B$2:B$822=B662)*('RawData'!G$2:G$822&gt;G662)*(ISERROR(SEARCH("World",'RawData'!C$2:C$822)))*(ISERROR(SEARCH("Other",'RawData'!C$2:C$822))))+1)))</f>
        <v>4</v>
      </c>
      <c r="K662" s="14">
        <f>IF(ISNUMBER(SEARCH("World",'RawData'!C722)),"",'RawData'!H722)</f>
        <v>170000</v>
      </c>
      <c r="L662" s="14">
        <f>IF(ISNUMBER(SEARCH("World",'RawData'!C722)),"",SUMIFS('RawData'!H:H,'RawData'!B:B,'RawData'!B722,'RawData'!C:C,"*World*"))</f>
        <v>490000</v>
      </c>
      <c r="M662" s="15">
        <f>IF(ISNUMBER(SEARCH("World",'RawData'!C722)),"",IFERROR(K662/L662,"-"))</f>
        <v>0.34693877551020408</v>
      </c>
      <c r="N662" s="7">
        <f>IF(ISNUMBER(SEARCH("World",'RawData'!C722)),"",IF(ISNUMBER(SEARCH("Other",C662)),COUNTIFS('RawData'!B:B,B662,'RawData'!C:C,"&lt;&gt;*World*"),IF(OR(K662="",K662=0),"-",SUMPRODUCT(('RawData'!B$2:B$822=B662)*('RawData'!H$2:H$822&gt;K662)*(ISERROR(SEARCH("World",'RawData'!C$2:C$822)))*(ISERROR(SEARCH("Other",'RawData'!C$2:C$822))))+1)))</f>
        <v>1</v>
      </c>
    </row>
    <row r="663" spans="1:14" x14ac:dyDescent="0.3">
      <c r="A663" s="4" t="str">
        <f>IF(ISNUMBER(SEARCH("World",'RawData'!C723)),"",'RawData'!A723)</f>
        <v>MCS2026</v>
      </c>
      <c r="B663" s="4" t="str">
        <f>IF(ISNUMBER(SEARCH("World",'RawData'!C723)),"",'RawData'!B723)</f>
        <v>Titanium(Ilmentite)</v>
      </c>
      <c r="C663" s="4" t="str">
        <f>IF(ISNUMBER(SEARCH("World",'RawData'!C723)),"",'RawData'!C723)</f>
        <v xml:space="preserve">Canada </v>
      </c>
      <c r="D663" s="4" t="str">
        <f>IF(ISNUMBER(SEARCH("World",'RawData'!C723)),"",'RawData'!D723)</f>
        <v>Mine production, ilmentite, titanium dioxide (TiO₂) content</v>
      </c>
      <c r="E663" s="4" t="str">
        <f>IF(ISNUMBER(SEARCH("World",'RawData'!C723)),"",IF('RawData'!E723="WT001","kg",IF('RawData'!E723="WT002","ton",IF('RawData'!E723="WT003","k ton",""))))</f>
        <v>k ton</v>
      </c>
      <c r="F663" s="14">
        <f>IF(ISNUMBER(SEARCH("World",'RawData'!C723)),"",'RawData'!F723)</f>
        <v>360</v>
      </c>
      <c r="G663" s="14">
        <f>IF(ISNUMBER(SEARCH("World",'RawData'!C723)),"",'RawData'!G723)</f>
        <v>360</v>
      </c>
      <c r="H663" s="14">
        <f>IF(ISNUMBER(SEARCH("World",'RawData'!C723)),"",SUMIFS('RawData'!G:G,'RawData'!B:B,'RawData'!B723,'RawData'!C:C,"*World*"))</f>
        <v>9400</v>
      </c>
      <c r="I663" s="15">
        <f>IF(ISNUMBER(SEARCH("World",'RawData'!C723)),"",IFERROR(G663/H663,"-"))</f>
        <v>3.8297872340425532E-2</v>
      </c>
      <c r="J663" s="7">
        <f>IF(ISNUMBER(SEARCH("World",'RawData'!C723)),"",IF(ISNUMBER(SEARCH("Other",C663)),COUNTIFS('RawData'!B:B,B663,'RawData'!C:C,"&lt;&gt;*World*"),IF(OR(G663="",G663=0),"-",SUMPRODUCT(('RawData'!B$2:B$822=B663)*('RawData'!G$2:G$822&gt;G663)*(ISERROR(SEARCH("World",'RawData'!C$2:C$822)))*(ISERROR(SEARCH("Other",'RawData'!C$2:C$822))))+1)))</f>
        <v>7</v>
      </c>
      <c r="K663" s="14">
        <f>IF(ISNUMBER(SEARCH("World",'RawData'!C723)),"",'RawData'!H723)</f>
        <v>50000</v>
      </c>
      <c r="L663" s="14">
        <f>IF(ISNUMBER(SEARCH("World",'RawData'!C723)),"",SUMIFS('RawData'!H:H,'RawData'!B:B,'RawData'!B723,'RawData'!C:C,"*World*"))</f>
        <v>490000</v>
      </c>
      <c r="M663" s="15">
        <f>IF(ISNUMBER(SEARCH("World",'RawData'!C723)),"",IFERROR(K663/L663,"-"))</f>
        <v>0.10204081632653061</v>
      </c>
      <c r="N663" s="7">
        <f>IF(ISNUMBER(SEARCH("World",'RawData'!C723)),"",IF(ISNUMBER(SEARCH("Other",C663)),COUNTIFS('RawData'!B:B,B663,'RawData'!C:C,"&lt;&gt;*World*"),IF(OR(K663="",K663=0),"-",SUMPRODUCT(('RawData'!B$2:B$822=B663)*('RawData'!H$2:H$822&gt;K663)*(ISERROR(SEARCH("World",'RawData'!C$2:C$822)))*(ISERROR(SEARCH("Other",'RawData'!C$2:C$822))))+1)))</f>
        <v>3</v>
      </c>
    </row>
    <row r="664" spans="1:14" x14ac:dyDescent="0.3">
      <c r="A664" s="4" t="str">
        <f>IF(ISNUMBER(SEARCH("World",'RawData'!C724)),"",'RawData'!A724)</f>
        <v>MCS2026</v>
      </c>
      <c r="B664" s="4" t="str">
        <f>IF(ISNUMBER(SEARCH("World",'RawData'!C724)),"",'RawData'!B724)</f>
        <v>Titanium(Ilmentite)</v>
      </c>
      <c r="C664" s="4" t="str">
        <f>IF(ISNUMBER(SEARCH("World",'RawData'!C724)),"",'RawData'!C724)</f>
        <v>China</v>
      </c>
      <c r="D664" s="4" t="str">
        <f>IF(ISNUMBER(SEARCH("World",'RawData'!C724)),"",'RawData'!D724)</f>
        <v>Mine production, ilmentite, titanium dioxide (TiO₂) content</v>
      </c>
      <c r="E664" s="4" t="str">
        <f>IF(ISNUMBER(SEARCH("World",'RawData'!C724)),"",IF('RawData'!E724="WT001","kg",IF('RawData'!E724="WT002","ton",IF('RawData'!E724="WT003","k ton",""))))</f>
        <v>k ton</v>
      </c>
      <c r="F664" s="14">
        <f>IF(ISNUMBER(SEARCH("World",'RawData'!C724)),"",'RawData'!F724)</f>
        <v>3040</v>
      </c>
      <c r="G664" s="14">
        <f>IF(ISNUMBER(SEARCH("World",'RawData'!C724)),"",'RawData'!G724)</f>
        <v>3200</v>
      </c>
      <c r="H664" s="14">
        <f>IF(ISNUMBER(SEARCH("World",'RawData'!C724)),"",SUMIFS('RawData'!G:G,'RawData'!B:B,'RawData'!B724,'RawData'!C:C,"*World*"))</f>
        <v>9400</v>
      </c>
      <c r="I664" s="15">
        <f>IF(ISNUMBER(SEARCH("World",'RawData'!C724)),"",IFERROR(G664/H664,"-"))</f>
        <v>0.34042553191489361</v>
      </c>
      <c r="J664" s="7">
        <f>IF(ISNUMBER(SEARCH("World",'RawData'!C724)),"",IF(ISNUMBER(SEARCH("Other",C664)),COUNTIFS('RawData'!B:B,B664,'RawData'!C:C,"&lt;&gt;*World*"),IF(OR(G664="",G664=0),"-",SUMPRODUCT(('RawData'!B$2:B$822=B664)*('RawData'!G$2:G$822&gt;G664)*(ISERROR(SEARCH("World",'RawData'!C$2:C$822)))*(ISERROR(SEARCH("Other",'RawData'!C$2:C$822))))+1)))</f>
        <v>1</v>
      </c>
      <c r="K664" s="14">
        <f>IF(ISNUMBER(SEARCH("World",'RawData'!C724)),"",'RawData'!H724)</f>
        <v>110000</v>
      </c>
      <c r="L664" s="14">
        <f>IF(ISNUMBER(SEARCH("World",'RawData'!C724)),"",SUMIFS('RawData'!H:H,'RawData'!B:B,'RawData'!B724,'RawData'!C:C,"*World*"))</f>
        <v>490000</v>
      </c>
      <c r="M664" s="15">
        <f>IF(ISNUMBER(SEARCH("World",'RawData'!C724)),"",IFERROR(K664/L664,"-"))</f>
        <v>0.22448979591836735</v>
      </c>
      <c r="N664" s="7">
        <f>IF(ISNUMBER(SEARCH("World",'RawData'!C724)),"",IF(ISNUMBER(SEARCH("Other",C664)),COUNTIFS('RawData'!B:B,B664,'RawData'!C:C,"&lt;&gt;*World*"),IF(OR(K664="",K664=0),"-",SUMPRODUCT(('RawData'!B$2:B$822=B664)*('RawData'!H$2:H$822&gt;K664)*(ISERROR(SEARCH("World",'RawData'!C$2:C$822)))*(ISERROR(SEARCH("Other",'RawData'!C$2:C$822))))+1)))</f>
        <v>2</v>
      </c>
    </row>
    <row r="665" spans="1:14" x14ac:dyDescent="0.3">
      <c r="A665" s="4" t="str">
        <f>IF(ISNUMBER(SEARCH("World",'RawData'!C725)),"",'RawData'!A725)</f>
        <v>MCS2026</v>
      </c>
      <c r="B665" s="4" t="str">
        <f>IF(ISNUMBER(SEARCH("World",'RawData'!C725)),"",'RawData'!B725)</f>
        <v>Titanium(Ilmentite)</v>
      </c>
      <c r="C665" s="4" t="str">
        <f>IF(ISNUMBER(SEARCH("World",'RawData'!C725)),"",'RawData'!C725)</f>
        <v>India</v>
      </c>
      <c r="D665" s="4" t="str">
        <f>IF(ISNUMBER(SEARCH("World",'RawData'!C725)),"",'RawData'!D725)</f>
        <v>Mine production, ilmentite, titanium dioxide (TiO₂) content</v>
      </c>
      <c r="E665" s="4" t="str">
        <f>IF(ISNUMBER(SEARCH("World",'RawData'!C725)),"",IF('RawData'!E725="WT001","kg",IF('RawData'!E725="WT002","ton",IF('RawData'!E725="WT003","k ton",""))))</f>
        <v>k ton</v>
      </c>
      <c r="F665" s="14">
        <f>IF(ISNUMBER(SEARCH("World",'RawData'!C725)),"",'RawData'!F725)</f>
        <v>230</v>
      </c>
      <c r="G665" s="14">
        <f>IF(ISNUMBER(SEARCH("World",'RawData'!C725)),"",'RawData'!G725)</f>
        <v>240</v>
      </c>
      <c r="H665" s="14">
        <f>IF(ISNUMBER(SEARCH("World",'RawData'!C725)),"",SUMIFS('RawData'!G:G,'RawData'!B:B,'RawData'!B725,'RawData'!C:C,"*World*"))</f>
        <v>9400</v>
      </c>
      <c r="I665" s="15">
        <f>IF(ISNUMBER(SEARCH("World",'RawData'!C725)),"",IFERROR(G665/H665,"-"))</f>
        <v>2.553191489361702E-2</v>
      </c>
      <c r="J665" s="7">
        <f>IF(ISNUMBER(SEARCH("World",'RawData'!C725)),"",IF(ISNUMBER(SEARCH("Other",C665)),COUNTIFS('RawData'!B:B,B665,'RawData'!C:C,"&lt;&gt;*World*"),IF(OR(G665="",G665=0),"-",SUMPRODUCT(('RawData'!B$2:B$822=B665)*('RawData'!G$2:G$822&gt;G665)*(ISERROR(SEARCH("World",'RawData'!C$2:C$822)))*(ISERROR(SEARCH("Other",'RawData'!C$2:C$822))))+1)))</f>
        <v>9</v>
      </c>
      <c r="K665" s="14">
        <f>IF(ISNUMBER(SEARCH("World",'RawData'!C725)),"",'RawData'!H725)</f>
        <v>15000</v>
      </c>
      <c r="L665" s="14">
        <f>IF(ISNUMBER(SEARCH("World",'RawData'!C725)),"",SUMIFS('RawData'!H:H,'RawData'!B:B,'RawData'!B725,'RawData'!C:C,"*World*"))</f>
        <v>490000</v>
      </c>
      <c r="M665" s="15">
        <f>IF(ISNUMBER(SEARCH("World",'RawData'!C725)),"",IFERROR(K665/L665,"-"))</f>
        <v>3.0612244897959183E-2</v>
      </c>
      <c r="N665" s="7">
        <f>IF(ISNUMBER(SEARCH("World",'RawData'!C725)),"",IF(ISNUMBER(SEARCH("Other",C665)),COUNTIFS('RawData'!B:B,B665,'RawData'!C:C,"&lt;&gt;*World*"),IF(OR(K665="",K665=0),"-",SUMPRODUCT(('RawData'!B$2:B$822=B665)*('RawData'!H$2:H$822&gt;K665)*(ISERROR(SEARCH("World",'RawData'!C$2:C$822)))*(ISERROR(SEARCH("Other",'RawData'!C$2:C$822))))+1)))</f>
        <v>7</v>
      </c>
    </row>
    <row r="666" spans="1:14" x14ac:dyDescent="0.3">
      <c r="A666" s="4" t="str">
        <f>IF(ISNUMBER(SEARCH("World",'RawData'!C726)),"",'RawData'!A726)</f>
        <v>MCS2026</v>
      </c>
      <c r="B666" s="4" t="str">
        <f>IF(ISNUMBER(SEARCH("World",'RawData'!C726)),"",'RawData'!B726)</f>
        <v>Titanium(Ilmentite)</v>
      </c>
      <c r="C666" s="4" t="str">
        <f>IF(ISNUMBER(SEARCH("World",'RawData'!C726)),"",'RawData'!C726)</f>
        <v>Madagascar</v>
      </c>
      <c r="D666" s="4" t="str">
        <f>IF(ISNUMBER(SEARCH("World",'RawData'!C726)),"",'RawData'!D726)</f>
        <v>Mine production, ilmentite, titanium dioxide (TiO₂) content</v>
      </c>
      <c r="E666" s="4" t="str">
        <f>IF(ISNUMBER(SEARCH("World",'RawData'!C726)),"",IF('RawData'!E726="WT001","kg",IF('RawData'!E726="WT002","ton",IF('RawData'!E726="WT003","k ton",""))))</f>
        <v>k ton</v>
      </c>
      <c r="F666" s="14">
        <f>IF(ISNUMBER(SEARCH("World",'RawData'!C726)),"",'RawData'!F726)</f>
        <v>300</v>
      </c>
      <c r="G666" s="14">
        <f>IF(ISNUMBER(SEARCH("World",'RawData'!C726)),"",'RawData'!G726)</f>
        <v>300</v>
      </c>
      <c r="H666" s="14">
        <f>IF(ISNUMBER(SEARCH("World",'RawData'!C726)),"",SUMIFS('RawData'!G:G,'RawData'!B:B,'RawData'!B726,'RawData'!C:C,"*World*"))</f>
        <v>9400</v>
      </c>
      <c r="I666" s="15">
        <f>IF(ISNUMBER(SEARCH("World",'RawData'!C726)),"",IFERROR(G666/H666,"-"))</f>
        <v>3.1914893617021274E-2</v>
      </c>
      <c r="J666" s="7">
        <f>IF(ISNUMBER(SEARCH("World",'RawData'!C726)),"",IF(ISNUMBER(SEARCH("Other",C666)),COUNTIFS('RawData'!B:B,B666,'RawData'!C:C,"&lt;&gt;*World*"),IF(OR(G666="",G666=0),"-",SUMPRODUCT(('RawData'!B$2:B$822=B666)*('RawData'!G$2:G$822&gt;G666)*(ISERROR(SEARCH("World",'RawData'!C$2:C$822)))*(ISERROR(SEARCH("Other",'RawData'!C$2:C$822))))+1)))</f>
        <v>8</v>
      </c>
      <c r="K666" s="14">
        <f>IF(ISNUMBER(SEARCH("World",'RawData'!C726)),"",'RawData'!H726)</f>
        <v>30000</v>
      </c>
      <c r="L666" s="14">
        <f>IF(ISNUMBER(SEARCH("World",'RawData'!C726)),"",SUMIFS('RawData'!H:H,'RawData'!B:B,'RawData'!B726,'RawData'!C:C,"*World*"))</f>
        <v>490000</v>
      </c>
      <c r="M666" s="15">
        <f>IF(ISNUMBER(SEARCH("World",'RawData'!C726)),"",IFERROR(K666/L666,"-"))</f>
        <v>6.1224489795918366E-2</v>
      </c>
      <c r="N666" s="7">
        <f>IF(ISNUMBER(SEARCH("World",'RawData'!C726)),"",IF(ISNUMBER(SEARCH("Other",C666)),COUNTIFS('RawData'!B:B,B666,'RawData'!C:C,"&lt;&gt;*World*"),IF(OR(K666="",K666=0),"-",SUMPRODUCT(('RawData'!B$2:B$822=B666)*('RawData'!H$2:H$822&gt;K666)*(ISERROR(SEARCH("World",'RawData'!C$2:C$822)))*(ISERROR(SEARCH("Other",'RawData'!C$2:C$822))))+1)))</f>
        <v>5</v>
      </c>
    </row>
    <row r="667" spans="1:14" x14ac:dyDescent="0.3">
      <c r="A667" s="4" t="str">
        <f>IF(ISNUMBER(SEARCH("World",'RawData'!C727)),"",'RawData'!A727)</f>
        <v>MCS2026</v>
      </c>
      <c r="B667" s="4" t="str">
        <f>IF(ISNUMBER(SEARCH("World",'RawData'!C727)),"",'RawData'!B727)</f>
        <v>Titanium(Ilmentite)</v>
      </c>
      <c r="C667" s="4" t="str">
        <f>IF(ISNUMBER(SEARCH("World",'RawData'!C727)),"",'RawData'!C727)</f>
        <v>Mozambique</v>
      </c>
      <c r="D667" s="4" t="str">
        <f>IF(ISNUMBER(SEARCH("World",'RawData'!C727)),"",'RawData'!D727)</f>
        <v>Mine production, ilmentite, titanium dioxide (TiO₂) content</v>
      </c>
      <c r="E667" s="4" t="str">
        <f>IF(ISNUMBER(SEARCH("World",'RawData'!C727)),"",IF('RawData'!E727="WT001","kg",IF('RawData'!E727="WT002","ton",IF('RawData'!E727="WT003","k ton",""))))</f>
        <v>k ton</v>
      </c>
      <c r="F667" s="14">
        <f>IF(ISNUMBER(SEARCH("World",'RawData'!C727)),"",'RawData'!F727)</f>
        <v>1930</v>
      </c>
      <c r="G667" s="14">
        <f>IF(ISNUMBER(SEARCH("World",'RawData'!C727)),"",'RawData'!G727)</f>
        <v>1900</v>
      </c>
      <c r="H667" s="14">
        <f>IF(ISNUMBER(SEARCH("World",'RawData'!C727)),"",SUMIFS('RawData'!G:G,'RawData'!B:B,'RawData'!B727,'RawData'!C:C,"*World*"))</f>
        <v>9400</v>
      </c>
      <c r="I667" s="15">
        <f>IF(ISNUMBER(SEARCH("World",'RawData'!C727)),"",IFERROR(G667/H667,"-"))</f>
        <v>0.20212765957446807</v>
      </c>
      <c r="J667" s="7">
        <f>IF(ISNUMBER(SEARCH("World",'RawData'!C727)),"",IF(ISNUMBER(SEARCH("Other",C667)),COUNTIFS('RawData'!B:B,B667,'RawData'!C:C,"&lt;&gt;*World*"),IF(OR(G667="",G667=0),"-",SUMPRODUCT(('RawData'!B$2:B$822=B667)*('RawData'!G$2:G$822&gt;G667)*(ISERROR(SEARCH("World",'RawData'!C$2:C$822)))*(ISERROR(SEARCH("Other",'RawData'!C$2:C$822))))+1)))</f>
        <v>2</v>
      </c>
      <c r="K667" s="14">
        <f>IF(ISNUMBER(SEARCH("World",'RawData'!C727)),"",'RawData'!H727)</f>
        <v>0</v>
      </c>
      <c r="L667" s="14">
        <f>IF(ISNUMBER(SEARCH("World",'RawData'!C727)),"",SUMIFS('RawData'!H:H,'RawData'!B:B,'RawData'!B727,'RawData'!C:C,"*World*"))</f>
        <v>490000</v>
      </c>
      <c r="M667" s="15">
        <f>IF(ISNUMBER(SEARCH("World",'RawData'!C727)),"",IFERROR(K667/L667,"-"))</f>
        <v>0</v>
      </c>
      <c r="N667" s="7" t="str">
        <f>IF(ISNUMBER(SEARCH("World",'RawData'!C727)),"",IF(ISNUMBER(SEARCH("Other",C667)),COUNTIFS('RawData'!B:B,B667,'RawData'!C:C,"&lt;&gt;*World*"),IF(OR(K667="",K667=0),"-",SUMPRODUCT(('RawData'!B$2:B$822=B667)*('RawData'!H$2:H$822&gt;K667)*(ISERROR(SEARCH("World",'RawData'!C$2:C$822)))*(ISERROR(SEARCH("Other",'RawData'!C$2:C$822))))+1)))</f>
        <v>-</v>
      </c>
    </row>
    <row r="668" spans="1:14" x14ac:dyDescent="0.3">
      <c r="A668" s="4" t="str">
        <f>IF(ISNUMBER(SEARCH("World",'RawData'!C728)),"",'RawData'!A728)</f>
        <v>MCS2026</v>
      </c>
      <c r="B668" s="4" t="str">
        <f>IF(ISNUMBER(SEARCH("World",'RawData'!C728)),"",'RawData'!B728)</f>
        <v>Titanium(Ilmentite)</v>
      </c>
      <c r="C668" s="4" t="str">
        <f>IF(ISNUMBER(SEARCH("World",'RawData'!C728)),"",'RawData'!C728)</f>
        <v>Norway</v>
      </c>
      <c r="D668" s="4" t="str">
        <f>IF(ISNUMBER(SEARCH("World",'RawData'!C728)),"",'RawData'!D728)</f>
        <v>Mine production, ilmentite, titanium dioxide (TiO₂) content</v>
      </c>
      <c r="E668" s="4" t="str">
        <f>IF(ISNUMBER(SEARCH("World",'RawData'!C728)),"",IF('RawData'!E728="WT001","kg",IF('RawData'!E728="WT002","ton",IF('RawData'!E728="WT003","k ton",""))))</f>
        <v>k ton</v>
      </c>
      <c r="F668" s="14">
        <f>IF(ISNUMBER(SEARCH("World",'RawData'!C728)),"",'RawData'!F728)</f>
        <v>432</v>
      </c>
      <c r="G668" s="14">
        <f>IF(ISNUMBER(SEARCH("World",'RawData'!C728)),"",'RawData'!G728)</f>
        <v>390</v>
      </c>
      <c r="H668" s="14">
        <f>IF(ISNUMBER(SEARCH("World",'RawData'!C728)),"",SUMIFS('RawData'!G:G,'RawData'!B:B,'RawData'!B728,'RawData'!C:C,"*World*"))</f>
        <v>9400</v>
      </c>
      <c r="I668" s="15">
        <f>IF(ISNUMBER(SEARCH("World",'RawData'!C728)),"",IFERROR(G668/H668,"-"))</f>
        <v>4.1489361702127657E-2</v>
      </c>
      <c r="J668" s="7">
        <f>IF(ISNUMBER(SEARCH("World",'RawData'!C728)),"",IF(ISNUMBER(SEARCH("Other",C668)),COUNTIFS('RawData'!B:B,B668,'RawData'!C:C,"&lt;&gt;*World*"),IF(OR(G668="",G668=0),"-",SUMPRODUCT(('RawData'!B$2:B$822=B668)*('RawData'!G$2:G$822&gt;G668)*(ISERROR(SEARCH("World",'RawData'!C$2:C$822)))*(ISERROR(SEARCH("Other",'RawData'!C$2:C$822))))+1)))</f>
        <v>5</v>
      </c>
      <c r="K668" s="14">
        <f>IF(ISNUMBER(SEARCH("World",'RawData'!C728)),"",'RawData'!H728)</f>
        <v>37000</v>
      </c>
      <c r="L668" s="14">
        <f>IF(ISNUMBER(SEARCH("World",'RawData'!C728)),"",SUMIFS('RawData'!H:H,'RawData'!B:B,'RawData'!B728,'RawData'!C:C,"*World*"))</f>
        <v>490000</v>
      </c>
      <c r="M668" s="15">
        <f>IF(ISNUMBER(SEARCH("World",'RawData'!C728)),"",IFERROR(K668/L668,"-"))</f>
        <v>7.5510204081632656E-2</v>
      </c>
      <c r="N668" s="7">
        <f>IF(ISNUMBER(SEARCH("World",'RawData'!C728)),"",IF(ISNUMBER(SEARCH("Other",C668)),COUNTIFS('RawData'!B:B,B668,'RawData'!C:C,"&lt;&gt;*World*"),IF(OR(K668="",K668=0),"-",SUMPRODUCT(('RawData'!B$2:B$822=B668)*('RawData'!H$2:H$822&gt;K668)*(ISERROR(SEARCH("World",'RawData'!C$2:C$822)))*(ISERROR(SEARCH("Other",'RawData'!C$2:C$822))))+1)))</f>
        <v>4</v>
      </c>
    </row>
    <row r="669" spans="1:14" x14ac:dyDescent="0.3">
      <c r="A669" s="4" t="str">
        <f>IF(ISNUMBER(SEARCH("World",'RawData'!C729)),"",'RawData'!A729)</f>
        <v>MCS2026</v>
      </c>
      <c r="B669" s="4" t="str">
        <f>IF(ISNUMBER(SEARCH("World",'RawData'!C729)),"",'RawData'!B729)</f>
        <v>Titanium(Ilmentite)</v>
      </c>
      <c r="C669" s="4" t="str">
        <f>IF(ISNUMBER(SEARCH("World",'RawData'!C729)),"",'RawData'!C729)</f>
        <v>Other Countries</v>
      </c>
      <c r="D669" s="4" t="str">
        <f>IF(ISNUMBER(SEARCH("World",'RawData'!C729)),"",'RawData'!D729)</f>
        <v>Mine production, ilmentite, titanium dioxide (TiO₂) content</v>
      </c>
      <c r="E669" s="4" t="str">
        <f>IF(ISNUMBER(SEARCH("World",'RawData'!C729)),"",IF('RawData'!E729="WT001","kg",IF('RawData'!E729="WT002","ton",IF('RawData'!E729="WT003","k ton",""))))</f>
        <v>k ton</v>
      </c>
      <c r="F669" s="14">
        <f>IF(ISNUMBER(SEARCH("World",'RawData'!C729)),"",'RawData'!F729)</f>
        <v>332</v>
      </c>
      <c r="G669" s="14">
        <f>IF(ISNUMBER(SEARCH("World",'RawData'!C729)),"",'RawData'!G729)</f>
        <v>230</v>
      </c>
      <c r="H669" s="14">
        <f>IF(ISNUMBER(SEARCH("World",'RawData'!C729)),"",SUMIFS('RawData'!G:G,'RawData'!B:B,'RawData'!B729,'RawData'!C:C,"*World*"))</f>
        <v>9400</v>
      </c>
      <c r="I669" s="15">
        <f>IF(ISNUMBER(SEARCH("World",'RawData'!C729)),"",IFERROR(G669/H669,"-"))</f>
        <v>2.4468085106382979E-2</v>
      </c>
      <c r="J669" s="7">
        <f>IF(ISNUMBER(SEARCH("World",'RawData'!C729)),"",IF(ISNUMBER(SEARCH("Other",C669)),COUNTIFS('RawData'!B:B,B669,'RawData'!C:C,"&lt;&gt;*World*"),IF(OR(G669="",G669=0),"-",SUMPRODUCT(('RawData'!B$2:B$822=B669)*('RawData'!G$2:G$822&gt;G669)*(ISERROR(SEARCH("World",'RawData'!C$2:C$822)))*(ISERROR(SEARCH("Other",'RawData'!C$2:C$822))))+1)))</f>
        <v>12</v>
      </c>
      <c r="K669" s="14">
        <f>IF(ISNUMBER(SEARCH("World",'RawData'!C729)),"",'RawData'!H729)</f>
        <v>46000</v>
      </c>
      <c r="L669" s="14">
        <f>IF(ISNUMBER(SEARCH("World",'RawData'!C729)),"",SUMIFS('RawData'!H:H,'RawData'!B:B,'RawData'!B729,'RawData'!C:C,"*World*"))</f>
        <v>490000</v>
      </c>
      <c r="M669" s="15">
        <f>IF(ISNUMBER(SEARCH("World",'RawData'!C729)),"",IFERROR(K669/L669,"-"))</f>
        <v>9.3877551020408165E-2</v>
      </c>
      <c r="N669" s="7">
        <f>IF(ISNUMBER(SEARCH("World",'RawData'!C729)),"",IF(ISNUMBER(SEARCH("Other",C669)),COUNTIFS('RawData'!B:B,B669,'RawData'!C:C,"&lt;&gt;*World*"),IF(OR(K669="",K669=0),"-",SUMPRODUCT(('RawData'!B$2:B$822=B669)*('RawData'!H$2:H$822&gt;K669)*(ISERROR(SEARCH("World",'RawData'!C$2:C$822)))*(ISERROR(SEARCH("Other",'RawData'!C$2:C$822))))+1)))</f>
        <v>12</v>
      </c>
    </row>
    <row r="670" spans="1:14" x14ac:dyDescent="0.3">
      <c r="A670" s="4" t="str">
        <f>IF(ISNUMBER(SEARCH("World",'RawData'!C730)),"",'RawData'!A730)</f>
        <v>MCS2026</v>
      </c>
      <c r="B670" s="4" t="str">
        <f>IF(ISNUMBER(SEARCH("World",'RawData'!C730)),"",'RawData'!B730)</f>
        <v>Titanium(Ilmentite)</v>
      </c>
      <c r="C670" s="4" t="str">
        <f>IF(ISNUMBER(SEARCH("World",'RawData'!C730)),"",'RawData'!C730)</f>
        <v>Senegal</v>
      </c>
      <c r="D670" s="4" t="str">
        <f>IF(ISNUMBER(SEARCH("World",'RawData'!C730)),"",'RawData'!D730)</f>
        <v>Mine production, ilmentite, titanium dioxide (TiO₂) content</v>
      </c>
      <c r="E670" s="4" t="str">
        <f>IF(ISNUMBER(SEARCH("World",'RawData'!C730)),"",IF('RawData'!E730="WT001","kg",IF('RawData'!E730="WT002","ton",IF('RawData'!E730="WT003","k ton",""))))</f>
        <v>k ton</v>
      </c>
      <c r="F670" s="14">
        <f>IF(ISNUMBER(SEARCH("World",'RawData'!C730)),"",'RawData'!F730)</f>
        <v>345</v>
      </c>
      <c r="G670" s="14">
        <f>IF(ISNUMBER(SEARCH("World",'RawData'!C730)),"",'RawData'!G730)</f>
        <v>370</v>
      </c>
      <c r="H670" s="14">
        <f>IF(ISNUMBER(SEARCH("World",'RawData'!C730)),"",SUMIFS('RawData'!G:G,'RawData'!B:B,'RawData'!B730,'RawData'!C:C,"*World*"))</f>
        <v>9400</v>
      </c>
      <c r="I670" s="15">
        <f>IF(ISNUMBER(SEARCH("World",'RawData'!C730)),"",IFERROR(G670/H670,"-"))</f>
        <v>3.9361702127659576E-2</v>
      </c>
      <c r="J670" s="7">
        <f>IF(ISNUMBER(SEARCH("World",'RawData'!C730)),"",IF(ISNUMBER(SEARCH("Other",C670)),COUNTIFS('RawData'!B:B,B670,'RawData'!C:C,"&lt;&gt;*World*"),IF(OR(G670="",G670=0),"-",SUMPRODUCT(('RawData'!B$2:B$822=B670)*('RawData'!G$2:G$822&gt;G670)*(ISERROR(SEARCH("World",'RawData'!C$2:C$822)))*(ISERROR(SEARCH("Other",'RawData'!C$2:C$822))))+1)))</f>
        <v>6</v>
      </c>
      <c r="K670" s="14">
        <f>IF(ISNUMBER(SEARCH("World",'RawData'!C730)),"",'RawData'!H730)</f>
        <v>0</v>
      </c>
      <c r="L670" s="14">
        <f>IF(ISNUMBER(SEARCH("World",'RawData'!C730)),"",SUMIFS('RawData'!H:H,'RawData'!B:B,'RawData'!B730,'RawData'!C:C,"*World*"))</f>
        <v>490000</v>
      </c>
      <c r="M670" s="15">
        <f>IF(ISNUMBER(SEARCH("World",'RawData'!C730)),"",IFERROR(K670/L670,"-"))</f>
        <v>0</v>
      </c>
      <c r="N670" s="7" t="str">
        <f>IF(ISNUMBER(SEARCH("World",'RawData'!C730)),"",IF(ISNUMBER(SEARCH("Other",C670)),COUNTIFS('RawData'!B:B,B670,'RawData'!C:C,"&lt;&gt;*World*"),IF(OR(K670="",K670=0),"-",SUMPRODUCT(('RawData'!B$2:B$822=B670)*('RawData'!H$2:H$822&gt;K670)*(ISERROR(SEARCH("World",'RawData'!C$2:C$822)))*(ISERROR(SEARCH("Other",'RawData'!C$2:C$822))))+1)))</f>
        <v>-</v>
      </c>
    </row>
    <row r="671" spans="1:14" x14ac:dyDescent="0.3">
      <c r="A671" s="4" t="str">
        <f>IF(ISNUMBER(SEARCH("World",'RawData'!C731)),"",'RawData'!A731)</f>
        <v>MCS2026</v>
      </c>
      <c r="B671" s="4" t="str">
        <f>IF(ISNUMBER(SEARCH("World",'RawData'!C731)),"",'RawData'!B731)</f>
        <v>Titanium(Ilmentite)</v>
      </c>
      <c r="C671" s="4" t="str">
        <f>IF(ISNUMBER(SEARCH("World",'RawData'!C731)),"",'RawData'!C731)</f>
        <v xml:space="preserve">South Africa </v>
      </c>
      <c r="D671" s="4" t="str">
        <f>IF(ISNUMBER(SEARCH("World",'RawData'!C731)),"",'RawData'!D731)</f>
        <v>Mine production, ilmentite, titanium dioxide (TiO₂) content</v>
      </c>
      <c r="E671" s="4" t="str">
        <f>IF(ISNUMBER(SEARCH("World",'RawData'!C731)),"",IF('RawData'!E731="WT001","kg",IF('RawData'!E731="WT002","ton",IF('RawData'!E731="WT003","k ton",""))))</f>
        <v>k ton</v>
      </c>
      <c r="F671" s="14">
        <f>IF(ISNUMBER(SEARCH("World",'RawData'!C731)),"",'RawData'!F731)</f>
        <v>1260</v>
      </c>
      <c r="G671" s="14">
        <f>IF(ISNUMBER(SEARCH("World",'RawData'!C731)),"",'RawData'!G731)</f>
        <v>1300</v>
      </c>
      <c r="H671" s="14">
        <f>IF(ISNUMBER(SEARCH("World",'RawData'!C731)),"",SUMIFS('RawData'!G:G,'RawData'!B:B,'RawData'!B731,'RawData'!C:C,"*World*"))</f>
        <v>9400</v>
      </c>
      <c r="I671" s="15">
        <f>IF(ISNUMBER(SEARCH("World",'RawData'!C731)),"",IFERROR(G671/H671,"-"))</f>
        <v>0.13829787234042554</v>
      </c>
      <c r="J671" s="7">
        <f>IF(ISNUMBER(SEARCH("World",'RawData'!C731)),"",IF(ISNUMBER(SEARCH("Other",C671)),COUNTIFS('RawData'!B:B,B671,'RawData'!C:C,"&lt;&gt;*World*"),IF(OR(G671="",G671=0),"-",SUMPRODUCT(('RawData'!B$2:B$822=B671)*('RawData'!G$2:G$822&gt;G671)*(ISERROR(SEARCH("World",'RawData'!C$2:C$822)))*(ISERROR(SEARCH("Other",'RawData'!C$2:C$822))))+1)))</f>
        <v>3</v>
      </c>
      <c r="K671" s="14">
        <f>IF(ISNUMBER(SEARCH("World",'RawData'!C731)),"",'RawData'!H731)</f>
        <v>28000</v>
      </c>
      <c r="L671" s="14">
        <f>IF(ISNUMBER(SEARCH("World",'RawData'!C731)),"",SUMIFS('RawData'!H:H,'RawData'!B:B,'RawData'!B731,'RawData'!C:C,"*World*"))</f>
        <v>490000</v>
      </c>
      <c r="M671" s="15">
        <f>IF(ISNUMBER(SEARCH("World",'RawData'!C731)),"",IFERROR(K671/L671,"-"))</f>
        <v>5.7142857142857141E-2</v>
      </c>
      <c r="N671" s="7">
        <f>IF(ISNUMBER(SEARCH("World",'RawData'!C731)),"",IF(ISNUMBER(SEARCH("Other",C671)),COUNTIFS('RawData'!B:B,B671,'RawData'!C:C,"&lt;&gt;*World*"),IF(OR(K671="",K671=0),"-",SUMPRODUCT(('RawData'!B$2:B$822=B671)*('RawData'!H$2:H$822&gt;K671)*(ISERROR(SEARCH("World",'RawData'!C$2:C$822)))*(ISERROR(SEARCH("Other",'RawData'!C$2:C$822))))+1)))</f>
        <v>6</v>
      </c>
    </row>
    <row r="672" spans="1:14" x14ac:dyDescent="0.3">
      <c r="A672" s="4" t="str">
        <f>IF(ISNUMBER(SEARCH("World",'RawData'!C732)),"",'RawData'!A732)</f>
        <v>MCS2026</v>
      </c>
      <c r="B672" s="4" t="str">
        <f>IF(ISNUMBER(SEARCH("World",'RawData'!C732)),"",'RawData'!B732)</f>
        <v>Titanium(Ilmentite)</v>
      </c>
      <c r="C672" s="4" t="str">
        <f>IF(ISNUMBER(SEARCH("World",'RawData'!C732)),"",'RawData'!C732)</f>
        <v>Ukraine</v>
      </c>
      <c r="D672" s="4" t="str">
        <f>IF(ISNUMBER(SEARCH("World",'RawData'!C732)),"",'RawData'!D732)</f>
        <v>Mine production, ilmentite, titanium dioxide (TiO₂) content</v>
      </c>
      <c r="E672" s="4" t="str">
        <f>IF(ISNUMBER(SEARCH("World",'RawData'!C732)),"",IF('RawData'!E732="WT001","kg",IF('RawData'!E732="WT002","ton",IF('RawData'!E732="WT003","k ton",""))))</f>
        <v>k ton</v>
      </c>
      <c r="F672" s="14">
        <f>IF(ISNUMBER(SEARCH("World",'RawData'!C732)),"",'RawData'!F732)</f>
        <v>286</v>
      </c>
      <c r="G672" s="14">
        <f>IF(ISNUMBER(SEARCH("World",'RawData'!C732)),"",'RawData'!G732)</f>
        <v>200</v>
      </c>
      <c r="H672" s="14">
        <f>IF(ISNUMBER(SEARCH("World",'RawData'!C732)),"",SUMIFS('RawData'!G:G,'RawData'!B:B,'RawData'!B732,'RawData'!C:C,"*World*"))</f>
        <v>9400</v>
      </c>
      <c r="I672" s="15">
        <f>IF(ISNUMBER(SEARCH("World",'RawData'!C732)),"",IFERROR(G672/H672,"-"))</f>
        <v>2.1276595744680851E-2</v>
      </c>
      <c r="J672" s="7">
        <f>IF(ISNUMBER(SEARCH("World",'RawData'!C732)),"",IF(ISNUMBER(SEARCH("Other",C672)),COUNTIFS('RawData'!B:B,B672,'RawData'!C:C,"&lt;&gt;*World*"),IF(OR(G672="",G672=0),"-",SUMPRODUCT(('RawData'!B$2:B$822=B672)*('RawData'!G$2:G$822&gt;G672)*(ISERROR(SEARCH("World",'RawData'!C$2:C$822)))*(ISERROR(SEARCH("Other",'RawData'!C$2:C$822))))+1)))</f>
        <v>10</v>
      </c>
      <c r="K672" s="14">
        <f>IF(ISNUMBER(SEARCH("World",'RawData'!C732)),"",'RawData'!H732)</f>
        <v>5900</v>
      </c>
      <c r="L672" s="14">
        <f>IF(ISNUMBER(SEARCH("World",'RawData'!C732)),"",SUMIFS('RawData'!H:H,'RawData'!B:B,'RawData'!B732,'RawData'!C:C,"*World*"))</f>
        <v>490000</v>
      </c>
      <c r="M672" s="15">
        <f>IF(ISNUMBER(SEARCH("World",'RawData'!C732)),"",IFERROR(K672/L672,"-"))</f>
        <v>1.2040816326530613E-2</v>
      </c>
      <c r="N672" s="7">
        <f>IF(ISNUMBER(SEARCH("World",'RawData'!C732)),"",IF(ISNUMBER(SEARCH("Other",C672)),COUNTIFS('RawData'!B:B,B672,'RawData'!C:C,"&lt;&gt;*World*"),IF(OR(K672="",K672=0),"-",SUMPRODUCT(('RawData'!B$2:B$822=B672)*('RawData'!H$2:H$822&gt;K672)*(ISERROR(SEARCH("World",'RawData'!C$2:C$822)))*(ISERROR(SEARCH("Other",'RawData'!C$2:C$822))))+1)))</f>
        <v>8</v>
      </c>
    </row>
    <row r="673" spans="1:14" x14ac:dyDescent="0.3">
      <c r="A673" s="4" t="str">
        <f>IF(ISNUMBER(SEARCH("World",'RawData'!C733)),"",'RawData'!A733)</f>
        <v>MCS2026</v>
      </c>
      <c r="B673" s="4" t="str">
        <f>IF(ISNUMBER(SEARCH("World",'RawData'!C733)),"",'RawData'!B733)</f>
        <v>Titanium(Ilmentite)</v>
      </c>
      <c r="C673" s="4" t="str">
        <f>IF(ISNUMBER(SEARCH("World",'RawData'!C733)),"",'RawData'!C733)</f>
        <v>United States</v>
      </c>
      <c r="D673" s="4" t="str">
        <f>IF(ISNUMBER(SEARCH("World",'RawData'!C733)),"",'RawData'!D733)</f>
        <v>Mine production, ilmentite, titanium dioxide (TiO₂) content</v>
      </c>
      <c r="E673" s="4" t="str">
        <f>IF(ISNUMBER(SEARCH("World",'RawData'!C733)),"",IF('RawData'!E733="WT001","kg",IF('RawData'!E733="WT002","ton",IF('RawData'!E733="WT003","k ton",""))))</f>
        <v>k ton</v>
      </c>
      <c r="F673" s="14">
        <f>IF(ISNUMBER(SEARCH("World",'RawData'!C733)),"",'RawData'!F733)</f>
        <v>100</v>
      </c>
      <c r="G673" s="14">
        <f>IF(ISNUMBER(SEARCH("World",'RawData'!C733)),"",'RawData'!G733)</f>
        <v>100</v>
      </c>
      <c r="H673" s="14">
        <f>IF(ISNUMBER(SEARCH("World",'RawData'!C733)),"",SUMIFS('RawData'!G:G,'RawData'!B:B,'RawData'!B733,'RawData'!C:C,"*World*"))</f>
        <v>9400</v>
      </c>
      <c r="I673" s="15">
        <f>IF(ISNUMBER(SEARCH("World",'RawData'!C733)),"",IFERROR(G673/H673,"-"))</f>
        <v>1.0638297872340425E-2</v>
      </c>
      <c r="J673" s="7">
        <f>IF(ISNUMBER(SEARCH("World",'RawData'!C733)),"",IF(ISNUMBER(SEARCH("Other",C673)),COUNTIFS('RawData'!B:B,B673,'RawData'!C:C,"&lt;&gt;*World*"),IF(OR(G673="",G673=0),"-",SUMPRODUCT(('RawData'!B$2:B$822=B673)*('RawData'!G$2:G$822&gt;G673)*(ISERROR(SEARCH("World",'RawData'!C$2:C$822)))*(ISERROR(SEARCH("Other",'RawData'!C$2:C$822))))+1)))</f>
        <v>11</v>
      </c>
      <c r="K673" s="14">
        <f>IF(ISNUMBER(SEARCH("World",'RawData'!C733)),"",'RawData'!H733)</f>
        <v>2000</v>
      </c>
      <c r="L673" s="14">
        <f>IF(ISNUMBER(SEARCH("World",'RawData'!C733)),"",SUMIFS('RawData'!H:H,'RawData'!B:B,'RawData'!B733,'RawData'!C:C,"*World*"))</f>
        <v>490000</v>
      </c>
      <c r="M673" s="15">
        <f>IF(ISNUMBER(SEARCH("World",'RawData'!C733)),"",IFERROR(K673/L673,"-"))</f>
        <v>4.0816326530612249E-3</v>
      </c>
      <c r="N673" s="7">
        <f>IF(ISNUMBER(SEARCH("World",'RawData'!C733)),"",IF(ISNUMBER(SEARCH("Other",C673)),COUNTIFS('RawData'!B:B,B673,'RawData'!C:C,"&lt;&gt;*World*"),IF(OR(K673="",K673=0),"-",SUMPRODUCT(('RawData'!B$2:B$822=B673)*('RawData'!H$2:H$822&gt;K673)*(ISERROR(SEARCH("World",'RawData'!C$2:C$822)))*(ISERROR(SEARCH("Other",'RawData'!C$2:C$822))))+1)))</f>
        <v>9</v>
      </c>
    </row>
    <row r="674" spans="1:14" x14ac:dyDescent="0.3">
      <c r="A674" s="4" t="str">
        <f>IF(ISNUMBER(SEARCH("World",'RawData'!C735)),"",'RawData'!A735)</f>
        <v>MCS2026</v>
      </c>
      <c r="B674" s="4" t="str">
        <f>IF(ISNUMBER(SEARCH("World",'RawData'!C735)),"",'RawData'!B735)</f>
        <v>Titanium(Rutile)</v>
      </c>
      <c r="C674" s="4" t="str">
        <f>IF(ISNUMBER(SEARCH("World",'RawData'!C735)),"",'RawData'!C735)</f>
        <v>Australia</v>
      </c>
      <c r="D674" s="4" t="str">
        <f>IF(ISNUMBER(SEARCH("World",'RawData'!C735)),"",'RawData'!D735)</f>
        <v>Mine production, rutile, titanium dioxide (TiO₂) content</v>
      </c>
      <c r="E674" s="4" t="str">
        <f>IF(ISNUMBER(SEARCH("World",'RawData'!C735)),"",IF('RawData'!E735="WT001","kg",IF('RawData'!E735="WT002","ton",IF('RawData'!E735="WT003","k ton",""))))</f>
        <v>k ton</v>
      </c>
      <c r="F674" s="14">
        <f>IF(ISNUMBER(SEARCH("World",'RawData'!C735)),"",'RawData'!F735)</f>
        <v>200</v>
      </c>
      <c r="G674" s="14">
        <f>IF(ISNUMBER(SEARCH("World",'RawData'!C735)),"",'RawData'!G735)</f>
        <v>200</v>
      </c>
      <c r="H674" s="14">
        <f>IF(ISNUMBER(SEARCH("World",'RawData'!C735)),"",SUMIFS('RawData'!G:G,'RawData'!B:B,'RawData'!B735,'RawData'!C:C,"*World*"))</f>
        <v>450</v>
      </c>
      <c r="I674" s="15">
        <f>IF(ISNUMBER(SEARCH("World",'RawData'!C735)),"",IFERROR(G674/H674,"-"))</f>
        <v>0.44444444444444442</v>
      </c>
      <c r="J674" s="7">
        <f>IF(ISNUMBER(SEARCH("World",'RawData'!C735)),"",IF(ISNUMBER(SEARCH("Other",C674)),COUNTIFS('RawData'!B:B,B674,'RawData'!C:C,"&lt;&gt;*World*"),IF(OR(G674="",G674=0),"-",SUMPRODUCT(('RawData'!B$2:B$822=B674)*('RawData'!G$2:G$822&gt;G674)*(ISERROR(SEARCH("World",'RawData'!C$2:C$822)))*(ISERROR(SEARCH("Other",'RawData'!C$2:C$822))))+1)))</f>
        <v>1</v>
      </c>
      <c r="K674" s="14">
        <f>IF(ISNUMBER(SEARCH("World",'RawData'!C735)),"",'RawData'!H735)</f>
        <v>35000</v>
      </c>
      <c r="L674" s="14">
        <f>IF(ISNUMBER(SEARCH("World",'RawData'!C735)),"",SUMIFS('RawData'!H:H,'RawData'!B:B,'RawData'!B735,'RawData'!C:C,"*World*"))</f>
        <v>49000</v>
      </c>
      <c r="M674" s="15">
        <f>IF(ISNUMBER(SEARCH("World",'RawData'!C735)),"",IFERROR(K674/L674,"-"))</f>
        <v>0.7142857142857143</v>
      </c>
      <c r="N674" s="7">
        <f>IF(ISNUMBER(SEARCH("World",'RawData'!C735)),"",IF(ISNUMBER(SEARCH("Other",C674)),COUNTIFS('RawData'!B:B,B674,'RawData'!C:C,"&lt;&gt;*World*"),IF(OR(K674="",K674=0),"-",SUMPRODUCT(('RawData'!B$2:B$822=B674)*('RawData'!H$2:H$822&gt;K674)*(ISERROR(SEARCH("World",'RawData'!C$2:C$822)))*(ISERROR(SEARCH("Other",'RawData'!C$2:C$822))))+1)))</f>
        <v>1</v>
      </c>
    </row>
    <row r="675" spans="1:14" x14ac:dyDescent="0.3">
      <c r="A675" s="4" t="str">
        <f>IF(ISNUMBER(SEARCH("World",'RawData'!C736)),"",'RawData'!A736)</f>
        <v>MCS2026</v>
      </c>
      <c r="B675" s="4" t="str">
        <f>IF(ISNUMBER(SEARCH("World",'RawData'!C736)),"",'RawData'!B736)</f>
        <v>Titanium(Rutile)</v>
      </c>
      <c r="C675" s="4" t="str">
        <f>IF(ISNUMBER(SEARCH("World",'RawData'!C736)),"",'RawData'!C736)</f>
        <v>India</v>
      </c>
      <c r="D675" s="4" t="str">
        <f>IF(ISNUMBER(SEARCH("World",'RawData'!C736)),"",'RawData'!D736)</f>
        <v>Mine production, rutile, titanium dioxide (TiO₂) content</v>
      </c>
      <c r="E675" s="4" t="str">
        <f>IF(ISNUMBER(SEARCH("World",'RawData'!C736)),"",IF('RawData'!E736="WT001","kg",IF('RawData'!E736="WT002","ton",IF('RawData'!E736="WT003","k ton",""))))</f>
        <v>k ton</v>
      </c>
      <c r="F675" s="14">
        <f>IF(ISNUMBER(SEARCH("World",'RawData'!C736)),"",'RawData'!F736)</f>
        <v>12</v>
      </c>
      <c r="G675" s="14">
        <f>IF(ISNUMBER(SEARCH("World",'RawData'!C736)),"",'RawData'!G736)</f>
        <v>13</v>
      </c>
      <c r="H675" s="14">
        <f>IF(ISNUMBER(SEARCH("World",'RawData'!C736)),"",SUMIFS('RawData'!G:G,'RawData'!B:B,'RawData'!B736,'RawData'!C:C,"*World*"))</f>
        <v>450</v>
      </c>
      <c r="I675" s="15">
        <f>IF(ISNUMBER(SEARCH("World",'RawData'!C736)),"",IFERROR(G675/H675,"-"))</f>
        <v>2.8888888888888888E-2</v>
      </c>
      <c r="J675" s="7">
        <f>IF(ISNUMBER(SEARCH("World",'RawData'!C736)),"",IF(ISNUMBER(SEARCH("Other",C675)),COUNTIFS('RawData'!B:B,B675,'RawData'!C:C,"&lt;&gt;*World*"),IF(OR(G675="",G675=0),"-",SUMPRODUCT(('RawData'!B$2:B$822=B675)*('RawData'!G$2:G$822&gt;G675)*(ISERROR(SEARCH("World",'RawData'!C$2:C$822)))*(ISERROR(SEARCH("Other",'RawData'!C$2:C$822))))+1)))</f>
        <v>4</v>
      </c>
      <c r="K675" s="14">
        <f>IF(ISNUMBER(SEARCH("World",'RawData'!C736)),"",'RawData'!H736)</f>
        <v>670</v>
      </c>
      <c r="L675" s="14">
        <f>IF(ISNUMBER(SEARCH("World",'RawData'!C736)),"",SUMIFS('RawData'!H:H,'RawData'!B:B,'RawData'!B736,'RawData'!C:C,"*World*"))</f>
        <v>49000</v>
      </c>
      <c r="M675" s="15">
        <f>IF(ISNUMBER(SEARCH("World",'RawData'!C736)),"",IFERROR(K675/L675,"-"))</f>
        <v>1.3673469387755101E-2</v>
      </c>
      <c r="N675" s="7">
        <f>IF(ISNUMBER(SEARCH("World",'RawData'!C736)),"",IF(ISNUMBER(SEARCH("Other",C675)),COUNTIFS('RawData'!B:B,B675,'RawData'!C:C,"&lt;&gt;*World*"),IF(OR(K675="",K675=0),"-",SUMPRODUCT(('RawData'!B$2:B$822=B675)*('RawData'!H$2:H$822&gt;K675)*(ISERROR(SEARCH("World",'RawData'!C$2:C$822)))*(ISERROR(SEARCH("Other",'RawData'!C$2:C$822))))+1)))</f>
        <v>6</v>
      </c>
    </row>
    <row r="676" spans="1:14" x14ac:dyDescent="0.3">
      <c r="A676" s="4" t="str">
        <f>IF(ISNUMBER(SEARCH("World",'RawData'!C737)),"",'RawData'!A737)</f>
        <v>MCS2026</v>
      </c>
      <c r="B676" s="4" t="str">
        <f>IF(ISNUMBER(SEARCH("World",'RawData'!C737)),"",'RawData'!B737)</f>
        <v>Titanium(Rutile)</v>
      </c>
      <c r="C676" s="4" t="str">
        <f>IF(ISNUMBER(SEARCH("World",'RawData'!C737)),"",'RawData'!C737)</f>
        <v>Kenya</v>
      </c>
      <c r="D676" s="4" t="str">
        <f>IF(ISNUMBER(SEARCH("World",'RawData'!C737)),"",'RawData'!D737)</f>
        <v>Mine production, rutile, titanium dioxide (TiO₂) content</v>
      </c>
      <c r="E676" s="4" t="str">
        <f>IF(ISNUMBER(SEARCH("World",'RawData'!C737)),"",IF('RawData'!E737="WT001","kg",IF('RawData'!E737="WT002","ton",IF('RawData'!E737="WT003","k ton",""))))</f>
        <v>k ton</v>
      </c>
      <c r="F676" s="14">
        <f>IF(ISNUMBER(SEARCH("World",'RawData'!C737)),"",'RawData'!F737)</f>
        <v>41</v>
      </c>
      <c r="G676" s="14">
        <f>IF(ISNUMBER(SEARCH("World",'RawData'!C737)),"",'RawData'!G737)</f>
        <v>0</v>
      </c>
      <c r="H676" s="14">
        <f>IF(ISNUMBER(SEARCH("World",'RawData'!C737)),"",SUMIFS('RawData'!G:G,'RawData'!B:B,'RawData'!B737,'RawData'!C:C,"*World*"))</f>
        <v>450</v>
      </c>
      <c r="I676" s="15">
        <f>IF(ISNUMBER(SEARCH("World",'RawData'!C737)),"",IFERROR(G676/H676,"-"))</f>
        <v>0</v>
      </c>
      <c r="J676" s="7" t="str">
        <f>IF(ISNUMBER(SEARCH("World",'RawData'!C737)),"",IF(ISNUMBER(SEARCH("Other",C676)),COUNTIFS('RawData'!B:B,B676,'RawData'!C:C,"&lt;&gt;*World*"),IF(OR(G676="",G676=0),"-",SUMPRODUCT(('RawData'!B$2:B$822=B676)*('RawData'!G$2:G$822&gt;G676)*(ISERROR(SEARCH("World",'RawData'!C$2:C$822)))*(ISERROR(SEARCH("Other",'RawData'!C$2:C$822))))+1)))</f>
        <v>-</v>
      </c>
      <c r="K676" s="14">
        <f>IF(ISNUMBER(SEARCH("World",'RawData'!C737)),"",'RawData'!H737)</f>
        <v>0</v>
      </c>
      <c r="L676" s="14">
        <f>IF(ISNUMBER(SEARCH("World",'RawData'!C737)),"",SUMIFS('RawData'!H:H,'RawData'!B:B,'RawData'!B737,'RawData'!C:C,"*World*"))</f>
        <v>49000</v>
      </c>
      <c r="M676" s="15">
        <f>IF(ISNUMBER(SEARCH("World",'RawData'!C737)),"",IFERROR(K676/L676,"-"))</f>
        <v>0</v>
      </c>
      <c r="N676" s="7" t="str">
        <f>IF(ISNUMBER(SEARCH("World",'RawData'!C737)),"",IF(ISNUMBER(SEARCH("Other",C676)),COUNTIFS('RawData'!B:B,B676,'RawData'!C:C,"&lt;&gt;*World*"),IF(OR(K676="",K676=0),"-",SUMPRODUCT(('RawData'!B$2:B$822=B676)*('RawData'!H$2:H$822&gt;K676)*(ISERROR(SEARCH("World",'RawData'!C$2:C$822)))*(ISERROR(SEARCH("Other",'RawData'!C$2:C$822))))+1)))</f>
        <v>-</v>
      </c>
    </row>
    <row r="677" spans="1:14" x14ac:dyDescent="0.3">
      <c r="A677" s="4" t="str">
        <f>IF(ISNUMBER(SEARCH("World",'RawData'!C738)),"",'RawData'!A738)</f>
        <v>MCS2026</v>
      </c>
      <c r="B677" s="4" t="str">
        <f>IF(ISNUMBER(SEARCH("World",'RawData'!C738)),"",'RawData'!B738)</f>
        <v>Titanium(Rutile)</v>
      </c>
      <c r="C677" s="4" t="str">
        <f>IF(ISNUMBER(SEARCH("World",'RawData'!C738)),"",'RawData'!C738)</f>
        <v>Mozambique</v>
      </c>
      <c r="D677" s="4" t="str">
        <f>IF(ISNUMBER(SEARCH("World",'RawData'!C738)),"",'RawData'!D738)</f>
        <v>Mine production, rutile, titanium dioxide (TiO₂) content</v>
      </c>
      <c r="E677" s="4" t="str">
        <f>IF(ISNUMBER(SEARCH("World",'RawData'!C738)),"",IF('RawData'!E738="WT001","kg",IF('RawData'!E738="WT002","ton",IF('RawData'!E738="WT003","k ton",""))))</f>
        <v>k ton</v>
      </c>
      <c r="F677" s="14">
        <f>IF(ISNUMBER(SEARCH("World",'RawData'!C738)),"",'RawData'!F738)</f>
        <v>9</v>
      </c>
      <c r="G677" s="14">
        <f>IF(ISNUMBER(SEARCH("World",'RawData'!C738)),"",'RawData'!G738)</f>
        <v>10</v>
      </c>
      <c r="H677" s="14">
        <f>IF(ISNUMBER(SEARCH("World",'RawData'!C738)),"",SUMIFS('RawData'!G:G,'RawData'!B:B,'RawData'!B738,'RawData'!C:C,"*World*"))</f>
        <v>450</v>
      </c>
      <c r="I677" s="15">
        <f>IF(ISNUMBER(SEARCH("World",'RawData'!C738)),"",IFERROR(G677/H677,"-"))</f>
        <v>2.2222222222222223E-2</v>
      </c>
      <c r="J677" s="7">
        <f>IF(ISNUMBER(SEARCH("World",'RawData'!C738)),"",IF(ISNUMBER(SEARCH("Other",C677)),COUNTIFS('RawData'!B:B,B677,'RawData'!C:C,"&lt;&gt;*World*"),IF(OR(G677="",G677=0),"-",SUMPRODUCT(('RawData'!B$2:B$822=B677)*('RawData'!G$2:G$822&gt;G677)*(ISERROR(SEARCH("World",'RawData'!C$2:C$822)))*(ISERROR(SEARCH("Other",'RawData'!C$2:C$822))))+1)))</f>
        <v>5</v>
      </c>
      <c r="K677" s="14">
        <f>IF(ISNUMBER(SEARCH("World",'RawData'!C738)),"",'RawData'!H738)</f>
        <v>720</v>
      </c>
      <c r="L677" s="14">
        <f>IF(ISNUMBER(SEARCH("World",'RawData'!C738)),"",SUMIFS('RawData'!H:H,'RawData'!B:B,'RawData'!B738,'RawData'!C:C,"*World*"))</f>
        <v>49000</v>
      </c>
      <c r="M677" s="15">
        <f>IF(ISNUMBER(SEARCH("World",'RawData'!C738)),"",IFERROR(K677/L677,"-"))</f>
        <v>1.4693877551020407E-2</v>
      </c>
      <c r="N677" s="7">
        <f>IF(ISNUMBER(SEARCH("World",'RawData'!C738)),"",IF(ISNUMBER(SEARCH("Other",C677)),COUNTIFS('RawData'!B:B,B677,'RawData'!C:C,"&lt;&gt;*World*"),IF(OR(K677="",K677=0),"-",SUMPRODUCT(('RawData'!B$2:B$822=B677)*('RawData'!H$2:H$822&gt;K677)*(ISERROR(SEARCH("World",'RawData'!C$2:C$822)))*(ISERROR(SEARCH("Other",'RawData'!C$2:C$822))))+1)))</f>
        <v>5</v>
      </c>
    </row>
    <row r="678" spans="1:14" x14ac:dyDescent="0.3">
      <c r="A678" s="4" t="str">
        <f>IF(ISNUMBER(SEARCH("World",'RawData'!C739)),"",'RawData'!A739)</f>
        <v>MCS2026</v>
      </c>
      <c r="B678" s="4" t="str">
        <f>IF(ISNUMBER(SEARCH("World",'RawData'!C739)),"",'RawData'!B739)</f>
        <v>Titanium(Rutile)</v>
      </c>
      <c r="C678" s="4" t="str">
        <f>IF(ISNUMBER(SEARCH("World",'RawData'!C739)),"",'RawData'!C739)</f>
        <v>Other Countries</v>
      </c>
      <c r="D678" s="4" t="str">
        <f>IF(ISNUMBER(SEARCH("World",'RawData'!C739)),"",'RawData'!D739)</f>
        <v>Mine production, rutile, titanium dioxide (TiO₂) content</v>
      </c>
      <c r="E678" s="4" t="str">
        <f>IF(ISNUMBER(SEARCH("World",'RawData'!C739)),"",IF('RawData'!E739="WT001","kg",IF('RawData'!E739="WT002","ton",IF('RawData'!E739="WT003","k ton",""))))</f>
        <v>k ton</v>
      </c>
      <c r="F678" s="14">
        <f>IF(ISNUMBER(SEARCH("World",'RawData'!C739)),"",'RawData'!F739)</f>
        <v>10</v>
      </c>
      <c r="G678" s="14">
        <f>IF(ISNUMBER(SEARCH("World",'RawData'!C739)),"",'RawData'!G739)</f>
        <v>9</v>
      </c>
      <c r="H678" s="14">
        <f>IF(ISNUMBER(SEARCH("World",'RawData'!C739)),"",SUMIFS('RawData'!G:G,'RawData'!B:B,'RawData'!B739,'RawData'!C:C,"*World*"))</f>
        <v>450</v>
      </c>
      <c r="I678" s="15">
        <f>IF(ISNUMBER(SEARCH("World",'RawData'!C739)),"",IFERROR(G678/H678,"-"))</f>
        <v>0.02</v>
      </c>
      <c r="J678" s="7">
        <f>IF(ISNUMBER(SEARCH("World",'RawData'!C739)),"",IF(ISNUMBER(SEARCH("Other",C678)),COUNTIFS('RawData'!B:B,B678,'RawData'!C:C,"&lt;&gt;*World*"),IF(OR(G678="",G678=0),"-",SUMPRODUCT(('RawData'!B$2:B$822=B678)*('RawData'!G$2:G$822&gt;G678)*(ISERROR(SEARCH("World",'RawData'!C$2:C$822)))*(ISERROR(SEARCH("Other",'RawData'!C$2:C$822))))+1)))</f>
        <v>9</v>
      </c>
      <c r="K678" s="14">
        <f>IF(ISNUMBER(SEARCH("World",'RawData'!C739)),"",'RawData'!H739)</f>
        <v>540</v>
      </c>
      <c r="L678" s="14">
        <f>IF(ISNUMBER(SEARCH("World",'RawData'!C739)),"",SUMIFS('RawData'!H:H,'RawData'!B:B,'RawData'!B739,'RawData'!C:C,"*World*"))</f>
        <v>49000</v>
      </c>
      <c r="M678" s="15">
        <f>IF(ISNUMBER(SEARCH("World",'RawData'!C739)),"",IFERROR(K678/L678,"-"))</f>
        <v>1.1020408163265306E-2</v>
      </c>
      <c r="N678" s="7">
        <f>IF(ISNUMBER(SEARCH("World",'RawData'!C739)),"",IF(ISNUMBER(SEARCH("Other",C678)),COUNTIFS('RawData'!B:B,B678,'RawData'!C:C,"&lt;&gt;*World*"),IF(OR(K678="",K678=0),"-",SUMPRODUCT(('RawData'!B$2:B$822=B678)*('RawData'!H$2:H$822&gt;K678)*(ISERROR(SEARCH("World",'RawData'!C$2:C$822)))*(ISERROR(SEARCH("Other",'RawData'!C$2:C$822))))+1)))</f>
        <v>9</v>
      </c>
    </row>
    <row r="679" spans="1:14" x14ac:dyDescent="0.3">
      <c r="A679" s="4" t="str">
        <f>IF(ISNUMBER(SEARCH("World",'RawData'!C740)),"",'RawData'!A740)</f>
        <v>MCS2026</v>
      </c>
      <c r="B679" s="4" t="str">
        <f>IF(ISNUMBER(SEARCH("World",'RawData'!C740)),"",'RawData'!B740)</f>
        <v>Titanium(Rutile)</v>
      </c>
      <c r="C679" s="4" t="str">
        <f>IF(ISNUMBER(SEARCH("World",'RawData'!C740)),"",'RawData'!C740)</f>
        <v>Sierra Leone</v>
      </c>
      <c r="D679" s="4" t="str">
        <f>IF(ISNUMBER(SEARCH("World",'RawData'!C740)),"",'RawData'!D740)</f>
        <v>Mine production, rutile, titanium dioxide (TiO₂) content</v>
      </c>
      <c r="E679" s="4" t="str">
        <f>IF(ISNUMBER(SEARCH("World",'RawData'!C740)),"",IF('RawData'!E740="WT001","kg",IF('RawData'!E740="WT002","ton",IF('RawData'!E740="WT003","k ton",""))))</f>
        <v>k ton</v>
      </c>
      <c r="F679" s="14">
        <f>IF(ISNUMBER(SEARCH("World",'RawData'!C740)),"",'RawData'!F740)</f>
        <v>80</v>
      </c>
      <c r="G679" s="14">
        <f>IF(ISNUMBER(SEARCH("World",'RawData'!C740)),"",'RawData'!G740)</f>
        <v>110</v>
      </c>
      <c r="H679" s="14">
        <f>IF(ISNUMBER(SEARCH("World",'RawData'!C740)),"",SUMIFS('RawData'!G:G,'RawData'!B:B,'RawData'!B740,'RawData'!C:C,"*World*"))</f>
        <v>450</v>
      </c>
      <c r="I679" s="15">
        <f>IF(ISNUMBER(SEARCH("World",'RawData'!C740)),"",IFERROR(G679/H679,"-"))</f>
        <v>0.24444444444444444</v>
      </c>
      <c r="J679" s="7">
        <f>IF(ISNUMBER(SEARCH("World",'RawData'!C740)),"",IF(ISNUMBER(SEARCH("Other",C679)),COUNTIFS('RawData'!B:B,B679,'RawData'!C:C,"&lt;&gt;*World*"),IF(OR(G679="",G679=0),"-",SUMPRODUCT(('RawData'!B$2:B$822=B679)*('RawData'!G$2:G$822&gt;G679)*(ISERROR(SEARCH("World",'RawData'!C$2:C$822)))*(ISERROR(SEARCH("Other",'RawData'!C$2:C$822))))+1)))</f>
        <v>2</v>
      </c>
      <c r="K679" s="14">
        <f>IF(ISNUMBER(SEARCH("World",'RawData'!C740)),"",'RawData'!H740)</f>
        <v>2900</v>
      </c>
      <c r="L679" s="14">
        <f>IF(ISNUMBER(SEARCH("World",'RawData'!C740)),"",SUMIFS('RawData'!H:H,'RawData'!B:B,'RawData'!B740,'RawData'!C:C,"*World*"))</f>
        <v>49000</v>
      </c>
      <c r="M679" s="15">
        <f>IF(ISNUMBER(SEARCH("World",'RawData'!C740)),"",IFERROR(K679/L679,"-"))</f>
        <v>5.9183673469387757E-2</v>
      </c>
      <c r="N679" s="7">
        <f>IF(ISNUMBER(SEARCH("World",'RawData'!C740)),"",IF(ISNUMBER(SEARCH("Other",C679)),COUNTIFS('RawData'!B:B,B679,'RawData'!C:C,"&lt;&gt;*World*"),IF(OR(K679="",K679=0),"-",SUMPRODUCT(('RawData'!B$2:B$822=B679)*('RawData'!H$2:H$822&gt;K679)*(ISERROR(SEARCH("World",'RawData'!C$2:C$822)))*(ISERROR(SEARCH("Other",'RawData'!C$2:C$822))))+1)))</f>
        <v>3</v>
      </c>
    </row>
    <row r="680" spans="1:14" x14ac:dyDescent="0.3">
      <c r="A680" s="4" t="str">
        <f>IF(ISNUMBER(SEARCH("World",'RawData'!C741)),"",'RawData'!A741)</f>
        <v>MCS2026</v>
      </c>
      <c r="B680" s="4" t="str">
        <f>IF(ISNUMBER(SEARCH("World",'RawData'!C741)),"",'RawData'!B741)</f>
        <v>Titanium(Rutile)</v>
      </c>
      <c r="C680" s="4" t="str">
        <f>IF(ISNUMBER(SEARCH("World",'RawData'!C741)),"",'RawData'!C741)</f>
        <v xml:space="preserve">South Africa </v>
      </c>
      <c r="D680" s="4" t="str">
        <f>IF(ISNUMBER(SEARCH("World",'RawData'!C741)),"",'RawData'!D741)</f>
        <v>Mine production, rutile, titanium dioxide (TiO₂) content</v>
      </c>
      <c r="E680" s="4" t="str">
        <f>IF(ISNUMBER(SEARCH("World",'RawData'!C741)),"",IF('RawData'!E741="WT001","kg",IF('RawData'!E741="WT002","ton",IF('RawData'!E741="WT003","k ton",""))))</f>
        <v>k ton</v>
      </c>
      <c r="F680" s="14">
        <f>IF(ISNUMBER(SEARCH("World",'RawData'!C741)),"",'RawData'!F741)</f>
        <v>102</v>
      </c>
      <c r="G680" s="14">
        <f>IF(ISNUMBER(SEARCH("World",'RawData'!C741)),"",'RawData'!G741)</f>
        <v>100</v>
      </c>
      <c r="H680" s="14">
        <f>IF(ISNUMBER(SEARCH("World",'RawData'!C741)),"",SUMIFS('RawData'!G:G,'RawData'!B:B,'RawData'!B741,'RawData'!C:C,"*World*"))</f>
        <v>450</v>
      </c>
      <c r="I680" s="15">
        <f>IF(ISNUMBER(SEARCH("World",'RawData'!C741)),"",IFERROR(G680/H680,"-"))</f>
        <v>0.22222222222222221</v>
      </c>
      <c r="J680" s="7">
        <f>IF(ISNUMBER(SEARCH("World",'RawData'!C741)),"",IF(ISNUMBER(SEARCH("Other",C680)),COUNTIFS('RawData'!B:B,B680,'RawData'!C:C,"&lt;&gt;*World*"),IF(OR(G680="",G680=0),"-",SUMPRODUCT(('RawData'!B$2:B$822=B680)*('RawData'!G$2:G$822&gt;G680)*(ISERROR(SEARCH("World",'RawData'!C$2:C$822)))*(ISERROR(SEARCH("Other",'RawData'!C$2:C$822))))+1)))</f>
        <v>3</v>
      </c>
      <c r="K680" s="14">
        <f>IF(ISNUMBER(SEARCH("World",'RawData'!C741)),"",'RawData'!H741)</f>
        <v>6200</v>
      </c>
      <c r="L680" s="14">
        <f>IF(ISNUMBER(SEARCH("World",'RawData'!C741)),"",SUMIFS('RawData'!H:H,'RawData'!B:B,'RawData'!B741,'RawData'!C:C,"*World*"))</f>
        <v>49000</v>
      </c>
      <c r="M680" s="15">
        <f>IF(ISNUMBER(SEARCH("World",'RawData'!C741)),"",IFERROR(K680/L680,"-"))</f>
        <v>0.12653061224489795</v>
      </c>
      <c r="N680" s="7">
        <f>IF(ISNUMBER(SEARCH("World",'RawData'!C741)),"",IF(ISNUMBER(SEARCH("Other",C680)),COUNTIFS('RawData'!B:B,B680,'RawData'!C:C,"&lt;&gt;*World*"),IF(OR(K680="",K680=0),"-",SUMPRODUCT(('RawData'!B$2:B$822=B680)*('RawData'!H$2:H$822&gt;K680)*(ISERROR(SEARCH("World",'RawData'!C$2:C$822)))*(ISERROR(SEARCH("Other",'RawData'!C$2:C$822))))+1)))</f>
        <v>2</v>
      </c>
    </row>
    <row r="681" spans="1:14" x14ac:dyDescent="0.3">
      <c r="A681" s="4" t="str">
        <f>IF(ISNUMBER(SEARCH("World",'RawData'!C742)),"",'RawData'!A742)</f>
        <v>MCS2026</v>
      </c>
      <c r="B681" s="4" t="str">
        <f>IF(ISNUMBER(SEARCH("World",'RawData'!C742)),"",'RawData'!B742)</f>
        <v>Titanium(Rutile)</v>
      </c>
      <c r="C681" s="4" t="str">
        <f>IF(ISNUMBER(SEARCH("World",'RawData'!C742)),"",'RawData'!C742)</f>
        <v>Ukraine</v>
      </c>
      <c r="D681" s="4" t="str">
        <f>IF(ISNUMBER(SEARCH("World",'RawData'!C742)),"",'RawData'!D742)</f>
        <v>Mine production, rutile, titanium dioxide (TiO₂) content</v>
      </c>
      <c r="E681" s="4" t="str">
        <f>IF(ISNUMBER(SEARCH("World",'RawData'!C742)),"",IF('RawData'!E742="WT001","kg",IF('RawData'!E742="WT002","ton",IF('RawData'!E742="WT003","k ton",""))))</f>
        <v>k ton</v>
      </c>
      <c r="F681" s="14">
        <f>IF(ISNUMBER(SEARCH("World",'RawData'!C742)),"",'RawData'!F742)</f>
        <v>9</v>
      </c>
      <c r="G681" s="14">
        <f>IF(ISNUMBER(SEARCH("World",'RawData'!C742)),"",'RawData'!G742)</f>
        <v>10</v>
      </c>
      <c r="H681" s="14">
        <f>IF(ISNUMBER(SEARCH("World",'RawData'!C742)),"",SUMIFS('RawData'!G:G,'RawData'!B:B,'RawData'!B742,'RawData'!C:C,"*World*"))</f>
        <v>450</v>
      </c>
      <c r="I681" s="15">
        <f>IF(ISNUMBER(SEARCH("World",'RawData'!C742)),"",IFERROR(G681/H681,"-"))</f>
        <v>2.2222222222222223E-2</v>
      </c>
      <c r="J681" s="7">
        <f>IF(ISNUMBER(SEARCH("World",'RawData'!C742)),"",IF(ISNUMBER(SEARCH("Other",C681)),COUNTIFS('RawData'!B:B,B681,'RawData'!C:C,"&lt;&gt;*World*"),IF(OR(G681="",G681=0),"-",SUMPRODUCT(('RawData'!B$2:B$822=B681)*('RawData'!G$2:G$822&gt;G681)*(ISERROR(SEARCH("World",'RawData'!C$2:C$822)))*(ISERROR(SEARCH("Other",'RawData'!C$2:C$822))))+1)))</f>
        <v>5</v>
      </c>
      <c r="K681" s="14">
        <f>IF(ISNUMBER(SEARCH("World",'RawData'!C742)),"",'RawData'!H742)</f>
        <v>2500</v>
      </c>
      <c r="L681" s="14">
        <f>IF(ISNUMBER(SEARCH("World",'RawData'!C742)),"",SUMIFS('RawData'!H:H,'RawData'!B:B,'RawData'!B742,'RawData'!C:C,"*World*"))</f>
        <v>49000</v>
      </c>
      <c r="M681" s="15">
        <f>IF(ISNUMBER(SEARCH("World",'RawData'!C742)),"",IFERROR(K681/L681,"-"))</f>
        <v>5.1020408163265307E-2</v>
      </c>
      <c r="N681" s="7">
        <f>IF(ISNUMBER(SEARCH("World",'RawData'!C742)),"",IF(ISNUMBER(SEARCH("Other",C681)),COUNTIFS('RawData'!B:B,B681,'RawData'!C:C,"&lt;&gt;*World*"),IF(OR(K681="",K681=0),"-",SUMPRODUCT(('RawData'!B$2:B$822=B681)*('RawData'!H$2:H$822&gt;K681)*(ISERROR(SEARCH("World",'RawData'!C$2:C$822)))*(ISERROR(SEARCH("Other",'RawData'!C$2:C$822))))+1)))</f>
        <v>4</v>
      </c>
    </row>
    <row r="682" spans="1:14" x14ac:dyDescent="0.3">
      <c r="A682" s="4" t="str">
        <f>IF(ISNUMBER(SEARCH("World",'RawData'!C743)),"",'RawData'!A743)</f>
        <v>MCS2026</v>
      </c>
      <c r="B682" s="4" t="str">
        <f>IF(ISNUMBER(SEARCH("World",'RawData'!C743)),"",'RawData'!B743)</f>
        <v>Titanium(Rutile)</v>
      </c>
      <c r="C682" s="4" t="str">
        <f>IF(ISNUMBER(SEARCH("World",'RawData'!C743)),"",'RawData'!C743)</f>
        <v>United States</v>
      </c>
      <c r="D682" s="4" t="str">
        <f>IF(ISNUMBER(SEARCH("World",'RawData'!C743)),"",'RawData'!D743)</f>
        <v>Mine production, rutile, titanium dioxide (TiO₂) content</v>
      </c>
      <c r="E682" s="4" t="str">
        <f>IF(ISNUMBER(SEARCH("World",'RawData'!C743)),"",IF('RawData'!E743="WT001","kg",IF('RawData'!E743="WT002","ton",IF('RawData'!E743="WT003","k ton",""))))</f>
        <v>k ton</v>
      </c>
      <c r="F682" s="14">
        <f>IF(ISNUMBER(SEARCH("World",'RawData'!C743)),"",'RawData'!F743)</f>
        <v>0</v>
      </c>
      <c r="G682" s="14">
        <f>IF(ISNUMBER(SEARCH("World",'RawData'!C743)),"",'RawData'!G743)</f>
        <v>0</v>
      </c>
      <c r="H682" s="14">
        <f>IF(ISNUMBER(SEARCH("World",'RawData'!C743)),"",SUMIFS('RawData'!G:G,'RawData'!B:B,'RawData'!B743,'RawData'!C:C,"*World*"))</f>
        <v>450</v>
      </c>
      <c r="I682" s="15">
        <f>IF(ISNUMBER(SEARCH("World",'RawData'!C743)),"",IFERROR(G682/H682,"-"))</f>
        <v>0</v>
      </c>
      <c r="J682" s="7" t="str">
        <f>IF(ISNUMBER(SEARCH("World",'RawData'!C743)),"",IF(ISNUMBER(SEARCH("Other",C682)),COUNTIFS('RawData'!B:B,B682,'RawData'!C:C,"&lt;&gt;*World*"),IF(OR(G682="",G682=0),"-",SUMPRODUCT(('RawData'!B$2:B$822=B682)*('RawData'!G$2:G$822&gt;G682)*(ISERROR(SEARCH("World",'RawData'!C$2:C$822)))*(ISERROR(SEARCH("Other",'RawData'!C$2:C$822))))+1)))</f>
        <v>-</v>
      </c>
      <c r="K682" s="14">
        <f>IF(ISNUMBER(SEARCH("World",'RawData'!C743)),"",'RawData'!H743)</f>
        <v>0</v>
      </c>
      <c r="L682" s="14">
        <f>IF(ISNUMBER(SEARCH("World",'RawData'!C743)),"",SUMIFS('RawData'!H:H,'RawData'!B:B,'RawData'!B743,'RawData'!C:C,"*World*"))</f>
        <v>49000</v>
      </c>
      <c r="M682" s="15">
        <f>IF(ISNUMBER(SEARCH("World",'RawData'!C743)),"",IFERROR(K682/L682,"-"))</f>
        <v>0</v>
      </c>
      <c r="N682" s="7" t="str">
        <f>IF(ISNUMBER(SEARCH("World",'RawData'!C743)),"",IF(ISNUMBER(SEARCH("Other",C682)),COUNTIFS('RawData'!B:B,B682,'RawData'!C:C,"&lt;&gt;*World*"),IF(OR(K682="",K682=0),"-",SUMPRODUCT(('RawData'!B$2:B$822=B682)*('RawData'!H$2:H$822&gt;K682)*(ISERROR(SEARCH("World",'RawData'!C$2:C$822)))*(ISERROR(SEARCH("Other",'RawData'!C$2:C$822))))+1)))</f>
        <v>-</v>
      </c>
    </row>
    <row r="683" spans="1:14" x14ac:dyDescent="0.3">
      <c r="A683" s="4" t="str">
        <f>IF(ISNUMBER(SEARCH("World",'RawData'!C745)),"",'RawData'!A745)</f>
        <v>MCS2026</v>
      </c>
      <c r="B683" s="4" t="str">
        <f>IF(ISNUMBER(SEARCH("World",'RawData'!C745)),"",'RawData'!B745)</f>
        <v xml:space="preserve">Tungsten </v>
      </c>
      <c r="C683" s="4" t="str">
        <f>IF(ISNUMBER(SEARCH("World",'RawData'!C745)),"",'RawData'!C745)</f>
        <v>Australia</v>
      </c>
      <c r="D683" s="4" t="str">
        <f>IF(ISNUMBER(SEARCH("World",'RawData'!C745)),"",'RawData'!D745)</f>
        <v>Mine production, tungsten content</v>
      </c>
      <c r="E683" s="4" t="str">
        <f>IF(ISNUMBER(SEARCH("World",'RawData'!C745)),"",IF('RawData'!E745="WT001","kg",IF('RawData'!E745="WT002","ton",IF('RawData'!E745="WT003","k ton",""))))</f>
        <v>ton</v>
      </c>
      <c r="F683" s="14">
        <f>IF(ISNUMBER(SEARCH("World",'RawData'!C745)),"",'RawData'!F745)</f>
        <v>920</v>
      </c>
      <c r="G683" s="14">
        <f>IF(ISNUMBER(SEARCH("World",'RawData'!C745)),"",'RawData'!G745)</f>
        <v>1000</v>
      </c>
      <c r="H683" s="14">
        <f>IF(ISNUMBER(SEARCH("World",'RawData'!C745)),"",SUMIFS('RawData'!G:G,'RawData'!B:B,'RawData'!B745,'RawData'!C:C,"*World*"))</f>
        <v>85000</v>
      </c>
      <c r="I683" s="15">
        <f>IF(ISNUMBER(SEARCH("World",'RawData'!C745)),"",IFERROR(G683/H683,"-"))</f>
        <v>1.1764705882352941E-2</v>
      </c>
      <c r="J683" s="7">
        <f>IF(ISNUMBER(SEARCH("World",'RawData'!C745)),"",IF(ISNUMBER(SEARCH("Other",C683)),COUNTIFS('RawData'!B:B,B683,'RawData'!C:C,"&lt;&gt;*World*"),IF(OR(G683="",G683=0),"-",SUMPRODUCT(('RawData'!B$2:B$822=B683)*('RawData'!G$2:G$822&gt;G683)*(ISERROR(SEARCH("World",'RawData'!C$2:C$822)))*(ISERROR(SEARCH("Other",'RawData'!C$2:C$822))))+1)))</f>
        <v>8</v>
      </c>
      <c r="K683" s="14">
        <f>IF(ISNUMBER(SEARCH("World",'RawData'!C745)),"",'RawData'!H745)</f>
        <v>570000</v>
      </c>
      <c r="L683" s="14">
        <f>IF(ISNUMBER(SEARCH("World",'RawData'!C745)),"",SUMIFS('RawData'!H:H,'RawData'!B:B,'RawData'!B745,'RawData'!C:C,"*World*"))</f>
        <v>4700000</v>
      </c>
      <c r="M683" s="15">
        <f>IF(ISNUMBER(SEARCH("World",'RawData'!C745)),"",IFERROR(K683/L683,"-"))</f>
        <v>0.12127659574468085</v>
      </c>
      <c r="N683" s="7">
        <f>IF(ISNUMBER(SEARCH("World",'RawData'!C745)),"",IF(ISNUMBER(SEARCH("Other",C683)),COUNTIFS('RawData'!B:B,B683,'RawData'!C:C,"&lt;&gt;*World*"),IF(OR(K683="",K683=0),"-",SUMPRODUCT(('RawData'!B$2:B$822=B683)*('RawData'!H$2:H$822&gt;K683)*(ISERROR(SEARCH("World",'RawData'!C$2:C$822)))*(ISERROR(SEARCH("Other",'RawData'!C$2:C$822))))+1)))</f>
        <v>2</v>
      </c>
    </row>
    <row r="684" spans="1:14" x14ac:dyDescent="0.3">
      <c r="A684" s="4" t="str">
        <f>IF(ISNUMBER(SEARCH("World",'RawData'!C746)),"",'RawData'!A746)</f>
        <v>MCS2026</v>
      </c>
      <c r="B684" s="4" t="str">
        <f>IF(ISNUMBER(SEARCH("World",'RawData'!C746)),"",'RawData'!B746)</f>
        <v xml:space="preserve">Tungsten </v>
      </c>
      <c r="C684" s="4" t="str">
        <f>IF(ISNUMBER(SEARCH("World",'RawData'!C746)),"",'RawData'!C746)</f>
        <v>Austria</v>
      </c>
      <c r="D684" s="4" t="str">
        <f>IF(ISNUMBER(SEARCH("World",'RawData'!C746)),"",'RawData'!D746)</f>
        <v>Mine production, tungsten content</v>
      </c>
      <c r="E684" s="4" t="str">
        <f>IF(ISNUMBER(SEARCH("World",'RawData'!C746)),"",IF('RawData'!E746="WT001","kg",IF('RawData'!E746="WT002","ton",IF('RawData'!E746="WT003","k ton",""))))</f>
        <v>ton</v>
      </c>
      <c r="F684" s="14">
        <f>IF(ISNUMBER(SEARCH("World",'RawData'!C746)),"",'RawData'!F746)</f>
        <v>840</v>
      </c>
      <c r="G684" s="14">
        <f>IF(ISNUMBER(SEARCH("World",'RawData'!C746)),"",'RawData'!G746)</f>
        <v>840</v>
      </c>
      <c r="H684" s="14">
        <f>IF(ISNUMBER(SEARCH("World",'RawData'!C746)),"",SUMIFS('RawData'!G:G,'RawData'!B:B,'RawData'!B746,'RawData'!C:C,"*World*"))</f>
        <v>85000</v>
      </c>
      <c r="I684" s="15">
        <f>IF(ISNUMBER(SEARCH("World",'RawData'!C746)),"",IFERROR(G684/H684,"-"))</f>
        <v>9.8823529411764706E-3</v>
      </c>
      <c r="J684" s="7">
        <f>IF(ISNUMBER(SEARCH("World",'RawData'!C746)),"",IF(ISNUMBER(SEARCH("Other",C684)),COUNTIFS('RawData'!B:B,B684,'RawData'!C:C,"&lt;&gt;*World*"),IF(OR(G684="",G684=0),"-",SUMPRODUCT(('RawData'!B$2:B$822=B684)*('RawData'!G$2:G$822&gt;G684)*(ISERROR(SEARCH("World",'RawData'!C$2:C$822)))*(ISERROR(SEARCH("Other",'RawData'!C$2:C$822))))+1)))</f>
        <v>9</v>
      </c>
      <c r="K684" s="14">
        <f>IF(ISNUMBER(SEARCH("World",'RawData'!C746)),"",'RawData'!H746)</f>
        <v>10000</v>
      </c>
      <c r="L684" s="14">
        <f>IF(ISNUMBER(SEARCH("World",'RawData'!C746)),"",SUMIFS('RawData'!H:H,'RawData'!B:B,'RawData'!B746,'RawData'!C:C,"*World*"))</f>
        <v>4700000</v>
      </c>
      <c r="M684" s="15">
        <f>IF(ISNUMBER(SEARCH("World",'RawData'!C746)),"",IFERROR(K684/L684,"-"))</f>
        <v>2.1276595744680851E-3</v>
      </c>
      <c r="N684" s="7">
        <f>IF(ISNUMBER(SEARCH("World",'RawData'!C746)),"",IF(ISNUMBER(SEARCH("Other",C684)),COUNTIFS('RawData'!B:B,B684,'RawData'!C:C,"&lt;&gt;*World*"),IF(OR(K684="",K684=0),"-",SUMPRODUCT(('RawData'!B$2:B$822=B684)*('RawData'!H$2:H$822&gt;K684)*(ISERROR(SEARCH("World",'RawData'!C$2:C$822)))*(ISERROR(SEARCH("Other",'RawData'!C$2:C$822))))+1)))</f>
        <v>7</v>
      </c>
    </row>
    <row r="685" spans="1:14" x14ac:dyDescent="0.3">
      <c r="A685" s="4" t="str">
        <f>IF(ISNUMBER(SEARCH("World",'RawData'!C747)),"",'RawData'!A747)</f>
        <v>MCS2026</v>
      </c>
      <c r="B685" s="4" t="str">
        <f>IF(ISNUMBER(SEARCH("World",'RawData'!C747)),"",'RawData'!B747)</f>
        <v xml:space="preserve">Tungsten </v>
      </c>
      <c r="C685" s="4" t="str">
        <f>IF(ISNUMBER(SEARCH("World",'RawData'!C747)),"",'RawData'!C747)</f>
        <v>Bolivia</v>
      </c>
      <c r="D685" s="4" t="str">
        <f>IF(ISNUMBER(SEARCH("World",'RawData'!C747)),"",'RawData'!D747)</f>
        <v>Mine production, tungsten content</v>
      </c>
      <c r="E685" s="4" t="str">
        <f>IF(ISNUMBER(SEARCH("World",'RawData'!C747)),"",IF('RawData'!E747="WT001","kg",IF('RawData'!E747="WT002","ton",IF('RawData'!E747="WT003","k ton",""))))</f>
        <v>ton</v>
      </c>
      <c r="F685" s="14">
        <f>IF(ISNUMBER(SEARCH("World",'RawData'!C747)),"",'RawData'!F747)</f>
        <v>1700</v>
      </c>
      <c r="G685" s="14">
        <f>IF(ISNUMBER(SEARCH("World",'RawData'!C747)),"",'RawData'!G747)</f>
        <v>1700</v>
      </c>
      <c r="H685" s="14">
        <f>IF(ISNUMBER(SEARCH("World",'RawData'!C747)),"",SUMIFS('RawData'!G:G,'RawData'!B:B,'RawData'!B747,'RawData'!C:C,"*World*"))</f>
        <v>85000</v>
      </c>
      <c r="I685" s="15">
        <f>IF(ISNUMBER(SEARCH("World",'RawData'!C747)),"",IFERROR(G685/H685,"-"))</f>
        <v>0.02</v>
      </c>
      <c r="J685" s="7">
        <f>IF(ISNUMBER(SEARCH("World",'RawData'!C747)),"",IF(ISNUMBER(SEARCH("Other",C685)),COUNTIFS('RawData'!B:B,B685,'RawData'!C:C,"&lt;&gt;*World*"),IF(OR(G685="",G685=0),"-",SUMPRODUCT(('RawData'!B$2:B$822=B685)*('RawData'!G$2:G$822&gt;G685)*(ISERROR(SEARCH("World",'RawData'!C$2:C$822)))*(ISERROR(SEARCH("Other",'RawData'!C$2:C$822))))+1)))</f>
        <v>6</v>
      </c>
      <c r="K685" s="14">
        <f>IF(ISNUMBER(SEARCH("World",'RawData'!C747)),"",'RawData'!H747)</f>
        <v>0</v>
      </c>
      <c r="L685" s="14">
        <f>IF(ISNUMBER(SEARCH("World",'RawData'!C747)),"",SUMIFS('RawData'!H:H,'RawData'!B:B,'RawData'!B747,'RawData'!C:C,"*World*"))</f>
        <v>4700000</v>
      </c>
      <c r="M685" s="15">
        <f>IF(ISNUMBER(SEARCH("World",'RawData'!C747)),"",IFERROR(K685/L685,"-"))</f>
        <v>0</v>
      </c>
      <c r="N685" s="7" t="str">
        <f>IF(ISNUMBER(SEARCH("World",'RawData'!C747)),"",IF(ISNUMBER(SEARCH("Other",C685)),COUNTIFS('RawData'!B:B,B685,'RawData'!C:C,"&lt;&gt;*World*"),IF(OR(K685="",K685=0),"-",SUMPRODUCT(('RawData'!B$2:B$822=B685)*('RawData'!H$2:H$822&gt;K685)*(ISERROR(SEARCH("World",'RawData'!C$2:C$822)))*(ISERROR(SEARCH("Other",'RawData'!C$2:C$822))))+1)))</f>
        <v>-</v>
      </c>
    </row>
    <row r="686" spans="1:14" x14ac:dyDescent="0.3">
      <c r="A686" s="4" t="str">
        <f>IF(ISNUMBER(SEARCH("World",'RawData'!C748)),"",'RawData'!A748)</f>
        <v>MCS2026</v>
      </c>
      <c r="B686" s="4" t="str">
        <f>IF(ISNUMBER(SEARCH("World",'RawData'!C748)),"",'RawData'!B748)</f>
        <v xml:space="preserve">Tungsten </v>
      </c>
      <c r="C686" s="4" t="str">
        <f>IF(ISNUMBER(SEARCH("World",'RawData'!C748)),"",'RawData'!C748)</f>
        <v>China</v>
      </c>
      <c r="D686" s="4" t="str">
        <f>IF(ISNUMBER(SEARCH("World",'RawData'!C748)),"",'RawData'!D748)</f>
        <v>Mine production, tungsten content</v>
      </c>
      <c r="E686" s="4" t="str">
        <f>IF(ISNUMBER(SEARCH("World",'RawData'!C748)),"",IF('RawData'!E748="WT001","kg",IF('RawData'!E748="WT002","ton",IF('RawData'!E748="WT003","k ton",""))))</f>
        <v>ton</v>
      </c>
      <c r="F686" s="14">
        <f>IF(ISNUMBER(SEARCH("World",'RawData'!C748)),"",'RawData'!F748)</f>
        <v>67000</v>
      </c>
      <c r="G686" s="14">
        <f>IF(ISNUMBER(SEARCH("World",'RawData'!C748)),"",'RawData'!G748)</f>
        <v>67000</v>
      </c>
      <c r="H686" s="14">
        <f>IF(ISNUMBER(SEARCH("World",'RawData'!C748)),"",SUMIFS('RawData'!G:G,'RawData'!B:B,'RawData'!B748,'RawData'!C:C,"*World*"))</f>
        <v>85000</v>
      </c>
      <c r="I686" s="15">
        <f>IF(ISNUMBER(SEARCH("World",'RawData'!C748)),"",IFERROR(G686/H686,"-"))</f>
        <v>0.78823529411764703</v>
      </c>
      <c r="J686" s="7">
        <f>IF(ISNUMBER(SEARCH("World",'RawData'!C748)),"",IF(ISNUMBER(SEARCH("Other",C686)),COUNTIFS('RawData'!B:B,B686,'RawData'!C:C,"&lt;&gt;*World*"),IF(OR(G686="",G686=0),"-",SUMPRODUCT(('RawData'!B$2:B$822=B686)*('RawData'!G$2:G$822&gt;G686)*(ISERROR(SEARCH("World",'RawData'!C$2:C$822)))*(ISERROR(SEARCH("Other",'RawData'!C$2:C$822))))+1)))</f>
        <v>1</v>
      </c>
      <c r="K686" s="14">
        <f>IF(ISNUMBER(SEARCH("World",'RawData'!C748)),"",'RawData'!H748)</f>
        <v>2500000</v>
      </c>
      <c r="L686" s="14">
        <f>IF(ISNUMBER(SEARCH("World",'RawData'!C748)),"",SUMIFS('RawData'!H:H,'RawData'!B:B,'RawData'!B748,'RawData'!C:C,"*World*"))</f>
        <v>4700000</v>
      </c>
      <c r="M686" s="15">
        <f>IF(ISNUMBER(SEARCH("World",'RawData'!C748)),"",IFERROR(K686/L686,"-"))</f>
        <v>0.53191489361702127</v>
      </c>
      <c r="N686" s="7">
        <f>IF(ISNUMBER(SEARCH("World",'RawData'!C748)),"",IF(ISNUMBER(SEARCH("Other",C686)),COUNTIFS('RawData'!B:B,B686,'RawData'!C:C,"&lt;&gt;*World*"),IF(OR(K686="",K686=0),"-",SUMPRODUCT(('RawData'!B$2:B$822=B686)*('RawData'!H$2:H$822&gt;K686)*(ISERROR(SEARCH("World",'RawData'!C$2:C$822)))*(ISERROR(SEARCH("Other",'RawData'!C$2:C$822))))+1)))</f>
        <v>1</v>
      </c>
    </row>
    <row r="687" spans="1:14" x14ac:dyDescent="0.3">
      <c r="A687" s="4" t="str">
        <f>IF(ISNUMBER(SEARCH("World",'RawData'!C749)),"",'RawData'!A749)</f>
        <v>MCS2026</v>
      </c>
      <c r="B687" s="4" t="str">
        <f>IF(ISNUMBER(SEARCH("World",'RawData'!C749)),"",'RawData'!B749)</f>
        <v xml:space="preserve">Tungsten </v>
      </c>
      <c r="C687" s="4" t="str">
        <f>IF(ISNUMBER(SEARCH("World",'RawData'!C749)),"",'RawData'!C749)</f>
        <v>Kazakhstan</v>
      </c>
      <c r="D687" s="4" t="str">
        <f>IF(ISNUMBER(SEARCH("World",'RawData'!C749)),"",'RawData'!D749)</f>
        <v>Mine production, tungsten content</v>
      </c>
      <c r="E687" s="4" t="str">
        <f>IF(ISNUMBER(SEARCH("World",'RawData'!C749)),"",IF('RawData'!E749="WT001","kg",IF('RawData'!E749="WT002","ton",IF('RawData'!E749="WT003","k ton",""))))</f>
        <v>ton</v>
      </c>
      <c r="F687" s="14">
        <f>IF(ISNUMBER(SEARCH("World",'RawData'!C749)),"",'RawData'!F749)</f>
        <v>0</v>
      </c>
      <c r="G687" s="14">
        <f>IF(ISNUMBER(SEARCH("World",'RawData'!C749)),"",'RawData'!G749)</f>
        <v>2400</v>
      </c>
      <c r="H687" s="14">
        <f>IF(ISNUMBER(SEARCH("World",'RawData'!C749)),"",SUMIFS('RawData'!G:G,'RawData'!B:B,'RawData'!B749,'RawData'!C:C,"*World*"))</f>
        <v>85000</v>
      </c>
      <c r="I687" s="15">
        <f>IF(ISNUMBER(SEARCH("World",'RawData'!C749)),"",IFERROR(G687/H687,"-"))</f>
        <v>2.823529411764706E-2</v>
      </c>
      <c r="J687" s="7">
        <f>IF(ISNUMBER(SEARCH("World",'RawData'!C749)),"",IF(ISNUMBER(SEARCH("Other",C687)),COUNTIFS('RawData'!B:B,B687,'RawData'!C:C,"&lt;&gt;*World*"),IF(OR(G687="",G687=0),"-",SUMPRODUCT(('RawData'!B$2:B$822=B687)*('RawData'!G$2:G$822&gt;G687)*(ISERROR(SEARCH("World",'RawData'!C$2:C$822)))*(ISERROR(SEARCH("Other",'RawData'!C$2:C$822))))+1)))</f>
        <v>3</v>
      </c>
      <c r="K687" s="14">
        <f>IF(ISNUMBER(SEARCH("World",'RawData'!C749)),"",'RawData'!H749)</f>
        <v>0</v>
      </c>
      <c r="L687" s="14">
        <f>IF(ISNUMBER(SEARCH("World",'RawData'!C749)),"",SUMIFS('RawData'!H:H,'RawData'!B:B,'RawData'!B749,'RawData'!C:C,"*World*"))</f>
        <v>4700000</v>
      </c>
      <c r="M687" s="15">
        <f>IF(ISNUMBER(SEARCH("World",'RawData'!C749)),"",IFERROR(K687/L687,"-"))</f>
        <v>0</v>
      </c>
      <c r="N687" s="7" t="str">
        <f>IF(ISNUMBER(SEARCH("World",'RawData'!C749)),"",IF(ISNUMBER(SEARCH("Other",C687)),COUNTIFS('RawData'!B:B,B687,'RawData'!C:C,"&lt;&gt;*World*"),IF(OR(K687="",K687=0),"-",SUMPRODUCT(('RawData'!B$2:B$822=B687)*('RawData'!H$2:H$822&gt;K687)*(ISERROR(SEARCH("World",'RawData'!C$2:C$822)))*(ISERROR(SEARCH("Other",'RawData'!C$2:C$822))))+1)))</f>
        <v>-</v>
      </c>
    </row>
    <row r="688" spans="1:14" x14ac:dyDescent="0.3">
      <c r="A688" s="4" t="str">
        <f>IF(ISNUMBER(SEARCH("World",'RawData'!C750)),"",'RawData'!A750)</f>
        <v>MCS2026</v>
      </c>
      <c r="B688" s="4" t="str">
        <f>IF(ISNUMBER(SEARCH("World",'RawData'!C750)),"",'RawData'!B750)</f>
        <v xml:space="preserve">Tungsten </v>
      </c>
      <c r="C688" s="4" t="str">
        <f>IF(ISNUMBER(SEARCH("World",'RawData'!C750)),"",'RawData'!C750)</f>
        <v>North Korea</v>
      </c>
      <c r="D688" s="4" t="str">
        <f>IF(ISNUMBER(SEARCH("World",'RawData'!C750)),"",'RawData'!D750)</f>
        <v>Mine production, tungsten content</v>
      </c>
      <c r="E688" s="4" t="str">
        <f>IF(ISNUMBER(SEARCH("World",'RawData'!C750)),"",IF('RawData'!E750="WT001","kg",IF('RawData'!E750="WT002","ton",IF('RawData'!E750="WT003","k ton",""))))</f>
        <v>ton</v>
      </c>
      <c r="F688" s="14">
        <f>IF(ISNUMBER(SEARCH("World",'RawData'!C750)),"",'RawData'!F750)</f>
        <v>1900</v>
      </c>
      <c r="G688" s="14">
        <f>IF(ISNUMBER(SEARCH("World",'RawData'!C750)),"",'RawData'!G750)</f>
        <v>2000</v>
      </c>
      <c r="H688" s="14">
        <f>IF(ISNUMBER(SEARCH("World",'RawData'!C750)),"",SUMIFS('RawData'!G:G,'RawData'!B:B,'RawData'!B750,'RawData'!C:C,"*World*"))</f>
        <v>85000</v>
      </c>
      <c r="I688" s="15">
        <f>IF(ISNUMBER(SEARCH("World",'RawData'!C750)),"",IFERROR(G688/H688,"-"))</f>
        <v>2.3529411764705882E-2</v>
      </c>
      <c r="J688" s="7">
        <f>IF(ISNUMBER(SEARCH("World",'RawData'!C750)),"",IF(ISNUMBER(SEARCH("Other",C688)),COUNTIFS('RawData'!B:B,B688,'RawData'!C:C,"&lt;&gt;*World*"),IF(OR(G688="",G688=0),"-",SUMPRODUCT(('RawData'!B$2:B$822=B688)*('RawData'!G$2:G$822&gt;G688)*(ISERROR(SEARCH("World",'RawData'!C$2:C$822)))*(ISERROR(SEARCH("Other",'RawData'!C$2:C$822))))+1)))</f>
        <v>4</v>
      </c>
      <c r="K688" s="14">
        <f>IF(ISNUMBER(SEARCH("World",'RawData'!C750)),"",'RawData'!H750)</f>
        <v>29000</v>
      </c>
      <c r="L688" s="14">
        <f>IF(ISNUMBER(SEARCH("World",'RawData'!C750)),"",SUMIFS('RawData'!H:H,'RawData'!B:B,'RawData'!B750,'RawData'!C:C,"*World*"))</f>
        <v>4700000</v>
      </c>
      <c r="M688" s="15">
        <f>IF(ISNUMBER(SEARCH("World",'RawData'!C750)),"",IFERROR(K688/L688,"-"))</f>
        <v>6.1702127659574472E-3</v>
      </c>
      <c r="N688" s="7">
        <f>IF(ISNUMBER(SEARCH("World",'RawData'!C750)),"",IF(ISNUMBER(SEARCH("Other",C688)),COUNTIFS('RawData'!B:B,B688,'RawData'!C:C,"&lt;&gt;*World*"),IF(OR(K688="",K688=0),"-",SUMPRODUCT(('RawData'!B$2:B$822=B688)*('RawData'!H$2:H$822&gt;K688)*(ISERROR(SEARCH("World",'RawData'!C$2:C$822)))*(ISERROR(SEARCH("Other",'RawData'!C$2:C$822))))+1)))</f>
        <v>6</v>
      </c>
    </row>
    <row r="689" spans="1:14" x14ac:dyDescent="0.3">
      <c r="A689" s="4" t="str">
        <f>IF(ISNUMBER(SEARCH("World",'RawData'!C751)),"",'RawData'!A751)</f>
        <v>MCS2026</v>
      </c>
      <c r="B689" s="4" t="str">
        <f>IF(ISNUMBER(SEARCH("World",'RawData'!C751)),"",'RawData'!B751)</f>
        <v xml:space="preserve">Tungsten </v>
      </c>
      <c r="C689" s="4" t="str">
        <f>IF(ISNUMBER(SEARCH("World",'RawData'!C751)),"",'RawData'!C751)</f>
        <v>Other Countries</v>
      </c>
      <c r="D689" s="4" t="str">
        <f>IF(ISNUMBER(SEARCH("World",'RawData'!C751)),"",'RawData'!D751)</f>
        <v>Mine production, tungsten content</v>
      </c>
      <c r="E689" s="4" t="str">
        <f>IF(ISNUMBER(SEARCH("World",'RawData'!C751)),"",IF('RawData'!E751="WT001","kg",IF('RawData'!E751="WT002","ton",IF('RawData'!E751="WT003","k ton",""))))</f>
        <v>ton</v>
      </c>
      <c r="F689" s="14">
        <f>IF(ISNUMBER(SEARCH("World",'RawData'!C751)),"",'RawData'!F751)</f>
        <v>1700</v>
      </c>
      <c r="G689" s="14">
        <f>IF(ISNUMBER(SEARCH("World",'RawData'!C751)),"",'RawData'!G751)</f>
        <v>2400</v>
      </c>
      <c r="H689" s="14">
        <f>IF(ISNUMBER(SEARCH("World",'RawData'!C751)),"",SUMIFS('RawData'!G:G,'RawData'!B:B,'RawData'!B751,'RawData'!C:C,"*World*"))</f>
        <v>85000</v>
      </c>
      <c r="I689" s="15">
        <f>IF(ISNUMBER(SEARCH("World",'RawData'!C751)),"",IFERROR(G689/H689,"-"))</f>
        <v>2.823529411764706E-2</v>
      </c>
      <c r="J689" s="7">
        <f>IF(ISNUMBER(SEARCH("World",'RawData'!C751)),"",IF(ISNUMBER(SEARCH("Other",C689)),COUNTIFS('RawData'!B:B,B689,'RawData'!C:C,"&lt;&gt;*World*"),IF(OR(G689="",G689=0),"-",SUMPRODUCT(('RawData'!B$2:B$822=B689)*('RawData'!G$2:G$822&gt;G689)*(ISERROR(SEARCH("World",'RawData'!C$2:C$822)))*(ISERROR(SEARCH("Other",'RawData'!C$2:C$822))))+1)))</f>
        <v>13</v>
      </c>
      <c r="K689" s="14">
        <f>IF(ISNUMBER(SEARCH("World",'RawData'!C751)),"",'RawData'!H751)</f>
        <v>950000</v>
      </c>
      <c r="L689" s="14">
        <f>IF(ISNUMBER(SEARCH("World",'RawData'!C751)),"",SUMIFS('RawData'!H:H,'RawData'!B:B,'RawData'!B751,'RawData'!C:C,"*World*"))</f>
        <v>4700000</v>
      </c>
      <c r="M689" s="15">
        <f>IF(ISNUMBER(SEARCH("World",'RawData'!C751)),"",IFERROR(K689/L689,"-"))</f>
        <v>0.20212765957446807</v>
      </c>
      <c r="N689" s="7">
        <f>IF(ISNUMBER(SEARCH("World",'RawData'!C751)),"",IF(ISNUMBER(SEARCH("Other",C689)),COUNTIFS('RawData'!B:B,B689,'RawData'!C:C,"&lt;&gt;*World*"),IF(OR(K689="",K689=0),"-",SUMPRODUCT(('RawData'!B$2:B$822=B689)*('RawData'!H$2:H$822&gt;K689)*(ISERROR(SEARCH("World",'RawData'!C$2:C$822)))*(ISERROR(SEARCH("Other",'RawData'!C$2:C$822))))+1)))</f>
        <v>13</v>
      </c>
    </row>
    <row r="690" spans="1:14" x14ac:dyDescent="0.3">
      <c r="A690" s="4" t="str">
        <f>IF(ISNUMBER(SEARCH("World",'RawData'!C752)),"",'RawData'!A752)</f>
        <v>MCS2026</v>
      </c>
      <c r="B690" s="4" t="str">
        <f>IF(ISNUMBER(SEARCH("World",'RawData'!C752)),"",'RawData'!B752)</f>
        <v xml:space="preserve">Tungsten </v>
      </c>
      <c r="C690" s="4" t="str">
        <f>IF(ISNUMBER(SEARCH("World",'RawData'!C752)),"",'RawData'!C752)</f>
        <v>Portugal</v>
      </c>
      <c r="D690" s="4" t="str">
        <f>IF(ISNUMBER(SEARCH("World",'RawData'!C752)),"",'RawData'!D752)</f>
        <v>Mine production, tungsten content</v>
      </c>
      <c r="E690" s="4" t="str">
        <f>IF(ISNUMBER(SEARCH("World",'RawData'!C752)),"",IF('RawData'!E752="WT001","kg",IF('RawData'!E752="WT002","ton",IF('RawData'!E752="WT003","k ton",""))))</f>
        <v>ton</v>
      </c>
      <c r="F690" s="14">
        <f>IF(ISNUMBER(SEARCH("World",'RawData'!C752)),"",'RawData'!F752)</f>
        <v>650</v>
      </c>
      <c r="G690" s="14">
        <f>IF(ISNUMBER(SEARCH("World",'RawData'!C752)),"",'RawData'!G752)</f>
        <v>700</v>
      </c>
      <c r="H690" s="14">
        <f>IF(ISNUMBER(SEARCH("World",'RawData'!C752)),"",SUMIFS('RawData'!G:G,'RawData'!B:B,'RawData'!B752,'RawData'!C:C,"*World*"))</f>
        <v>85000</v>
      </c>
      <c r="I690" s="15">
        <f>IF(ISNUMBER(SEARCH("World",'RawData'!C752)),"",IFERROR(G690/H690,"-"))</f>
        <v>8.2352941176470594E-3</v>
      </c>
      <c r="J690" s="7">
        <f>IF(ISNUMBER(SEARCH("World",'RawData'!C752)),"",IF(ISNUMBER(SEARCH("Other",C690)),COUNTIFS('RawData'!B:B,B690,'RawData'!C:C,"&lt;&gt;*World*"),IF(OR(G690="",G690=0),"-",SUMPRODUCT(('RawData'!B$2:B$822=B690)*('RawData'!G$2:G$822&gt;G690)*(ISERROR(SEARCH("World",'RawData'!C$2:C$822)))*(ISERROR(SEARCH("Other",'RawData'!C$2:C$822))))+1)))</f>
        <v>11</v>
      </c>
      <c r="K690" s="14">
        <f>IF(ISNUMBER(SEARCH("World",'RawData'!C752)),"",'RawData'!H752)</f>
        <v>3400</v>
      </c>
      <c r="L690" s="14">
        <f>IF(ISNUMBER(SEARCH("World",'RawData'!C752)),"",SUMIFS('RawData'!H:H,'RawData'!B:B,'RawData'!B752,'RawData'!C:C,"*World*"))</f>
        <v>4700000</v>
      </c>
      <c r="M690" s="15">
        <f>IF(ISNUMBER(SEARCH("World",'RawData'!C752)),"",IFERROR(K690/L690,"-"))</f>
        <v>7.2340425531914894E-4</v>
      </c>
      <c r="N690" s="7">
        <f>IF(ISNUMBER(SEARCH("World",'RawData'!C752)),"",IF(ISNUMBER(SEARCH("Other",C690)),COUNTIFS('RawData'!B:B,B690,'RawData'!C:C,"&lt;&gt;*World*"),IF(OR(K690="",K690=0),"-",SUMPRODUCT(('RawData'!B$2:B$822=B690)*('RawData'!H$2:H$822&gt;K690)*(ISERROR(SEARCH("World",'RawData'!C$2:C$822)))*(ISERROR(SEARCH("Other",'RawData'!C$2:C$822))))+1)))</f>
        <v>8</v>
      </c>
    </row>
    <row r="691" spans="1:14" x14ac:dyDescent="0.3">
      <c r="A691" s="4" t="str">
        <f>IF(ISNUMBER(SEARCH("World",'RawData'!C753)),"",'RawData'!A753)</f>
        <v>MCS2026</v>
      </c>
      <c r="B691" s="4" t="str">
        <f>IF(ISNUMBER(SEARCH("World",'RawData'!C753)),"",'RawData'!B753)</f>
        <v xml:space="preserve">Tungsten </v>
      </c>
      <c r="C691" s="4" t="str">
        <f>IF(ISNUMBER(SEARCH("World",'RawData'!C753)),"",'RawData'!C753)</f>
        <v xml:space="preserve">Russia </v>
      </c>
      <c r="D691" s="4" t="str">
        <f>IF(ISNUMBER(SEARCH("World",'RawData'!C753)),"",'RawData'!D753)</f>
        <v>Mine production, tungsten content</v>
      </c>
      <c r="E691" s="4" t="str">
        <f>IF(ISNUMBER(SEARCH("World",'RawData'!C753)),"",IF('RawData'!E753="WT001","kg",IF('RawData'!E753="WT002","ton",IF('RawData'!E753="WT003","k ton",""))))</f>
        <v>ton</v>
      </c>
      <c r="F691" s="14">
        <f>IF(ISNUMBER(SEARCH("World",'RawData'!C753)),"",'RawData'!F753)</f>
        <v>1500</v>
      </c>
      <c r="G691" s="14">
        <f>IF(ISNUMBER(SEARCH("World",'RawData'!C753)),"",'RawData'!G753)</f>
        <v>2000</v>
      </c>
      <c r="H691" s="14">
        <f>IF(ISNUMBER(SEARCH("World",'RawData'!C753)),"",SUMIFS('RawData'!G:G,'RawData'!B:B,'RawData'!B753,'RawData'!C:C,"*World*"))</f>
        <v>85000</v>
      </c>
      <c r="I691" s="15">
        <f>IF(ISNUMBER(SEARCH("World",'RawData'!C753)),"",IFERROR(G691/H691,"-"))</f>
        <v>2.3529411764705882E-2</v>
      </c>
      <c r="J691" s="7">
        <f>IF(ISNUMBER(SEARCH("World",'RawData'!C753)),"",IF(ISNUMBER(SEARCH("Other",C691)),COUNTIFS('RawData'!B:B,B691,'RawData'!C:C,"&lt;&gt;*World*"),IF(OR(G691="",G691=0),"-",SUMPRODUCT(('RawData'!B$2:B$822=B691)*('RawData'!G$2:G$822&gt;G691)*(ISERROR(SEARCH("World",'RawData'!C$2:C$822)))*(ISERROR(SEARCH("Other",'RawData'!C$2:C$822))))+1)))</f>
        <v>4</v>
      </c>
      <c r="K691" s="14">
        <f>IF(ISNUMBER(SEARCH("World",'RawData'!C753)),"",'RawData'!H753)</f>
        <v>400000</v>
      </c>
      <c r="L691" s="14">
        <f>IF(ISNUMBER(SEARCH("World",'RawData'!C753)),"",SUMIFS('RawData'!H:H,'RawData'!B:B,'RawData'!B753,'RawData'!C:C,"*World*"))</f>
        <v>4700000</v>
      </c>
      <c r="M691" s="15">
        <f>IF(ISNUMBER(SEARCH("World",'RawData'!C753)),"",IFERROR(K691/L691,"-"))</f>
        <v>8.5106382978723402E-2</v>
      </c>
      <c r="N691" s="7">
        <f>IF(ISNUMBER(SEARCH("World",'RawData'!C753)),"",IF(ISNUMBER(SEARCH("Other",C691)),COUNTIFS('RawData'!B:B,B691,'RawData'!C:C,"&lt;&gt;*World*"),IF(OR(K691="",K691=0),"-",SUMPRODUCT(('RawData'!B$2:B$822=B691)*('RawData'!H$2:H$822&gt;K691)*(ISERROR(SEARCH("World",'RawData'!C$2:C$822)))*(ISERROR(SEARCH("Other",'RawData'!C$2:C$822))))+1)))</f>
        <v>3</v>
      </c>
    </row>
    <row r="692" spans="1:14" x14ac:dyDescent="0.3">
      <c r="A692" s="4" t="str">
        <f>IF(ISNUMBER(SEARCH("World",'RawData'!C754)),"",'RawData'!A754)</f>
        <v>MCS2026</v>
      </c>
      <c r="B692" s="4" t="str">
        <f>IF(ISNUMBER(SEARCH("World",'RawData'!C754)),"",'RawData'!B754)</f>
        <v xml:space="preserve">Tungsten </v>
      </c>
      <c r="C692" s="4" t="str">
        <f>IF(ISNUMBER(SEARCH("World",'RawData'!C754)),"",'RawData'!C754)</f>
        <v>Rwanda</v>
      </c>
      <c r="D692" s="4" t="str">
        <f>IF(ISNUMBER(SEARCH("World",'RawData'!C754)),"",'RawData'!D754)</f>
        <v>Mine production, tungsten content</v>
      </c>
      <c r="E692" s="4" t="str">
        <f>IF(ISNUMBER(SEARCH("World",'RawData'!C754)),"",IF('RawData'!E754="WT001","kg",IF('RawData'!E754="WT002","ton",IF('RawData'!E754="WT003","k ton",""))))</f>
        <v>ton</v>
      </c>
      <c r="F692" s="14">
        <f>IF(ISNUMBER(SEARCH("World",'RawData'!C754)),"",'RawData'!F754)</f>
        <v>1300</v>
      </c>
      <c r="G692" s="14">
        <f>IF(ISNUMBER(SEARCH("World",'RawData'!C754)),"",'RawData'!G754)</f>
        <v>1300</v>
      </c>
      <c r="H692" s="14">
        <f>IF(ISNUMBER(SEARCH("World",'RawData'!C754)),"",SUMIFS('RawData'!G:G,'RawData'!B:B,'RawData'!B754,'RawData'!C:C,"*World*"))</f>
        <v>85000</v>
      </c>
      <c r="I692" s="15">
        <f>IF(ISNUMBER(SEARCH("World",'RawData'!C754)),"",IFERROR(G692/H692,"-"))</f>
        <v>1.5294117647058824E-2</v>
      </c>
      <c r="J692" s="7">
        <f>IF(ISNUMBER(SEARCH("World",'RawData'!C754)),"",IF(ISNUMBER(SEARCH("Other",C692)),COUNTIFS('RawData'!B:B,B692,'RawData'!C:C,"&lt;&gt;*World*"),IF(OR(G692="",G692=0),"-",SUMPRODUCT(('RawData'!B$2:B$822=B692)*('RawData'!G$2:G$822&gt;G692)*(ISERROR(SEARCH("World",'RawData'!C$2:C$822)))*(ISERROR(SEARCH("Other",'RawData'!C$2:C$822))))+1)))</f>
        <v>7</v>
      </c>
      <c r="K692" s="14">
        <f>IF(ISNUMBER(SEARCH("World",'RawData'!C754)),"",'RawData'!H754)</f>
        <v>0</v>
      </c>
      <c r="L692" s="14">
        <f>IF(ISNUMBER(SEARCH("World",'RawData'!C754)),"",SUMIFS('RawData'!H:H,'RawData'!B:B,'RawData'!B754,'RawData'!C:C,"*World*"))</f>
        <v>4700000</v>
      </c>
      <c r="M692" s="15">
        <f>IF(ISNUMBER(SEARCH("World",'RawData'!C754)),"",IFERROR(K692/L692,"-"))</f>
        <v>0</v>
      </c>
      <c r="N692" s="7" t="str">
        <f>IF(ISNUMBER(SEARCH("World",'RawData'!C754)),"",IF(ISNUMBER(SEARCH("Other",C692)),COUNTIFS('RawData'!B:B,B692,'RawData'!C:C,"&lt;&gt;*World*"),IF(OR(K692="",K692=0),"-",SUMPRODUCT(('RawData'!B$2:B$822=B692)*('RawData'!H$2:H$822&gt;K692)*(ISERROR(SEARCH("World",'RawData'!C$2:C$822)))*(ISERROR(SEARCH("Other",'RawData'!C$2:C$822))))+1)))</f>
        <v>-</v>
      </c>
    </row>
    <row r="693" spans="1:14" x14ac:dyDescent="0.3">
      <c r="A693" s="4" t="str">
        <f>IF(ISNUMBER(SEARCH("World",'RawData'!C755)),"",'RawData'!A755)</f>
        <v>MCS2026</v>
      </c>
      <c r="B693" s="4" t="str">
        <f>IF(ISNUMBER(SEARCH("World",'RawData'!C755)),"",'RawData'!B755)</f>
        <v xml:space="preserve">Tungsten </v>
      </c>
      <c r="C693" s="4" t="str">
        <f>IF(ISNUMBER(SEARCH("World",'RawData'!C755)),"",'RawData'!C755)</f>
        <v>Spain</v>
      </c>
      <c r="D693" s="4" t="str">
        <f>IF(ISNUMBER(SEARCH("World",'RawData'!C755)),"",'RawData'!D755)</f>
        <v>Mine production, tungsten content</v>
      </c>
      <c r="E693" s="4" t="str">
        <f>IF(ISNUMBER(SEARCH("World",'RawData'!C755)),"",IF('RawData'!E755="WT001","kg",IF('RawData'!E755="WT002","ton",IF('RawData'!E755="WT003","k ton",""))))</f>
        <v>ton</v>
      </c>
      <c r="F693" s="14">
        <f>IF(ISNUMBER(SEARCH("World",'RawData'!C755)),"",'RawData'!F755)</f>
        <v>700</v>
      </c>
      <c r="G693" s="14">
        <f>IF(ISNUMBER(SEARCH("World",'RawData'!C755)),"",'RawData'!G755)</f>
        <v>800</v>
      </c>
      <c r="H693" s="14">
        <f>IF(ISNUMBER(SEARCH("World",'RawData'!C755)),"",SUMIFS('RawData'!G:G,'RawData'!B:B,'RawData'!B755,'RawData'!C:C,"*World*"))</f>
        <v>85000</v>
      </c>
      <c r="I693" s="15">
        <f>IF(ISNUMBER(SEARCH("World",'RawData'!C755)),"",IFERROR(G693/H693,"-"))</f>
        <v>9.4117647058823521E-3</v>
      </c>
      <c r="J693" s="7">
        <f>IF(ISNUMBER(SEARCH("World",'RawData'!C755)),"",IF(ISNUMBER(SEARCH("Other",C693)),COUNTIFS('RawData'!B:B,B693,'RawData'!C:C,"&lt;&gt;*World*"),IF(OR(G693="",G693=0),"-",SUMPRODUCT(('RawData'!B$2:B$822=B693)*('RawData'!G$2:G$822&gt;G693)*(ISERROR(SEARCH("World",'RawData'!C$2:C$822)))*(ISERROR(SEARCH("Other",'RawData'!C$2:C$822))))+1)))</f>
        <v>10</v>
      </c>
      <c r="K693" s="14">
        <f>IF(ISNUMBER(SEARCH("World",'RawData'!C755)),"",'RawData'!H755)</f>
        <v>66000</v>
      </c>
      <c r="L693" s="14">
        <f>IF(ISNUMBER(SEARCH("World",'RawData'!C755)),"",SUMIFS('RawData'!H:H,'RawData'!B:B,'RawData'!B755,'RawData'!C:C,"*World*"))</f>
        <v>4700000</v>
      </c>
      <c r="M693" s="15">
        <f>IF(ISNUMBER(SEARCH("World",'RawData'!C755)),"",IFERROR(K693/L693,"-"))</f>
        <v>1.4042553191489362E-2</v>
      </c>
      <c r="N693" s="7">
        <f>IF(ISNUMBER(SEARCH("World",'RawData'!C755)),"",IF(ISNUMBER(SEARCH("Other",C693)),COUNTIFS('RawData'!B:B,B693,'RawData'!C:C,"&lt;&gt;*World*"),IF(OR(K693="",K693=0),"-",SUMPRODUCT(('RawData'!B$2:B$822=B693)*('RawData'!H$2:H$822&gt;K693)*(ISERROR(SEARCH("World",'RawData'!C$2:C$822)))*(ISERROR(SEARCH("Other",'RawData'!C$2:C$822))))+1)))</f>
        <v>5</v>
      </c>
    </row>
    <row r="694" spans="1:14" x14ac:dyDescent="0.3">
      <c r="A694" s="4" t="str">
        <f>IF(ISNUMBER(SEARCH("World",'RawData'!C756)),"",'RawData'!A756)</f>
        <v>MCS2026</v>
      </c>
      <c r="B694" s="4" t="str">
        <f>IF(ISNUMBER(SEARCH("World",'RawData'!C756)),"",'RawData'!B756)</f>
        <v xml:space="preserve">Tungsten </v>
      </c>
      <c r="C694" s="4" t="str">
        <f>IF(ISNUMBER(SEARCH("World",'RawData'!C756)),"",'RawData'!C756)</f>
        <v>United States</v>
      </c>
      <c r="D694" s="4" t="str">
        <f>IF(ISNUMBER(SEARCH("World",'RawData'!C756)),"",'RawData'!D756)</f>
        <v>Mine production, tungsten content</v>
      </c>
      <c r="E694" s="4" t="str">
        <f>IF(ISNUMBER(SEARCH("World",'RawData'!C756)),"",IF('RawData'!E756="WT001","kg",IF('RawData'!E756="WT002","ton",IF('RawData'!E756="WT003","k ton",""))))</f>
        <v>ton</v>
      </c>
      <c r="F694" s="14">
        <f>IF(ISNUMBER(SEARCH("World",'RawData'!C756)),"",'RawData'!F756)</f>
        <v>0</v>
      </c>
      <c r="G694" s="14">
        <f>IF(ISNUMBER(SEARCH("World",'RawData'!C756)),"",'RawData'!G756)</f>
        <v>0</v>
      </c>
      <c r="H694" s="14">
        <f>IF(ISNUMBER(SEARCH("World",'RawData'!C756)),"",SUMIFS('RawData'!G:G,'RawData'!B:B,'RawData'!B756,'RawData'!C:C,"*World*"))</f>
        <v>85000</v>
      </c>
      <c r="I694" s="15">
        <f>IF(ISNUMBER(SEARCH("World",'RawData'!C756)),"",IFERROR(G694/H694,"-"))</f>
        <v>0</v>
      </c>
      <c r="J694" s="7" t="str">
        <f>IF(ISNUMBER(SEARCH("World",'RawData'!C756)),"",IF(ISNUMBER(SEARCH("Other",C694)),COUNTIFS('RawData'!B:B,B694,'RawData'!C:C,"&lt;&gt;*World*"),IF(OR(G694="",G694=0),"-",SUMPRODUCT(('RawData'!B$2:B$822=B694)*('RawData'!G$2:G$822&gt;G694)*(ISERROR(SEARCH("World",'RawData'!C$2:C$822)))*(ISERROR(SEARCH("Other",'RawData'!C$2:C$822))))+1)))</f>
        <v>-</v>
      </c>
      <c r="K694" s="14">
        <f>IF(ISNUMBER(SEARCH("World",'RawData'!C756)),"",'RawData'!H756)</f>
        <v>0</v>
      </c>
      <c r="L694" s="14">
        <f>IF(ISNUMBER(SEARCH("World",'RawData'!C756)),"",SUMIFS('RawData'!H:H,'RawData'!B:B,'RawData'!B756,'RawData'!C:C,"*World*"))</f>
        <v>4700000</v>
      </c>
      <c r="M694" s="15">
        <f>IF(ISNUMBER(SEARCH("World",'RawData'!C756)),"",IFERROR(K694/L694,"-"))</f>
        <v>0</v>
      </c>
      <c r="N694" s="7" t="str">
        <f>IF(ISNUMBER(SEARCH("World",'RawData'!C756)),"",IF(ISNUMBER(SEARCH("Other",C694)),COUNTIFS('RawData'!B:B,B694,'RawData'!C:C,"&lt;&gt;*World*"),IF(OR(K694="",K694=0),"-",SUMPRODUCT(('RawData'!B$2:B$822=B694)*('RawData'!H$2:H$822&gt;K694)*(ISERROR(SEARCH("World",'RawData'!C$2:C$822)))*(ISERROR(SEARCH("Other",'RawData'!C$2:C$822))))+1)))</f>
        <v>-</v>
      </c>
    </row>
    <row r="695" spans="1:14" x14ac:dyDescent="0.3">
      <c r="A695" s="4" t="str">
        <f>IF(ISNUMBER(SEARCH("World",'RawData'!C757)),"",'RawData'!A757)</f>
        <v>MCS2026</v>
      </c>
      <c r="B695" s="4" t="str">
        <f>IF(ISNUMBER(SEARCH("World",'RawData'!C757)),"",'RawData'!B757)</f>
        <v xml:space="preserve">Tungsten </v>
      </c>
      <c r="C695" s="4" t="str">
        <f>IF(ISNUMBER(SEARCH("World",'RawData'!C757)),"",'RawData'!C757)</f>
        <v>Vietnam</v>
      </c>
      <c r="D695" s="4" t="str">
        <f>IF(ISNUMBER(SEARCH("World",'RawData'!C757)),"",'RawData'!D757)</f>
        <v>Mine production, tungsten content</v>
      </c>
      <c r="E695" s="4" t="str">
        <f>IF(ISNUMBER(SEARCH("World",'RawData'!C757)),"",IF('RawData'!E757="WT001","kg",IF('RawData'!E757="WT002","ton",IF('RawData'!E757="WT003","k ton",""))))</f>
        <v>ton</v>
      </c>
      <c r="F695" s="14">
        <f>IF(ISNUMBER(SEARCH("World",'RawData'!C757)),"",'RawData'!F757)</f>
        <v>3400</v>
      </c>
      <c r="G695" s="14">
        <f>IF(ISNUMBER(SEARCH("World",'RawData'!C757)),"",'RawData'!G757)</f>
        <v>3000</v>
      </c>
      <c r="H695" s="14">
        <f>IF(ISNUMBER(SEARCH("World",'RawData'!C757)),"",SUMIFS('RawData'!G:G,'RawData'!B:B,'RawData'!B757,'RawData'!C:C,"*World*"))</f>
        <v>85000</v>
      </c>
      <c r="I695" s="15">
        <f>IF(ISNUMBER(SEARCH("World",'RawData'!C757)),"",IFERROR(G695/H695,"-"))</f>
        <v>3.5294117647058823E-2</v>
      </c>
      <c r="J695" s="7">
        <f>IF(ISNUMBER(SEARCH("World",'RawData'!C757)),"",IF(ISNUMBER(SEARCH("Other",C695)),COUNTIFS('RawData'!B:B,B695,'RawData'!C:C,"&lt;&gt;*World*"),IF(OR(G695="",G695=0),"-",SUMPRODUCT(('RawData'!B$2:B$822=B695)*('RawData'!G$2:G$822&gt;G695)*(ISERROR(SEARCH("World",'RawData'!C$2:C$822)))*(ISERROR(SEARCH("Other",'RawData'!C$2:C$822))))+1)))</f>
        <v>2</v>
      </c>
      <c r="K695" s="14">
        <f>IF(ISNUMBER(SEARCH("World",'RawData'!C757)),"",'RawData'!H757)</f>
        <v>170000</v>
      </c>
      <c r="L695" s="14">
        <f>IF(ISNUMBER(SEARCH("World",'RawData'!C757)),"",SUMIFS('RawData'!H:H,'RawData'!B:B,'RawData'!B757,'RawData'!C:C,"*World*"))</f>
        <v>4700000</v>
      </c>
      <c r="M695" s="15">
        <f>IF(ISNUMBER(SEARCH("World",'RawData'!C757)),"",IFERROR(K695/L695,"-"))</f>
        <v>3.6170212765957444E-2</v>
      </c>
      <c r="N695" s="7">
        <f>IF(ISNUMBER(SEARCH("World",'RawData'!C757)),"",IF(ISNUMBER(SEARCH("Other",C695)),COUNTIFS('RawData'!B:B,B695,'RawData'!C:C,"&lt;&gt;*World*"),IF(OR(K695="",K695=0),"-",SUMPRODUCT(('RawData'!B$2:B$822=B695)*('RawData'!H$2:H$822&gt;K695)*(ISERROR(SEARCH("World",'RawData'!C$2:C$822)))*(ISERROR(SEARCH("Other",'RawData'!C$2:C$822))))+1)))</f>
        <v>4</v>
      </c>
    </row>
    <row r="696" spans="1:14" x14ac:dyDescent="0.3">
      <c r="A696" s="4" t="str">
        <f>IF(ISNUMBER(SEARCH("World",'RawData'!C759)),"",'RawData'!A759)</f>
        <v>MCS2026</v>
      </c>
      <c r="B696" s="4" t="str">
        <f>IF(ISNUMBER(SEARCH("World",'RawData'!C759)),"",'RawData'!B759)</f>
        <v>Vanadium</v>
      </c>
      <c r="C696" s="4" t="str">
        <f>IF(ISNUMBER(SEARCH("World",'RawData'!C759)),"",'RawData'!C759)</f>
        <v>Australia</v>
      </c>
      <c r="D696" s="4" t="str">
        <f>IF(ISNUMBER(SEARCH("World",'RawData'!C759)),"",'RawData'!D759)</f>
        <v>Mine production, vanadium content</v>
      </c>
      <c r="E696" s="4" t="str">
        <f>IF(ISNUMBER(SEARCH("World",'RawData'!C759)),"",IF('RawData'!E759="WT001","kg",IF('RawData'!E759="WT002","ton",IF('RawData'!E759="WT003","k ton",""))))</f>
        <v>ton</v>
      </c>
      <c r="F696" s="14">
        <f>IF(ISNUMBER(SEARCH("World",'RawData'!C759)),"",'RawData'!F759)</f>
        <v>0</v>
      </c>
      <c r="G696" s="14">
        <f>IF(ISNUMBER(SEARCH("World",'RawData'!C759)),"",'RawData'!G759)</f>
        <v>0</v>
      </c>
      <c r="H696" s="14">
        <f>IF(ISNUMBER(SEARCH("World",'RawData'!C759)),"",SUMIFS('RawData'!G:G,'RawData'!B:B,'RawData'!B759,'RawData'!C:C,"*World*"))</f>
        <v>110000</v>
      </c>
      <c r="I696" s="15">
        <f>IF(ISNUMBER(SEARCH("World",'RawData'!C759)),"",IFERROR(G696/H696,"-"))</f>
        <v>0</v>
      </c>
      <c r="J696" s="7" t="str">
        <f>IF(ISNUMBER(SEARCH("World",'RawData'!C759)),"",IF(ISNUMBER(SEARCH("Other",C696)),COUNTIFS('RawData'!B:B,B696,'RawData'!C:C,"&lt;&gt;*World*"),IF(OR(G696="",G696=0),"-",SUMPRODUCT(('RawData'!B$2:B$822=B696)*('RawData'!G$2:G$822&gt;G696)*(ISERROR(SEARCH("World",'RawData'!C$2:C$822)))*(ISERROR(SEARCH("Other",'RawData'!C$2:C$822))))+1)))</f>
        <v>-</v>
      </c>
      <c r="K696" s="14">
        <f>IF(ISNUMBER(SEARCH("World",'RawData'!C759)),"",'RawData'!H759)</f>
        <v>10000000</v>
      </c>
      <c r="L696" s="14">
        <f>IF(ISNUMBER(SEARCH("World",'RawData'!C759)),"",SUMIFS('RawData'!H:H,'RawData'!B:B,'RawData'!B759,'RawData'!C:C,"*World*"))</f>
        <v>21000000</v>
      </c>
      <c r="M696" s="15">
        <f>IF(ISNUMBER(SEARCH("World",'RawData'!C759)),"",IFERROR(K696/L696,"-"))</f>
        <v>0.47619047619047616</v>
      </c>
      <c r="N696" s="7">
        <f>IF(ISNUMBER(SEARCH("World",'RawData'!C759)),"",IF(ISNUMBER(SEARCH("Other",C696)),COUNTIFS('RawData'!B:B,B696,'RawData'!C:C,"&lt;&gt;*World*"),IF(OR(K696="",K696=0),"-",SUMPRODUCT(('RawData'!B$2:B$822=B696)*('RawData'!H$2:H$822&gt;K696)*(ISERROR(SEARCH("World",'RawData'!C$2:C$822)))*(ISERROR(SEARCH("Other",'RawData'!C$2:C$822))))+1)))</f>
        <v>1</v>
      </c>
    </row>
    <row r="697" spans="1:14" x14ac:dyDescent="0.3">
      <c r="A697" s="4" t="str">
        <f>IF(ISNUMBER(SEARCH("World",'RawData'!C760)),"",'RawData'!A760)</f>
        <v>MCS2026</v>
      </c>
      <c r="B697" s="4" t="str">
        <f>IF(ISNUMBER(SEARCH("World",'RawData'!C760)),"",'RawData'!B760)</f>
        <v>Vanadium</v>
      </c>
      <c r="C697" s="4" t="str">
        <f>IF(ISNUMBER(SEARCH("World",'RawData'!C760)),"",'RawData'!C760)</f>
        <v>Brazil</v>
      </c>
      <c r="D697" s="4" t="str">
        <f>IF(ISNUMBER(SEARCH("World",'RawData'!C760)),"",'RawData'!D760)</f>
        <v>Mine production, vanadium content</v>
      </c>
      <c r="E697" s="4" t="str">
        <f>IF(ISNUMBER(SEARCH("World",'RawData'!C760)),"",IF('RawData'!E760="WT001","kg",IF('RawData'!E760="WT002","ton",IF('RawData'!E760="WT003","k ton",""))))</f>
        <v>ton</v>
      </c>
      <c r="F697" s="14">
        <f>IF(ISNUMBER(SEARCH("World",'RawData'!C760)),"",'RawData'!F760)</f>
        <v>5190</v>
      </c>
      <c r="G697" s="14">
        <f>IF(ISNUMBER(SEARCH("World",'RawData'!C760)),"",'RawData'!G760)</f>
        <v>5300</v>
      </c>
      <c r="H697" s="14">
        <f>IF(ISNUMBER(SEARCH("World",'RawData'!C760)),"",SUMIFS('RawData'!G:G,'RawData'!B:B,'RawData'!B760,'RawData'!C:C,"*World*"))</f>
        <v>110000</v>
      </c>
      <c r="I697" s="15">
        <f>IF(ISNUMBER(SEARCH("World",'RawData'!C760)),"",IFERROR(G697/H697,"-"))</f>
        <v>4.818181818181818E-2</v>
      </c>
      <c r="J697" s="7">
        <f>IF(ISNUMBER(SEARCH("World",'RawData'!C760)),"",IF(ISNUMBER(SEARCH("Other",C697)),COUNTIFS('RawData'!B:B,B697,'RawData'!C:C,"&lt;&gt;*World*"),IF(OR(G697="",G697=0),"-",SUMPRODUCT(('RawData'!B$2:B$822=B697)*('RawData'!G$2:G$822&gt;G697)*(ISERROR(SEARCH("World",'RawData'!C$2:C$822)))*(ISERROR(SEARCH("Other",'RawData'!C$2:C$822))))+1)))</f>
        <v>3</v>
      </c>
      <c r="K697" s="14">
        <f>IF(ISNUMBER(SEARCH("World",'RawData'!C760)),"",'RawData'!H760)</f>
        <v>94000</v>
      </c>
      <c r="L697" s="14">
        <f>IF(ISNUMBER(SEARCH("World",'RawData'!C760)),"",SUMIFS('RawData'!H:H,'RawData'!B:B,'RawData'!B760,'RawData'!C:C,"*World*"))</f>
        <v>21000000</v>
      </c>
      <c r="M697" s="15">
        <f>IF(ISNUMBER(SEARCH("World",'RawData'!C760)),"",IFERROR(K697/L697,"-"))</f>
        <v>4.4761904761904765E-3</v>
      </c>
      <c r="N697" s="7">
        <f>IF(ISNUMBER(SEARCH("World",'RawData'!C760)),"",IF(ISNUMBER(SEARCH("Other",C697)),COUNTIFS('RawData'!B:B,B697,'RawData'!C:C,"&lt;&gt;*World*"),IF(OR(K697="",K697=0),"-",SUMPRODUCT(('RawData'!B$2:B$822=B697)*('RawData'!H$2:H$822&gt;K697)*(ISERROR(SEARCH("World",'RawData'!C$2:C$822)))*(ISERROR(SEARCH("Other",'RawData'!C$2:C$822))))+1)))</f>
        <v>5</v>
      </c>
    </row>
    <row r="698" spans="1:14" x14ac:dyDescent="0.3">
      <c r="A698" s="4" t="str">
        <f>IF(ISNUMBER(SEARCH("World",'RawData'!C761)),"",'RawData'!A761)</f>
        <v>MCS2026</v>
      </c>
      <c r="B698" s="4" t="str">
        <f>IF(ISNUMBER(SEARCH("World",'RawData'!C761)),"",'RawData'!B761)</f>
        <v>Vanadium</v>
      </c>
      <c r="C698" s="4" t="str">
        <f>IF(ISNUMBER(SEARCH("World",'RawData'!C761)),"",'RawData'!C761)</f>
        <v>China</v>
      </c>
      <c r="D698" s="4" t="str">
        <f>IF(ISNUMBER(SEARCH("World",'RawData'!C761)),"",'RawData'!D761)</f>
        <v>Mine production, vanadium content</v>
      </c>
      <c r="E698" s="4" t="str">
        <f>IF(ISNUMBER(SEARCH("World",'RawData'!C761)),"",IF('RawData'!E761="WT001","kg",IF('RawData'!E761="WT002","ton",IF('RawData'!E761="WT003","k ton",""))))</f>
        <v>ton</v>
      </c>
      <c r="F698" s="14">
        <f>IF(ISNUMBER(SEARCH("World",'RawData'!C761)),"",'RawData'!F761)</f>
        <v>84000</v>
      </c>
      <c r="G698" s="14">
        <f>IF(ISNUMBER(SEARCH("World",'RawData'!C761)),"",'RawData'!G761)</f>
        <v>82000</v>
      </c>
      <c r="H698" s="14">
        <f>IF(ISNUMBER(SEARCH("World",'RawData'!C761)),"",SUMIFS('RawData'!G:G,'RawData'!B:B,'RawData'!B761,'RawData'!C:C,"*World*"))</f>
        <v>110000</v>
      </c>
      <c r="I698" s="15">
        <f>IF(ISNUMBER(SEARCH("World",'RawData'!C761)),"",IFERROR(G698/H698,"-"))</f>
        <v>0.74545454545454548</v>
      </c>
      <c r="J698" s="7">
        <f>IF(ISNUMBER(SEARCH("World",'RawData'!C761)),"",IF(ISNUMBER(SEARCH("Other",C698)),COUNTIFS('RawData'!B:B,B698,'RawData'!C:C,"&lt;&gt;*World*"),IF(OR(G698="",G698=0),"-",SUMPRODUCT(('RawData'!B$2:B$822=B698)*('RawData'!G$2:G$822&gt;G698)*(ISERROR(SEARCH("World",'RawData'!C$2:C$822)))*(ISERROR(SEARCH("Other",'RawData'!C$2:C$822))))+1)))</f>
        <v>1</v>
      </c>
      <c r="K698" s="14">
        <f>IF(ISNUMBER(SEARCH("World",'RawData'!C761)),"",'RawData'!H761)</f>
        <v>5800000</v>
      </c>
      <c r="L698" s="14">
        <f>IF(ISNUMBER(SEARCH("World",'RawData'!C761)),"",SUMIFS('RawData'!H:H,'RawData'!B:B,'RawData'!B761,'RawData'!C:C,"*World*"))</f>
        <v>21000000</v>
      </c>
      <c r="M698" s="15">
        <f>IF(ISNUMBER(SEARCH("World",'RawData'!C761)),"",IFERROR(K698/L698,"-"))</f>
        <v>0.27619047619047621</v>
      </c>
      <c r="N698" s="7">
        <f>IF(ISNUMBER(SEARCH("World",'RawData'!C761)),"",IF(ISNUMBER(SEARCH("Other",C698)),COUNTIFS('RawData'!B:B,B698,'RawData'!C:C,"&lt;&gt;*World*"),IF(OR(K698="",K698=0),"-",SUMPRODUCT(('RawData'!B$2:B$822=B698)*('RawData'!H$2:H$822&gt;K698)*(ISERROR(SEARCH("World",'RawData'!C$2:C$822)))*(ISERROR(SEARCH("Other",'RawData'!C$2:C$822))))+1)))</f>
        <v>2</v>
      </c>
    </row>
    <row r="699" spans="1:14" x14ac:dyDescent="0.3">
      <c r="A699" s="4" t="str">
        <f>IF(ISNUMBER(SEARCH("World",'RawData'!C762)),"",'RawData'!A762)</f>
        <v>MCS2026</v>
      </c>
      <c r="B699" s="4" t="str">
        <f>IF(ISNUMBER(SEARCH("World",'RawData'!C762)),"",'RawData'!B762)</f>
        <v>Vanadium</v>
      </c>
      <c r="C699" s="4" t="str">
        <f>IF(ISNUMBER(SEARCH("World",'RawData'!C762)),"",'RawData'!C762)</f>
        <v xml:space="preserve">Russia </v>
      </c>
      <c r="D699" s="4" t="str">
        <f>IF(ISNUMBER(SEARCH("World",'RawData'!C762)),"",'RawData'!D762)</f>
        <v>Mine production, vanadium content</v>
      </c>
      <c r="E699" s="4" t="str">
        <f>IF(ISNUMBER(SEARCH("World",'RawData'!C762)),"",IF('RawData'!E762="WT001","kg",IF('RawData'!E762="WT002","ton",IF('RawData'!E762="WT003","k ton",""))))</f>
        <v>ton</v>
      </c>
      <c r="F699" s="14">
        <f>IF(ISNUMBER(SEARCH("World",'RawData'!C762)),"",'RawData'!F762)</f>
        <v>21000</v>
      </c>
      <c r="G699" s="14">
        <f>IF(ISNUMBER(SEARCH("World",'RawData'!C762)),"",'RawData'!G762)</f>
        <v>21000</v>
      </c>
      <c r="H699" s="14">
        <f>IF(ISNUMBER(SEARCH("World",'RawData'!C762)),"",SUMIFS('RawData'!G:G,'RawData'!B:B,'RawData'!B762,'RawData'!C:C,"*World*"))</f>
        <v>110000</v>
      </c>
      <c r="I699" s="15">
        <f>IF(ISNUMBER(SEARCH("World",'RawData'!C762)),"",IFERROR(G699/H699,"-"))</f>
        <v>0.19090909090909092</v>
      </c>
      <c r="J699" s="7">
        <f>IF(ISNUMBER(SEARCH("World",'RawData'!C762)),"",IF(ISNUMBER(SEARCH("Other",C699)),COUNTIFS('RawData'!B:B,B699,'RawData'!C:C,"&lt;&gt;*World*"),IF(OR(G699="",G699=0),"-",SUMPRODUCT(('RawData'!B$2:B$822=B699)*('RawData'!G$2:G$822&gt;G699)*(ISERROR(SEARCH("World",'RawData'!C$2:C$822)))*(ISERROR(SEARCH("Other",'RawData'!C$2:C$822))))+1)))</f>
        <v>2</v>
      </c>
      <c r="K699" s="14">
        <f>IF(ISNUMBER(SEARCH("World",'RawData'!C762)),"",'RawData'!H762)</f>
        <v>5000000</v>
      </c>
      <c r="L699" s="14">
        <f>IF(ISNUMBER(SEARCH("World",'RawData'!C762)),"",SUMIFS('RawData'!H:H,'RawData'!B:B,'RawData'!B762,'RawData'!C:C,"*World*"))</f>
        <v>21000000</v>
      </c>
      <c r="M699" s="15">
        <f>IF(ISNUMBER(SEARCH("World",'RawData'!C762)),"",IFERROR(K699/L699,"-"))</f>
        <v>0.23809523809523808</v>
      </c>
      <c r="N699" s="7">
        <f>IF(ISNUMBER(SEARCH("World",'RawData'!C762)),"",IF(ISNUMBER(SEARCH("Other",C699)),COUNTIFS('RawData'!B:B,B699,'RawData'!C:C,"&lt;&gt;*World*"),IF(OR(K699="",K699=0),"-",SUMPRODUCT(('RawData'!B$2:B$822=B699)*('RawData'!H$2:H$822&gt;K699)*(ISERROR(SEARCH("World",'RawData'!C$2:C$822)))*(ISERROR(SEARCH("Other",'RawData'!C$2:C$822))))+1)))</f>
        <v>3</v>
      </c>
    </row>
    <row r="700" spans="1:14" x14ac:dyDescent="0.3">
      <c r="A700" s="4" t="str">
        <f>IF(ISNUMBER(SEARCH("World",'RawData'!C763)),"",'RawData'!A763)</f>
        <v>MCS2026</v>
      </c>
      <c r="B700" s="4" t="str">
        <f>IF(ISNUMBER(SEARCH("World",'RawData'!C763)),"",'RawData'!B763)</f>
        <v>Vanadium</v>
      </c>
      <c r="C700" s="4" t="str">
        <f>IF(ISNUMBER(SEARCH("World",'RawData'!C763)),"",'RawData'!C763)</f>
        <v xml:space="preserve">South Africa </v>
      </c>
      <c r="D700" s="4" t="str">
        <f>IF(ISNUMBER(SEARCH("World",'RawData'!C763)),"",'RawData'!D763)</f>
        <v>Mine production, vanadium content</v>
      </c>
      <c r="E700" s="4" t="str">
        <f>IF(ISNUMBER(SEARCH("World",'RawData'!C763)),"",IF('RawData'!E763="WT001","kg",IF('RawData'!E763="WT002","ton",IF('RawData'!E763="WT003","k ton",""))))</f>
        <v>ton</v>
      </c>
      <c r="F700" s="14">
        <f>IF(ISNUMBER(SEARCH("World",'RawData'!C763)),"",'RawData'!F763)</f>
        <v>8050</v>
      </c>
      <c r="G700" s="14">
        <f>IF(ISNUMBER(SEARCH("World",'RawData'!C763)),"",'RawData'!G763)</f>
        <v>5000</v>
      </c>
      <c r="H700" s="14">
        <f>IF(ISNUMBER(SEARCH("World",'RawData'!C763)),"",SUMIFS('RawData'!G:G,'RawData'!B:B,'RawData'!B763,'RawData'!C:C,"*World*"))</f>
        <v>110000</v>
      </c>
      <c r="I700" s="15">
        <f>IF(ISNUMBER(SEARCH("World",'RawData'!C763)),"",IFERROR(G700/H700,"-"))</f>
        <v>4.5454545454545456E-2</v>
      </c>
      <c r="J700" s="7">
        <f>IF(ISNUMBER(SEARCH("World",'RawData'!C763)),"",IF(ISNUMBER(SEARCH("Other",C700)),COUNTIFS('RawData'!B:B,B700,'RawData'!C:C,"&lt;&gt;*World*"),IF(OR(G700="",G700=0),"-",SUMPRODUCT(('RawData'!B$2:B$822=B700)*('RawData'!G$2:G$822&gt;G700)*(ISERROR(SEARCH("World",'RawData'!C$2:C$822)))*(ISERROR(SEARCH("Other",'RawData'!C$2:C$822))))+1)))</f>
        <v>4</v>
      </c>
      <c r="K700" s="14">
        <f>IF(ISNUMBER(SEARCH("World",'RawData'!C763)),"",'RawData'!H763)</f>
        <v>520000</v>
      </c>
      <c r="L700" s="14">
        <f>IF(ISNUMBER(SEARCH("World",'RawData'!C763)),"",SUMIFS('RawData'!H:H,'RawData'!B:B,'RawData'!B763,'RawData'!C:C,"*World*"))</f>
        <v>21000000</v>
      </c>
      <c r="M700" s="15">
        <f>IF(ISNUMBER(SEARCH("World",'RawData'!C763)),"",IFERROR(K700/L700,"-"))</f>
        <v>2.4761904761904763E-2</v>
      </c>
      <c r="N700" s="7">
        <f>IF(ISNUMBER(SEARCH("World",'RawData'!C763)),"",IF(ISNUMBER(SEARCH("Other",C700)),COUNTIFS('RawData'!B:B,B700,'RawData'!C:C,"&lt;&gt;*World*"),IF(OR(K700="",K700=0),"-",SUMPRODUCT(('RawData'!B$2:B$822=B700)*('RawData'!H$2:H$822&gt;K700)*(ISERROR(SEARCH("World",'RawData'!C$2:C$822)))*(ISERROR(SEARCH("Other",'RawData'!C$2:C$822))))+1)))</f>
        <v>4</v>
      </c>
    </row>
    <row r="701" spans="1:14" x14ac:dyDescent="0.3">
      <c r="A701" s="4" t="str">
        <f>IF(ISNUMBER(SEARCH("World",'RawData'!C764)),"",'RawData'!A764)</f>
        <v>MCS2026</v>
      </c>
      <c r="B701" s="4" t="str">
        <f>IF(ISNUMBER(SEARCH("World",'RawData'!C764)),"",'RawData'!B764)</f>
        <v>Vanadium</v>
      </c>
      <c r="C701" s="4" t="str">
        <f>IF(ISNUMBER(SEARCH("World",'RawData'!C764)),"",'RawData'!C764)</f>
        <v>United States</v>
      </c>
      <c r="D701" s="4" t="str">
        <f>IF(ISNUMBER(SEARCH("World",'RawData'!C764)),"",'RawData'!D764)</f>
        <v>Mine production, vanadium content</v>
      </c>
      <c r="E701" s="4" t="str">
        <f>IF(ISNUMBER(SEARCH("World",'RawData'!C764)),"",IF('RawData'!E764="WT001","kg",IF('RawData'!E764="WT002","ton",IF('RawData'!E764="WT003","k ton",""))))</f>
        <v>ton</v>
      </c>
      <c r="F701" s="14">
        <f>IF(ISNUMBER(SEARCH("World",'RawData'!C764)),"",'RawData'!F764)</f>
        <v>0</v>
      </c>
      <c r="G701" s="14">
        <f>IF(ISNUMBER(SEARCH("World",'RawData'!C764)),"",'RawData'!G764)</f>
        <v>0</v>
      </c>
      <c r="H701" s="14">
        <f>IF(ISNUMBER(SEARCH("World",'RawData'!C764)),"",SUMIFS('RawData'!G:G,'RawData'!B:B,'RawData'!B764,'RawData'!C:C,"*World*"))</f>
        <v>110000</v>
      </c>
      <c r="I701" s="15">
        <f>IF(ISNUMBER(SEARCH("World",'RawData'!C764)),"",IFERROR(G701/H701,"-"))</f>
        <v>0</v>
      </c>
      <c r="J701" s="7" t="str">
        <f>IF(ISNUMBER(SEARCH("World",'RawData'!C764)),"",IF(ISNUMBER(SEARCH("Other",C701)),COUNTIFS('RawData'!B:B,B701,'RawData'!C:C,"&lt;&gt;*World*"),IF(OR(G701="",G701=0),"-",SUMPRODUCT(('RawData'!B$2:B$822=B701)*('RawData'!G$2:G$822&gt;G701)*(ISERROR(SEARCH("World",'RawData'!C$2:C$822)))*(ISERROR(SEARCH("Other",'RawData'!C$2:C$822))))+1)))</f>
        <v>-</v>
      </c>
      <c r="K701" s="14">
        <f>IF(ISNUMBER(SEARCH("World",'RawData'!C764)),"",'RawData'!H764)</f>
        <v>50000</v>
      </c>
      <c r="L701" s="14">
        <f>IF(ISNUMBER(SEARCH("World",'RawData'!C764)),"",SUMIFS('RawData'!H:H,'RawData'!B:B,'RawData'!B764,'RawData'!C:C,"*World*"))</f>
        <v>21000000</v>
      </c>
      <c r="M701" s="15">
        <f>IF(ISNUMBER(SEARCH("World",'RawData'!C764)),"",IFERROR(K701/L701,"-"))</f>
        <v>2.3809523809523812E-3</v>
      </c>
      <c r="N701" s="7">
        <f>IF(ISNUMBER(SEARCH("World",'RawData'!C764)),"",IF(ISNUMBER(SEARCH("Other",C701)),COUNTIFS('RawData'!B:B,B701,'RawData'!C:C,"&lt;&gt;*World*"),IF(OR(K701="",K701=0),"-",SUMPRODUCT(('RawData'!B$2:B$822=B701)*('RawData'!H$2:H$822&gt;K701)*(ISERROR(SEARCH("World",'RawData'!C$2:C$822)))*(ISERROR(SEARCH("Other",'RawData'!C$2:C$822))))+1)))</f>
        <v>6</v>
      </c>
    </row>
    <row r="702" spans="1:14" x14ac:dyDescent="0.3">
      <c r="A702" s="4" t="str">
        <f>IF(ISNUMBER(SEARCH("World",'RawData'!C766)),"",'RawData'!A766)</f>
        <v>MCS2026</v>
      </c>
      <c r="B702" s="4" t="str">
        <f>IF(ISNUMBER(SEARCH("World",'RawData'!C766)),"",'RawData'!B766)</f>
        <v>Vermiculite</v>
      </c>
      <c r="C702" s="4" t="str">
        <f>IF(ISNUMBER(SEARCH("World",'RawData'!C766)),"",'RawData'!C766)</f>
        <v>Brazil</v>
      </c>
      <c r="D702" s="4" t="str">
        <f>IF(ISNUMBER(SEARCH("World",'RawData'!C766)),"",'RawData'!D766)</f>
        <v>Mine production</v>
      </c>
      <c r="E702" s="4" t="str">
        <f>IF(ISNUMBER(SEARCH("World",'RawData'!C766)),"",IF('RawData'!E766="WT001","kg",IF('RawData'!E766="WT002","ton",IF('RawData'!E766="WT003","k ton",""))))</f>
        <v>k ton</v>
      </c>
      <c r="F702" s="14">
        <f>IF(ISNUMBER(SEARCH("World",'RawData'!C766)),"",'RawData'!F766)</f>
        <v>53</v>
      </c>
      <c r="G702" s="14">
        <f>IF(ISNUMBER(SEARCH("World",'RawData'!C766)),"",'RawData'!G766)</f>
        <v>50</v>
      </c>
      <c r="H702" s="14">
        <f>IF(ISNUMBER(SEARCH("World",'RawData'!C766)),"",SUMIFS('RawData'!G:G,'RawData'!B:B,'RawData'!B766,'RawData'!C:C,"*World*"))</f>
        <v>460</v>
      </c>
      <c r="I702" s="15">
        <f>IF(ISNUMBER(SEARCH("World",'RawData'!C766)),"",IFERROR(G702/H702,"-"))</f>
        <v>0.10869565217391304</v>
      </c>
      <c r="J702" s="7">
        <f>IF(ISNUMBER(SEARCH("World",'RawData'!C766)),"",IF(ISNUMBER(SEARCH("Other",C702)),COUNTIFS('RawData'!B:B,B702,'RawData'!C:C,"&lt;&gt;*World*"),IF(OR(G702="",G702=0),"-",SUMPRODUCT(('RawData'!B$2:B$822=B702)*('RawData'!G$2:G$822&gt;G702)*(ISERROR(SEARCH("World",'RawData'!C$2:C$822)))*(ISERROR(SEARCH("Other",'RawData'!C$2:C$822))))+1)))</f>
        <v>3</v>
      </c>
      <c r="K702" s="14">
        <f>IF(ISNUMBER(SEARCH("World",'RawData'!C766)),"",'RawData'!H766)</f>
        <v>6600</v>
      </c>
      <c r="L702" s="14">
        <f>IF(ISNUMBER(SEARCH("World",'RawData'!C766)),"",SUMIFS('RawData'!H:H,'RawData'!B:B,'RawData'!B766,'RawData'!C:C,"*World*"))</f>
        <v>0</v>
      </c>
      <c r="M702" s="15" t="str">
        <f>IF(ISNUMBER(SEARCH("World",'RawData'!C766)),"",IFERROR(K702/L702,"-"))</f>
        <v>-</v>
      </c>
      <c r="N702" s="7">
        <f>IF(ISNUMBER(SEARCH("World",'RawData'!C766)),"",IF(ISNUMBER(SEARCH("Other",C702)),COUNTIFS('RawData'!B:B,B702,'RawData'!C:C,"&lt;&gt;*World*"),IF(OR(K702="",K702=0),"-",SUMPRODUCT(('RawData'!B$2:B$822=B702)*('RawData'!H$2:H$822&gt;K702)*(ISERROR(SEARCH("World",'RawData'!C$2:C$822)))*(ISERROR(SEARCH("Other",'RawData'!C$2:C$822))))+1)))</f>
        <v>4</v>
      </c>
    </row>
    <row r="703" spans="1:14" x14ac:dyDescent="0.3">
      <c r="A703" s="4" t="str">
        <f>IF(ISNUMBER(SEARCH("World",'RawData'!C767)),"",'RawData'!A767)</f>
        <v>MCS2026</v>
      </c>
      <c r="B703" s="4" t="str">
        <f>IF(ISNUMBER(SEARCH("World",'RawData'!C767)),"",'RawData'!B767)</f>
        <v>Vermiculite</v>
      </c>
      <c r="C703" s="4" t="str">
        <f>IF(ISNUMBER(SEARCH("World",'RawData'!C767)),"",'RawData'!C767)</f>
        <v>Bulgaria</v>
      </c>
      <c r="D703" s="4" t="str">
        <f>IF(ISNUMBER(SEARCH("World",'RawData'!C767)),"",'RawData'!D767)</f>
        <v>Mine production</v>
      </c>
      <c r="E703" s="4" t="str">
        <f>IF(ISNUMBER(SEARCH("World",'RawData'!C767)),"",IF('RawData'!E767="WT001","kg",IF('RawData'!E767="WT002","ton",IF('RawData'!E767="WT003","k ton",""))))</f>
        <v>k ton</v>
      </c>
      <c r="F703" s="14">
        <f>IF(ISNUMBER(SEARCH("World",'RawData'!C767)),"",'RawData'!F767)</f>
        <v>10</v>
      </c>
      <c r="G703" s="14">
        <f>IF(ISNUMBER(SEARCH("World",'RawData'!C767)),"",'RawData'!G767)</f>
        <v>10</v>
      </c>
      <c r="H703" s="14">
        <f>IF(ISNUMBER(SEARCH("World",'RawData'!C767)),"",SUMIFS('RawData'!G:G,'RawData'!B:B,'RawData'!B767,'RawData'!C:C,"*World*"))</f>
        <v>460</v>
      </c>
      <c r="I703" s="15">
        <f>IF(ISNUMBER(SEARCH("World",'RawData'!C767)),"",IFERROR(G703/H703,"-"))</f>
        <v>2.1739130434782608E-2</v>
      </c>
      <c r="J703" s="7">
        <f>IF(ISNUMBER(SEARCH("World",'RawData'!C767)),"",IF(ISNUMBER(SEARCH("Other",C703)),COUNTIFS('RawData'!B:B,B703,'RawData'!C:C,"&lt;&gt;*World*"),IF(OR(G703="",G703=0),"-",SUMPRODUCT(('RawData'!B$2:B$822=B703)*('RawData'!G$2:G$822&gt;G703)*(ISERROR(SEARCH("World",'RawData'!C$2:C$822)))*(ISERROR(SEARCH("Other",'RawData'!C$2:C$822))))+1)))</f>
        <v>8</v>
      </c>
      <c r="K703" s="14">
        <f>IF(ISNUMBER(SEARCH("World",'RawData'!C767)),"",'RawData'!H767)</f>
        <v>0</v>
      </c>
      <c r="L703" s="14">
        <f>IF(ISNUMBER(SEARCH("World",'RawData'!C767)),"",SUMIFS('RawData'!H:H,'RawData'!B:B,'RawData'!B767,'RawData'!C:C,"*World*"))</f>
        <v>0</v>
      </c>
      <c r="M703" s="15" t="str">
        <f>IF(ISNUMBER(SEARCH("World",'RawData'!C767)),"",IFERROR(K703/L703,"-"))</f>
        <v>-</v>
      </c>
      <c r="N703" s="7" t="str">
        <f>IF(ISNUMBER(SEARCH("World",'RawData'!C767)),"",IF(ISNUMBER(SEARCH("Other",C703)),COUNTIFS('RawData'!B:B,B703,'RawData'!C:C,"&lt;&gt;*World*"),IF(OR(K703="",K703=0),"-",SUMPRODUCT(('RawData'!B$2:B$822=B703)*('RawData'!H$2:H$822&gt;K703)*(ISERROR(SEARCH("World",'RawData'!C$2:C$822)))*(ISERROR(SEARCH("Other",'RawData'!C$2:C$822))))+1)))</f>
        <v>-</v>
      </c>
    </row>
    <row r="704" spans="1:14" x14ac:dyDescent="0.3">
      <c r="A704" s="4" t="str">
        <f>IF(ISNUMBER(SEARCH("World",'RawData'!C768)),"",'RawData'!A768)</f>
        <v>MCS2026</v>
      </c>
      <c r="B704" s="4" t="str">
        <f>IF(ISNUMBER(SEARCH("World",'RawData'!C768)),"",'RawData'!B768)</f>
        <v>Vermiculite</v>
      </c>
      <c r="C704" s="4" t="str">
        <f>IF(ISNUMBER(SEARCH("World",'RawData'!C768)),"",'RawData'!C768)</f>
        <v>China</v>
      </c>
      <c r="D704" s="4" t="str">
        <f>IF(ISNUMBER(SEARCH("World",'RawData'!C768)),"",'RawData'!D768)</f>
        <v>Mine production</v>
      </c>
      <c r="E704" s="4" t="str">
        <f>IF(ISNUMBER(SEARCH("World",'RawData'!C768)),"",IF('RawData'!E768="WT001","kg",IF('RawData'!E768="WT002","ton",IF('RawData'!E768="WT003","k ton",""))))</f>
        <v>k ton</v>
      </c>
      <c r="F704" s="14">
        <f>IF(ISNUMBER(SEARCH("World",'RawData'!C768)),"",'RawData'!F768)</f>
        <v>39</v>
      </c>
      <c r="G704" s="14">
        <f>IF(ISNUMBER(SEARCH("World",'RawData'!C768)),"",'RawData'!G768)</f>
        <v>40</v>
      </c>
      <c r="H704" s="14">
        <f>IF(ISNUMBER(SEARCH("World",'RawData'!C768)),"",SUMIFS('RawData'!G:G,'RawData'!B:B,'RawData'!B768,'RawData'!C:C,"*World*"))</f>
        <v>460</v>
      </c>
      <c r="I704" s="15">
        <f>IF(ISNUMBER(SEARCH("World",'RawData'!C768)),"",IFERROR(G704/H704,"-"))</f>
        <v>8.6956521739130432E-2</v>
      </c>
      <c r="J704" s="7">
        <f>IF(ISNUMBER(SEARCH("World",'RawData'!C768)),"",IF(ISNUMBER(SEARCH("Other",C704)),COUNTIFS('RawData'!B:B,B704,'RawData'!C:C,"&lt;&gt;*World*"),IF(OR(G704="",G704=0),"-",SUMPRODUCT(('RawData'!B$2:B$822=B704)*('RawData'!G$2:G$822&gt;G704)*(ISERROR(SEARCH("World",'RawData'!C$2:C$822)))*(ISERROR(SEARCH("Other",'RawData'!C$2:C$822))))+1)))</f>
        <v>4</v>
      </c>
      <c r="K704" s="14">
        <f>IF(ISNUMBER(SEARCH("World",'RawData'!C768)),"",'RawData'!H768)</f>
        <v>2900</v>
      </c>
      <c r="L704" s="14">
        <f>IF(ISNUMBER(SEARCH("World",'RawData'!C768)),"",SUMIFS('RawData'!H:H,'RawData'!B:B,'RawData'!B768,'RawData'!C:C,"*World*"))</f>
        <v>0</v>
      </c>
      <c r="M704" s="15" t="str">
        <f>IF(ISNUMBER(SEARCH("World",'RawData'!C768)),"",IFERROR(K704/L704,"-"))</f>
        <v>-</v>
      </c>
      <c r="N704" s="7">
        <f>IF(ISNUMBER(SEARCH("World",'RawData'!C768)),"",IF(ISNUMBER(SEARCH("Other",C704)),COUNTIFS('RawData'!B:B,B704,'RawData'!C:C,"&lt;&gt;*World*"),IF(OR(K704="",K704=0),"-",SUMPRODUCT(('RawData'!B$2:B$822=B704)*('RawData'!H$2:H$822&gt;K704)*(ISERROR(SEARCH("World",'RawData'!C$2:C$822)))*(ISERROR(SEARCH("Other",'RawData'!C$2:C$822))))+1)))</f>
        <v>5</v>
      </c>
    </row>
    <row r="705" spans="1:14" x14ac:dyDescent="0.3">
      <c r="A705" s="4" t="str">
        <f>IF(ISNUMBER(SEARCH("World",'RawData'!C769)),"",'RawData'!A769)</f>
        <v>MCS2026</v>
      </c>
      <c r="B705" s="4" t="str">
        <f>IF(ISNUMBER(SEARCH("World",'RawData'!C769)),"",'RawData'!B769)</f>
        <v>Vermiculite</v>
      </c>
      <c r="C705" s="4" t="str">
        <f>IF(ISNUMBER(SEARCH("World",'RawData'!C769)),"",'RawData'!C769)</f>
        <v>India</v>
      </c>
      <c r="D705" s="4" t="str">
        <f>IF(ISNUMBER(SEARCH("World",'RawData'!C769)),"",'RawData'!D769)</f>
        <v>Mine production</v>
      </c>
      <c r="E705" s="4" t="str">
        <f>IF(ISNUMBER(SEARCH("World",'RawData'!C769)),"",IF('RawData'!E769="WT001","kg",IF('RawData'!E769="WT002","ton",IF('RawData'!E769="WT003","k ton",""))))</f>
        <v>k ton</v>
      </c>
      <c r="F705" s="14">
        <f>IF(ISNUMBER(SEARCH("World",'RawData'!C769)),"",'RawData'!F769)</f>
        <v>2</v>
      </c>
      <c r="G705" s="14">
        <f>IF(ISNUMBER(SEARCH("World",'RawData'!C769)),"",'RawData'!G769)</f>
        <v>2</v>
      </c>
      <c r="H705" s="14">
        <f>IF(ISNUMBER(SEARCH("World",'RawData'!C769)),"",SUMIFS('RawData'!G:G,'RawData'!B:B,'RawData'!B769,'RawData'!C:C,"*World*"))</f>
        <v>460</v>
      </c>
      <c r="I705" s="15">
        <f>IF(ISNUMBER(SEARCH("World",'RawData'!C769)),"",IFERROR(G705/H705,"-"))</f>
        <v>4.3478260869565218E-3</v>
      </c>
      <c r="J705" s="7">
        <f>IF(ISNUMBER(SEARCH("World",'RawData'!C769)),"",IF(ISNUMBER(SEARCH("Other",C705)),COUNTIFS('RawData'!B:B,B705,'RawData'!C:C,"&lt;&gt;*World*"),IF(OR(G705="",G705=0),"-",SUMPRODUCT(('RawData'!B$2:B$822=B705)*('RawData'!G$2:G$822&gt;G705)*(ISERROR(SEARCH("World",'RawData'!C$2:C$822)))*(ISERROR(SEARCH("Other",'RawData'!C$2:C$822))))+1)))</f>
        <v>10</v>
      </c>
      <c r="K705" s="14">
        <f>IF(ISNUMBER(SEARCH("World",'RawData'!C769)),"",'RawData'!H769)</f>
        <v>1600</v>
      </c>
      <c r="L705" s="14">
        <f>IF(ISNUMBER(SEARCH("World",'RawData'!C769)),"",SUMIFS('RawData'!H:H,'RawData'!B:B,'RawData'!B769,'RawData'!C:C,"*World*"))</f>
        <v>0</v>
      </c>
      <c r="M705" s="15" t="str">
        <f>IF(ISNUMBER(SEARCH("World",'RawData'!C769)),"",IFERROR(K705/L705,"-"))</f>
        <v>-</v>
      </c>
      <c r="N705" s="7">
        <f>IF(ISNUMBER(SEARCH("World",'RawData'!C769)),"",IF(ISNUMBER(SEARCH("Other",C705)),COUNTIFS('RawData'!B:B,B705,'RawData'!C:C,"&lt;&gt;*World*"),IF(OR(K705="",K705=0),"-",SUMPRODUCT(('RawData'!B$2:B$822=B705)*('RawData'!H$2:H$822&gt;K705)*(ISERROR(SEARCH("World",'RawData'!C$2:C$822)))*(ISERROR(SEARCH("Other",'RawData'!C$2:C$822))))+1)))</f>
        <v>6</v>
      </c>
    </row>
    <row r="706" spans="1:14" x14ac:dyDescent="0.3">
      <c r="A706" s="4" t="str">
        <f>IF(ISNUMBER(SEARCH("World",'RawData'!C770)),"",'RawData'!A770)</f>
        <v>MCS2026</v>
      </c>
      <c r="B706" s="4" t="str">
        <f>IF(ISNUMBER(SEARCH("World",'RawData'!C770)),"",'RawData'!B770)</f>
        <v>Vermiculite</v>
      </c>
      <c r="C706" s="4" t="str">
        <f>IF(ISNUMBER(SEARCH("World",'RawData'!C770)),"",'RawData'!C770)</f>
        <v>Mexico</v>
      </c>
      <c r="D706" s="4" t="str">
        <f>IF(ISNUMBER(SEARCH("World",'RawData'!C770)),"",'RawData'!D770)</f>
        <v>Mine production</v>
      </c>
      <c r="E706" s="4" t="str">
        <f>IF(ISNUMBER(SEARCH("World",'RawData'!C770)),"",IF('RawData'!E770="WT001","kg",IF('RawData'!E770="WT002","ton",IF('RawData'!E770="WT003","k ton",""))))</f>
        <v>k ton</v>
      </c>
      <c r="F706" s="14">
        <f>IF(ISNUMBER(SEARCH("World",'RawData'!C770)),"",'RawData'!F770)</f>
        <v>0</v>
      </c>
      <c r="G706" s="14">
        <f>IF(ISNUMBER(SEARCH("World",'RawData'!C770)),"",'RawData'!G770)</f>
        <v>0</v>
      </c>
      <c r="H706" s="14">
        <f>IF(ISNUMBER(SEARCH("World",'RawData'!C770)),"",SUMIFS('RawData'!G:G,'RawData'!B:B,'RawData'!B770,'RawData'!C:C,"*World*"))</f>
        <v>460</v>
      </c>
      <c r="I706" s="15">
        <f>IF(ISNUMBER(SEARCH("World",'RawData'!C770)),"",IFERROR(G706/H706,"-"))</f>
        <v>0</v>
      </c>
      <c r="J706" s="7" t="str">
        <f>IF(ISNUMBER(SEARCH("World",'RawData'!C770)),"",IF(ISNUMBER(SEARCH("Other",C706)),COUNTIFS('RawData'!B:B,B706,'RawData'!C:C,"&lt;&gt;*World*"),IF(OR(G706="",G706=0),"-",SUMPRODUCT(('RawData'!B$2:B$822=B706)*('RawData'!G$2:G$822&gt;G706)*(ISERROR(SEARCH("World",'RawData'!C$2:C$822)))*(ISERROR(SEARCH("Other",'RawData'!C$2:C$822))))+1)))</f>
        <v>-</v>
      </c>
      <c r="K706" s="14">
        <f>IF(ISNUMBER(SEARCH("World",'RawData'!C770)),"",'RawData'!H770)</f>
        <v>0</v>
      </c>
      <c r="L706" s="14">
        <f>IF(ISNUMBER(SEARCH("World",'RawData'!C770)),"",SUMIFS('RawData'!H:H,'RawData'!B:B,'RawData'!B770,'RawData'!C:C,"*World*"))</f>
        <v>0</v>
      </c>
      <c r="M706" s="15" t="str">
        <f>IF(ISNUMBER(SEARCH("World",'RawData'!C770)),"",IFERROR(K706/L706,"-"))</f>
        <v>-</v>
      </c>
      <c r="N706" s="7" t="str">
        <f>IF(ISNUMBER(SEARCH("World",'RawData'!C770)),"",IF(ISNUMBER(SEARCH("Other",C706)),COUNTIFS('RawData'!B:B,B706,'RawData'!C:C,"&lt;&gt;*World*"),IF(OR(K706="",K706=0),"-",SUMPRODUCT(('RawData'!B$2:B$822=B706)*('RawData'!H$2:H$822&gt;K706)*(ISERROR(SEARCH("World",'RawData'!C$2:C$822)))*(ISERROR(SEARCH("Other",'RawData'!C$2:C$822))))+1)))</f>
        <v>-</v>
      </c>
    </row>
    <row r="707" spans="1:14" x14ac:dyDescent="0.3">
      <c r="A707" s="4" t="str">
        <f>IF(ISNUMBER(SEARCH("World",'RawData'!C771)),"",'RawData'!A771)</f>
        <v>MCS2026</v>
      </c>
      <c r="B707" s="4" t="str">
        <f>IF(ISNUMBER(SEARCH("World",'RawData'!C771)),"",'RawData'!B771)</f>
        <v>Vermiculite</v>
      </c>
      <c r="C707" s="4" t="str">
        <f>IF(ISNUMBER(SEARCH("World",'RawData'!C771)),"",'RawData'!C771)</f>
        <v>Turkiye</v>
      </c>
      <c r="D707" s="4" t="str">
        <f>IF(ISNUMBER(SEARCH("World",'RawData'!C771)),"",'RawData'!D771)</f>
        <v>Mine production</v>
      </c>
      <c r="E707" s="4" t="str">
        <f>IF(ISNUMBER(SEARCH("World",'RawData'!C771)),"",IF('RawData'!E771="WT001","kg",IF('RawData'!E771="WT002","ton",IF('RawData'!E771="WT003","k ton",""))))</f>
        <v>k ton</v>
      </c>
      <c r="F707" s="14">
        <f>IF(ISNUMBER(SEARCH("World",'RawData'!C771)),"",'RawData'!F771)</f>
        <v>13</v>
      </c>
      <c r="G707" s="14">
        <f>IF(ISNUMBER(SEARCH("World",'RawData'!C771)),"",'RawData'!G771)</f>
        <v>10</v>
      </c>
      <c r="H707" s="14">
        <f>IF(ISNUMBER(SEARCH("World",'RawData'!C771)),"",SUMIFS('RawData'!G:G,'RawData'!B:B,'RawData'!B771,'RawData'!C:C,"*World*"))</f>
        <v>460</v>
      </c>
      <c r="I707" s="15">
        <f>IF(ISNUMBER(SEARCH("World",'RawData'!C771)),"",IFERROR(G707/H707,"-"))</f>
        <v>2.1739130434782608E-2</v>
      </c>
      <c r="J707" s="7">
        <f>IF(ISNUMBER(SEARCH("World",'RawData'!C771)),"",IF(ISNUMBER(SEARCH("Other",C707)),COUNTIFS('RawData'!B:B,B707,'RawData'!C:C,"&lt;&gt;*World*"),IF(OR(G707="",G707=0),"-",SUMPRODUCT(('RawData'!B$2:B$822=B707)*('RawData'!G$2:G$822&gt;G707)*(ISERROR(SEARCH("World",'RawData'!C$2:C$822)))*(ISERROR(SEARCH("Other",'RawData'!C$2:C$822))))+1)))</f>
        <v>8</v>
      </c>
      <c r="K707" s="14">
        <f>IF(ISNUMBER(SEARCH("World",'RawData'!C771)),"",'RawData'!H771)</f>
        <v>11000</v>
      </c>
      <c r="L707" s="14">
        <f>IF(ISNUMBER(SEARCH("World",'RawData'!C771)),"",SUMIFS('RawData'!H:H,'RawData'!B:B,'RawData'!B771,'RawData'!C:C,"*World*"))</f>
        <v>0</v>
      </c>
      <c r="M707" s="15" t="str">
        <f>IF(ISNUMBER(SEARCH("World",'RawData'!C771)),"",IFERROR(K707/L707,"-"))</f>
        <v>-</v>
      </c>
      <c r="N707" s="7">
        <f>IF(ISNUMBER(SEARCH("World",'RawData'!C771)),"",IF(ISNUMBER(SEARCH("Other",C707)),COUNTIFS('RawData'!B:B,B707,'RawData'!C:C,"&lt;&gt;*World*"),IF(OR(K707="",K707=0),"-",SUMPRODUCT(('RawData'!B$2:B$822=B707)*('RawData'!H$2:H$822&gt;K707)*(ISERROR(SEARCH("World",'RawData'!C$2:C$822)))*(ISERROR(SEARCH("Other",'RawData'!C$2:C$822))))+1)))</f>
        <v>3</v>
      </c>
    </row>
    <row r="708" spans="1:14" x14ac:dyDescent="0.3">
      <c r="A708" s="4" t="str">
        <f>IF(ISNUMBER(SEARCH("World",'RawData'!C772)),"",'RawData'!A772)</f>
        <v>MCS2026</v>
      </c>
      <c r="B708" s="4" t="str">
        <f>IF(ISNUMBER(SEARCH("World",'RawData'!C772)),"",'RawData'!B772)</f>
        <v>Vermiculite</v>
      </c>
      <c r="C708" s="4" t="str">
        <f>IF(ISNUMBER(SEARCH("World",'RawData'!C772)),"",'RawData'!C772)</f>
        <v xml:space="preserve">Russia </v>
      </c>
      <c r="D708" s="4" t="str">
        <f>IF(ISNUMBER(SEARCH("World",'RawData'!C772)),"",'RawData'!D772)</f>
        <v>Mine production</v>
      </c>
      <c r="E708" s="4" t="str">
        <f>IF(ISNUMBER(SEARCH("World",'RawData'!C772)),"",IF('RawData'!E772="WT001","kg",IF('RawData'!E772="WT002","ton",IF('RawData'!E772="WT003","k ton",""))))</f>
        <v>k ton</v>
      </c>
      <c r="F708" s="14">
        <f>IF(ISNUMBER(SEARCH("World",'RawData'!C772)),"",'RawData'!F772)</f>
        <v>37</v>
      </c>
      <c r="G708" s="14">
        <f>IF(ISNUMBER(SEARCH("World",'RawData'!C772)),"",'RawData'!G772)</f>
        <v>40</v>
      </c>
      <c r="H708" s="14">
        <f>IF(ISNUMBER(SEARCH("World",'RawData'!C772)),"",SUMIFS('RawData'!G:G,'RawData'!B:B,'RawData'!B772,'RawData'!C:C,"*World*"))</f>
        <v>460</v>
      </c>
      <c r="I708" s="15">
        <f>IF(ISNUMBER(SEARCH("World",'RawData'!C772)),"",IFERROR(G708/H708,"-"))</f>
        <v>8.6956521739130432E-2</v>
      </c>
      <c r="J708" s="7">
        <f>IF(ISNUMBER(SEARCH("World",'RawData'!C772)),"",IF(ISNUMBER(SEARCH("Other",C708)),COUNTIFS('RawData'!B:B,B708,'RawData'!C:C,"&lt;&gt;*World*"),IF(OR(G708="",G708=0),"-",SUMPRODUCT(('RawData'!B$2:B$822=B708)*('RawData'!G$2:G$822&gt;G708)*(ISERROR(SEARCH("World",'RawData'!C$2:C$822)))*(ISERROR(SEARCH("Other",'RawData'!C$2:C$822))))+1)))</f>
        <v>4</v>
      </c>
      <c r="K708" s="14">
        <f>IF(ISNUMBER(SEARCH("World",'RawData'!C772)),"",'RawData'!H772)</f>
        <v>0</v>
      </c>
      <c r="L708" s="14">
        <f>IF(ISNUMBER(SEARCH("World",'RawData'!C772)),"",SUMIFS('RawData'!H:H,'RawData'!B:B,'RawData'!B772,'RawData'!C:C,"*World*"))</f>
        <v>0</v>
      </c>
      <c r="M708" s="15" t="str">
        <f>IF(ISNUMBER(SEARCH("World",'RawData'!C772)),"",IFERROR(K708/L708,"-"))</f>
        <v>-</v>
      </c>
      <c r="N708" s="7" t="str">
        <f>IF(ISNUMBER(SEARCH("World",'RawData'!C772)),"",IF(ISNUMBER(SEARCH("Other",C708)),COUNTIFS('RawData'!B:B,B708,'RawData'!C:C,"&lt;&gt;*World*"),IF(OR(K708="",K708=0),"-",SUMPRODUCT(('RawData'!B$2:B$822=B708)*('RawData'!H$2:H$822&gt;K708)*(ISERROR(SEARCH("World",'RawData'!C$2:C$822)))*(ISERROR(SEARCH("Other",'RawData'!C$2:C$822))))+1)))</f>
        <v>-</v>
      </c>
    </row>
    <row r="709" spans="1:14" x14ac:dyDescent="0.3">
      <c r="A709" s="4" t="str">
        <f>IF(ISNUMBER(SEARCH("World",'RawData'!C773)),"",'RawData'!A773)</f>
        <v>MCS2026</v>
      </c>
      <c r="B709" s="4" t="str">
        <f>IF(ISNUMBER(SEARCH("World",'RawData'!C773)),"",'RawData'!B773)</f>
        <v>Vermiculite</v>
      </c>
      <c r="C709" s="4" t="str">
        <f>IF(ISNUMBER(SEARCH("World",'RawData'!C773)),"",'RawData'!C773)</f>
        <v xml:space="preserve">South Africa </v>
      </c>
      <c r="D709" s="4" t="str">
        <f>IF(ISNUMBER(SEARCH("World",'RawData'!C773)),"",'RawData'!D773)</f>
        <v>Mine production</v>
      </c>
      <c r="E709" s="4" t="str">
        <f>IF(ISNUMBER(SEARCH("World",'RawData'!C773)),"",IF('RawData'!E773="WT001","kg",IF('RawData'!E773="WT002","ton",IF('RawData'!E773="WT003","k ton",""))))</f>
        <v>k ton</v>
      </c>
      <c r="F709" s="14">
        <f>IF(ISNUMBER(SEARCH("World",'RawData'!C773)),"",'RawData'!F773)</f>
        <v>163</v>
      </c>
      <c r="G709" s="14">
        <f>IF(ISNUMBER(SEARCH("World",'RawData'!C773)),"",'RawData'!G773)</f>
        <v>160</v>
      </c>
      <c r="H709" s="14">
        <f>IF(ISNUMBER(SEARCH("World",'RawData'!C773)),"",SUMIFS('RawData'!G:G,'RawData'!B:B,'RawData'!B773,'RawData'!C:C,"*World*"))</f>
        <v>460</v>
      </c>
      <c r="I709" s="15">
        <f>IF(ISNUMBER(SEARCH("World",'RawData'!C773)),"",IFERROR(G709/H709,"-"))</f>
        <v>0.34782608695652173</v>
      </c>
      <c r="J709" s="7">
        <f>IF(ISNUMBER(SEARCH("World",'RawData'!C773)),"",IF(ISNUMBER(SEARCH("Other",C709)),COUNTIFS('RawData'!B:B,B709,'RawData'!C:C,"&lt;&gt;*World*"),IF(OR(G709="",G709=0),"-",SUMPRODUCT(('RawData'!B$2:B$822=B709)*('RawData'!G$2:G$822&gt;G709)*(ISERROR(SEARCH("World",'RawData'!C$2:C$822)))*(ISERROR(SEARCH("Other",'RawData'!C$2:C$822))))+1)))</f>
        <v>1</v>
      </c>
      <c r="K709" s="14">
        <f>IF(ISNUMBER(SEARCH("World",'RawData'!C773)),"",'RawData'!H773)</f>
        <v>14000</v>
      </c>
      <c r="L709" s="14">
        <f>IF(ISNUMBER(SEARCH("World",'RawData'!C773)),"",SUMIFS('RawData'!H:H,'RawData'!B:B,'RawData'!B773,'RawData'!C:C,"*World*"))</f>
        <v>0</v>
      </c>
      <c r="M709" s="15" t="str">
        <f>IF(ISNUMBER(SEARCH("World",'RawData'!C773)),"",IFERROR(K709/L709,"-"))</f>
        <v>-</v>
      </c>
      <c r="N709" s="7">
        <f>IF(ISNUMBER(SEARCH("World",'RawData'!C773)),"",IF(ISNUMBER(SEARCH("Other",C709)),COUNTIFS('RawData'!B:B,B709,'RawData'!C:C,"&lt;&gt;*World*"),IF(OR(K709="",K709=0),"-",SUMPRODUCT(('RawData'!B$2:B$822=B709)*('RawData'!H$2:H$822&gt;K709)*(ISERROR(SEARCH("World",'RawData'!C$2:C$822)))*(ISERROR(SEARCH("Other",'RawData'!C$2:C$822))))+1)))</f>
        <v>2</v>
      </c>
    </row>
    <row r="710" spans="1:14" x14ac:dyDescent="0.3">
      <c r="A710" s="4" t="str">
        <f>IF(ISNUMBER(SEARCH("World",'RawData'!C774)),"",'RawData'!A774)</f>
        <v>MCS2026</v>
      </c>
      <c r="B710" s="4" t="str">
        <f>IF(ISNUMBER(SEARCH("World",'RawData'!C774)),"",'RawData'!B774)</f>
        <v>Vermiculite</v>
      </c>
      <c r="C710" s="4" t="str">
        <f>IF(ISNUMBER(SEARCH("World",'RawData'!C774)),"",'RawData'!C774)</f>
        <v>Uganda</v>
      </c>
      <c r="D710" s="4" t="str">
        <f>IF(ISNUMBER(SEARCH("World",'RawData'!C774)),"",'RawData'!D774)</f>
        <v>Mine production</v>
      </c>
      <c r="E710" s="4" t="str">
        <f>IF(ISNUMBER(SEARCH("World",'RawData'!C774)),"",IF('RawData'!E774="WT001","kg",IF('RawData'!E774="WT002","ton",IF('RawData'!E774="WT003","k ton",""))))</f>
        <v>k ton</v>
      </c>
      <c r="F710" s="14">
        <f>IF(ISNUMBER(SEARCH("World",'RawData'!C774)),"",'RawData'!F774)</f>
        <v>24</v>
      </c>
      <c r="G710" s="14">
        <f>IF(ISNUMBER(SEARCH("World",'RawData'!C774)),"",'RawData'!G774)</f>
        <v>20</v>
      </c>
      <c r="H710" s="14">
        <f>IF(ISNUMBER(SEARCH("World",'RawData'!C774)),"",SUMIFS('RawData'!G:G,'RawData'!B:B,'RawData'!B774,'RawData'!C:C,"*World*"))</f>
        <v>460</v>
      </c>
      <c r="I710" s="15">
        <f>IF(ISNUMBER(SEARCH("World",'RawData'!C774)),"",IFERROR(G710/H710,"-"))</f>
        <v>4.3478260869565216E-2</v>
      </c>
      <c r="J710" s="7">
        <f>IF(ISNUMBER(SEARCH("World",'RawData'!C774)),"",IF(ISNUMBER(SEARCH("Other",C710)),COUNTIFS('RawData'!B:B,B710,'RawData'!C:C,"&lt;&gt;*World*"),IF(OR(G710="",G710=0),"-",SUMPRODUCT(('RawData'!B$2:B$822=B710)*('RawData'!G$2:G$822&gt;G710)*(ISERROR(SEARCH("World",'RawData'!C$2:C$822)))*(ISERROR(SEARCH("Other",'RawData'!C$2:C$822))))+1)))</f>
        <v>7</v>
      </c>
      <c r="K710" s="14">
        <f>IF(ISNUMBER(SEARCH("World",'RawData'!C774)),"",'RawData'!H774)</f>
        <v>0</v>
      </c>
      <c r="L710" s="14">
        <f>IF(ISNUMBER(SEARCH("World",'RawData'!C774)),"",SUMIFS('RawData'!H:H,'RawData'!B:B,'RawData'!B774,'RawData'!C:C,"*World*"))</f>
        <v>0</v>
      </c>
      <c r="M710" s="15" t="str">
        <f>IF(ISNUMBER(SEARCH("World",'RawData'!C774)),"",IFERROR(K710/L710,"-"))</f>
        <v>-</v>
      </c>
      <c r="N710" s="7" t="str">
        <f>IF(ISNUMBER(SEARCH("World",'RawData'!C774)),"",IF(ISNUMBER(SEARCH("Other",C710)),COUNTIFS('RawData'!B:B,B710,'RawData'!C:C,"&lt;&gt;*World*"),IF(OR(K710="",K710=0),"-",SUMPRODUCT(('RawData'!B$2:B$822=B710)*('RawData'!H$2:H$822&gt;K710)*(ISERROR(SEARCH("World",'RawData'!C$2:C$822)))*(ISERROR(SEARCH("Other",'RawData'!C$2:C$822))))+1)))</f>
        <v>-</v>
      </c>
    </row>
    <row r="711" spans="1:14" x14ac:dyDescent="0.3">
      <c r="A711" s="4" t="str">
        <f>IF(ISNUMBER(SEARCH("World",'RawData'!C775)),"",'RawData'!A775)</f>
        <v>MCS2026</v>
      </c>
      <c r="B711" s="4" t="str">
        <f>IF(ISNUMBER(SEARCH("World",'RawData'!C775)),"",'RawData'!B775)</f>
        <v>Vermiculite</v>
      </c>
      <c r="C711" s="4" t="str">
        <f>IF(ISNUMBER(SEARCH("World",'RawData'!C775)),"",'RawData'!C775)</f>
        <v>United States</v>
      </c>
      <c r="D711" s="4" t="str">
        <f>IF(ISNUMBER(SEARCH("World",'RawData'!C775)),"",'RawData'!D775)</f>
        <v>Mine production</v>
      </c>
      <c r="E711" s="4" t="str">
        <f>IF(ISNUMBER(SEARCH("World",'RawData'!C775)),"",IF('RawData'!E775="WT001","kg",IF('RawData'!E775="WT002","ton",IF('RawData'!E775="WT003","k ton",""))))</f>
        <v>k ton</v>
      </c>
      <c r="F711" s="14">
        <f>IF(ISNUMBER(SEARCH("World",'RawData'!C775)),"",'RawData'!F775)</f>
        <v>100</v>
      </c>
      <c r="G711" s="14">
        <f>IF(ISNUMBER(SEARCH("World",'RawData'!C775)),"",'RawData'!G775)</f>
        <v>100</v>
      </c>
      <c r="H711" s="14">
        <f>IF(ISNUMBER(SEARCH("World",'RawData'!C775)),"",SUMIFS('RawData'!G:G,'RawData'!B:B,'RawData'!B775,'RawData'!C:C,"*World*"))</f>
        <v>460</v>
      </c>
      <c r="I711" s="15">
        <f>IF(ISNUMBER(SEARCH("World",'RawData'!C775)),"",IFERROR(G711/H711,"-"))</f>
        <v>0.21739130434782608</v>
      </c>
      <c r="J711" s="7">
        <f>IF(ISNUMBER(SEARCH("World",'RawData'!C775)),"",IF(ISNUMBER(SEARCH("Other",C711)),COUNTIFS('RawData'!B:B,B711,'RawData'!C:C,"&lt;&gt;*World*"),IF(OR(G711="",G711=0),"-",SUMPRODUCT(('RawData'!B$2:B$822=B711)*('RawData'!G$2:G$822&gt;G711)*(ISERROR(SEARCH("World",'RawData'!C$2:C$822)))*(ISERROR(SEARCH("Other",'RawData'!C$2:C$822))))+1)))</f>
        <v>2</v>
      </c>
      <c r="K711" s="14">
        <f>IF(ISNUMBER(SEARCH("World",'RawData'!C775)),"",'RawData'!H775)</f>
        <v>25000</v>
      </c>
      <c r="L711" s="14">
        <f>IF(ISNUMBER(SEARCH("World",'RawData'!C775)),"",SUMIFS('RawData'!H:H,'RawData'!B:B,'RawData'!B775,'RawData'!C:C,"*World*"))</f>
        <v>0</v>
      </c>
      <c r="M711" s="15" t="str">
        <f>IF(ISNUMBER(SEARCH("World",'RawData'!C775)),"",IFERROR(K711/L711,"-"))</f>
        <v>-</v>
      </c>
      <c r="N711" s="7">
        <f>IF(ISNUMBER(SEARCH("World",'RawData'!C775)),"",IF(ISNUMBER(SEARCH("Other",C711)),COUNTIFS('RawData'!B:B,B711,'RawData'!C:C,"&lt;&gt;*World*"),IF(OR(K711="",K711=0),"-",SUMPRODUCT(('RawData'!B$2:B$822=B711)*('RawData'!H$2:H$822&gt;K711)*(ISERROR(SEARCH("World",'RawData'!C$2:C$822)))*(ISERROR(SEARCH("Other",'RawData'!C$2:C$822))))+1)))</f>
        <v>1</v>
      </c>
    </row>
    <row r="712" spans="1:14" x14ac:dyDescent="0.3">
      <c r="A712" s="4" t="str">
        <f>IF(ISNUMBER(SEARCH("World",'RawData'!C776)),"",'RawData'!A776)</f>
        <v>MCS2026</v>
      </c>
      <c r="B712" s="4" t="str">
        <f>IF(ISNUMBER(SEARCH("World",'RawData'!C776)),"",'RawData'!B776)</f>
        <v>Vermiculite</v>
      </c>
      <c r="C712" s="4" t="str">
        <f>IF(ISNUMBER(SEARCH("World",'RawData'!C776)),"",'RawData'!C776)</f>
        <v>Uzbekistan</v>
      </c>
      <c r="D712" s="4" t="str">
        <f>IF(ISNUMBER(SEARCH("World",'RawData'!C776)),"",'RawData'!D776)</f>
        <v>Mine production</v>
      </c>
      <c r="E712" s="4" t="str">
        <f>IF(ISNUMBER(SEARCH("World",'RawData'!C776)),"",IF('RawData'!E776="WT001","kg",IF('RawData'!E776="WT002","ton",IF('RawData'!E776="WT003","k ton",""))))</f>
        <v>k ton</v>
      </c>
      <c r="F712" s="14">
        <f>IF(ISNUMBER(SEARCH("World",'RawData'!C776)),"",'RawData'!F776)</f>
        <v>1</v>
      </c>
      <c r="G712" s="14">
        <f>IF(ISNUMBER(SEARCH("World",'RawData'!C776)),"",'RawData'!G776)</f>
        <v>1</v>
      </c>
      <c r="H712" s="14">
        <f>IF(ISNUMBER(SEARCH("World",'RawData'!C776)),"",SUMIFS('RawData'!G:G,'RawData'!B:B,'RawData'!B776,'RawData'!C:C,"*World*"))</f>
        <v>460</v>
      </c>
      <c r="I712" s="15">
        <f>IF(ISNUMBER(SEARCH("World",'RawData'!C776)),"",IFERROR(G712/H712,"-"))</f>
        <v>2.1739130434782609E-3</v>
      </c>
      <c r="J712" s="7">
        <f>IF(ISNUMBER(SEARCH("World",'RawData'!C776)),"",IF(ISNUMBER(SEARCH("Other",C712)),COUNTIFS('RawData'!B:B,B712,'RawData'!C:C,"&lt;&gt;*World*"),IF(OR(G712="",G712=0),"-",SUMPRODUCT(('RawData'!B$2:B$822=B712)*('RawData'!G$2:G$822&gt;G712)*(ISERROR(SEARCH("World",'RawData'!C$2:C$822)))*(ISERROR(SEARCH("Other",'RawData'!C$2:C$822))))+1)))</f>
        <v>11</v>
      </c>
      <c r="K712" s="14">
        <f>IF(ISNUMBER(SEARCH("World",'RawData'!C776)),"",'RawData'!H776)</f>
        <v>0</v>
      </c>
      <c r="L712" s="14">
        <f>IF(ISNUMBER(SEARCH("World",'RawData'!C776)),"",SUMIFS('RawData'!H:H,'RawData'!B:B,'RawData'!B776,'RawData'!C:C,"*World*"))</f>
        <v>0</v>
      </c>
      <c r="M712" s="15" t="str">
        <f>IF(ISNUMBER(SEARCH("World",'RawData'!C776)),"",IFERROR(K712/L712,"-"))</f>
        <v>-</v>
      </c>
      <c r="N712" s="7" t="str">
        <f>IF(ISNUMBER(SEARCH("World",'RawData'!C776)),"",IF(ISNUMBER(SEARCH("Other",C712)),COUNTIFS('RawData'!B:B,B712,'RawData'!C:C,"&lt;&gt;*World*"),IF(OR(K712="",K712=0),"-",SUMPRODUCT(('RawData'!B$2:B$822=B712)*('RawData'!H$2:H$822&gt;K712)*(ISERROR(SEARCH("World",'RawData'!C$2:C$822)))*(ISERROR(SEARCH("Other",'RawData'!C$2:C$822))))+1)))</f>
        <v>-</v>
      </c>
    </row>
    <row r="713" spans="1:14" x14ac:dyDescent="0.3">
      <c r="A713" s="4" t="str">
        <f>IF(ISNUMBER(SEARCH("World",'RawData'!C778)),"",'RawData'!A778)</f>
        <v>MCS2026</v>
      </c>
      <c r="B713" s="4" t="str">
        <f>IF(ISNUMBER(SEARCH("World",'RawData'!C778)),"",'RawData'!B778)</f>
        <v>Vermiculite</v>
      </c>
      <c r="C713" s="4" t="str">
        <f>IF(ISNUMBER(SEARCH("World",'RawData'!C778)),"",'RawData'!C778)</f>
        <v>Zimbabwe</v>
      </c>
      <c r="D713" s="4" t="str">
        <f>IF(ISNUMBER(SEARCH("World",'RawData'!C778)),"",'RawData'!D778)</f>
        <v>Mine production</v>
      </c>
      <c r="E713" s="4" t="str">
        <f>IF(ISNUMBER(SEARCH("World",'RawData'!C778)),"",IF('RawData'!E778="WT001","kg",IF('RawData'!E778="WT002","ton",IF('RawData'!E778="WT003","k ton",""))))</f>
        <v>k ton</v>
      </c>
      <c r="F713" s="14">
        <f>IF(ISNUMBER(SEARCH("World",'RawData'!C778)),"",'RawData'!F778)</f>
        <v>28</v>
      </c>
      <c r="G713" s="14">
        <f>IF(ISNUMBER(SEARCH("World",'RawData'!C778)),"",'RawData'!G778)</f>
        <v>30</v>
      </c>
      <c r="H713" s="14">
        <f>IF(ISNUMBER(SEARCH("World",'RawData'!C778)),"",SUMIFS('RawData'!G:G,'RawData'!B:B,'RawData'!B778,'RawData'!C:C,"*World*"))</f>
        <v>460</v>
      </c>
      <c r="I713" s="15">
        <f>IF(ISNUMBER(SEARCH("World",'RawData'!C778)),"",IFERROR(G713/H713,"-"))</f>
        <v>6.5217391304347824E-2</v>
      </c>
      <c r="J713" s="7">
        <f>IF(ISNUMBER(SEARCH("World",'RawData'!C778)),"",IF(ISNUMBER(SEARCH("Other",C713)),COUNTIFS('RawData'!B:B,B713,'RawData'!C:C,"&lt;&gt;*World*"),IF(OR(G713="",G713=0),"-",SUMPRODUCT(('RawData'!B$2:B$822=B713)*('RawData'!G$2:G$822&gt;G713)*(ISERROR(SEARCH("World",'RawData'!C$2:C$822)))*(ISERROR(SEARCH("Other",'RawData'!C$2:C$822))))+1)))</f>
        <v>6</v>
      </c>
      <c r="K713" s="14">
        <f>IF(ISNUMBER(SEARCH("World",'RawData'!C778)),"",'RawData'!H778)</f>
        <v>0</v>
      </c>
      <c r="L713" s="14">
        <f>IF(ISNUMBER(SEARCH("World",'RawData'!C778)),"",SUMIFS('RawData'!H:H,'RawData'!B:B,'RawData'!B778,'RawData'!C:C,"*World*"))</f>
        <v>0</v>
      </c>
      <c r="M713" s="15" t="str">
        <f>IF(ISNUMBER(SEARCH("World",'RawData'!C778)),"",IFERROR(K713/L713,"-"))</f>
        <v>-</v>
      </c>
      <c r="N713" s="7" t="str">
        <f>IF(ISNUMBER(SEARCH("World",'RawData'!C778)),"",IF(ISNUMBER(SEARCH("Other",C713)),COUNTIFS('RawData'!B:B,B713,'RawData'!C:C,"&lt;&gt;*World*"),IF(OR(K713="",K713=0),"-",SUMPRODUCT(('RawData'!B$2:B$822=B713)*('RawData'!H$2:H$822&gt;K713)*(ISERROR(SEARCH("World",'RawData'!C$2:C$822)))*(ISERROR(SEARCH("Other",'RawData'!C$2:C$822))))+1)))</f>
        <v>-</v>
      </c>
    </row>
    <row r="714" spans="1:14" x14ac:dyDescent="0.3">
      <c r="A714" s="4" t="str">
        <f>IF(ISNUMBER(SEARCH("World",'RawData'!C779)),"",'RawData'!A779)</f>
        <v>MCS2026</v>
      </c>
      <c r="B714" s="4" t="str">
        <f>IF(ISNUMBER(SEARCH("World",'RawData'!C779)),"",'RawData'!B779)</f>
        <v>Wollastonite</v>
      </c>
      <c r="C714" s="4" t="str">
        <f>IF(ISNUMBER(SEARCH("World",'RawData'!C779)),"",'RawData'!C779)</f>
        <v xml:space="preserve">Canada </v>
      </c>
      <c r="D714" s="4" t="str">
        <f>IF(ISNUMBER(SEARCH("World",'RawData'!C779)),"",'RawData'!D779)</f>
        <v>Mine production</v>
      </c>
      <c r="E714" s="4" t="str">
        <f>IF(ISNUMBER(SEARCH("World",'RawData'!C779)),"",IF('RawData'!E779="WT001","kg",IF('RawData'!E779="WT002","ton",IF('RawData'!E779="WT003","k ton",""))))</f>
        <v>ton</v>
      </c>
      <c r="F714" s="14">
        <f>IF(ISNUMBER(SEARCH("World",'RawData'!C779)),"",'RawData'!F779)</f>
        <v>20000</v>
      </c>
      <c r="G714" s="14">
        <f>IF(ISNUMBER(SEARCH("World",'RawData'!C779)),"",'RawData'!G779)</f>
        <v>30000</v>
      </c>
      <c r="H714" s="14">
        <f>IF(ISNUMBER(SEARCH("World",'RawData'!C779)),"",SUMIFS('RawData'!G:G,'RawData'!B:B,'RawData'!B779,'RawData'!C:C,"*World*"))</f>
        <v>860000</v>
      </c>
      <c r="I714" s="15">
        <f>IF(ISNUMBER(SEARCH("World",'RawData'!C779)),"",IFERROR(G714/H714,"-"))</f>
        <v>3.4883720930232558E-2</v>
      </c>
      <c r="J714" s="7">
        <f>IF(ISNUMBER(SEARCH("World",'RawData'!C779)),"",IF(ISNUMBER(SEARCH("Other",C714)),COUNTIFS('RawData'!B:B,B714,'RawData'!C:C,"&lt;&gt;*World*"),IF(OR(G714="",G714=0),"-",SUMPRODUCT(('RawData'!B$2:B$822=B714)*('RawData'!G$2:G$822&gt;G714)*(ISERROR(SEARCH("World",'RawData'!C$2:C$822)))*(ISERROR(SEARCH("Other",'RawData'!C$2:C$822))))+1)))</f>
        <v>4</v>
      </c>
      <c r="K714" s="14">
        <f>IF(ISNUMBER(SEARCH("World",'RawData'!C779)),"",'RawData'!H779)</f>
        <v>0</v>
      </c>
      <c r="L714" s="14">
        <f>IF(ISNUMBER(SEARCH("World",'RawData'!C779)),"",SUMIFS('RawData'!H:H,'RawData'!B:B,'RawData'!B779,'RawData'!C:C,"*World*"))</f>
        <v>0</v>
      </c>
      <c r="M714" s="15" t="str">
        <f>IF(ISNUMBER(SEARCH("World",'RawData'!C779)),"",IFERROR(K714/L714,"-"))</f>
        <v>-</v>
      </c>
      <c r="N714" s="7" t="str">
        <f>IF(ISNUMBER(SEARCH("World",'RawData'!C779)),"",IF(ISNUMBER(SEARCH("Other",C714)),COUNTIFS('RawData'!B:B,B714,'RawData'!C:C,"&lt;&gt;*World*"),IF(OR(K714="",K714=0),"-",SUMPRODUCT(('RawData'!B$2:B$822=B714)*('RawData'!H$2:H$822&gt;K714)*(ISERROR(SEARCH("World",'RawData'!C$2:C$822)))*(ISERROR(SEARCH("Other",'RawData'!C$2:C$822))))+1)))</f>
        <v>-</v>
      </c>
    </row>
    <row r="715" spans="1:14" x14ac:dyDescent="0.3">
      <c r="A715" s="4" t="str">
        <f>IF(ISNUMBER(SEARCH("World",'RawData'!C780)),"",'RawData'!A780)</f>
        <v>MCS2026</v>
      </c>
      <c r="B715" s="4" t="str">
        <f>IF(ISNUMBER(SEARCH("World",'RawData'!C780)),"",'RawData'!B780)</f>
        <v>Wollastonite</v>
      </c>
      <c r="C715" s="4" t="str">
        <f>IF(ISNUMBER(SEARCH("World",'RawData'!C780)),"",'RawData'!C780)</f>
        <v>China</v>
      </c>
      <c r="D715" s="4" t="str">
        <f>IF(ISNUMBER(SEARCH("World",'RawData'!C780)),"",'RawData'!D780)</f>
        <v>Mine production</v>
      </c>
      <c r="E715" s="4" t="str">
        <f>IF(ISNUMBER(SEARCH("World",'RawData'!C780)),"",IF('RawData'!E780="WT001","kg",IF('RawData'!E780="WT002","ton",IF('RawData'!E780="WT003","k ton",""))))</f>
        <v>ton</v>
      </c>
      <c r="F715" s="14">
        <f>IF(ISNUMBER(SEARCH("World",'RawData'!C780)),"",'RawData'!F780)</f>
        <v>600000</v>
      </c>
      <c r="G715" s="14">
        <f>IF(ISNUMBER(SEARCH("World",'RawData'!C780)),"",'RawData'!G780)</f>
        <v>600000</v>
      </c>
      <c r="H715" s="14">
        <f>IF(ISNUMBER(SEARCH("World",'RawData'!C780)),"",SUMIFS('RawData'!G:G,'RawData'!B:B,'RawData'!B780,'RawData'!C:C,"*World*"))</f>
        <v>860000</v>
      </c>
      <c r="I715" s="15">
        <f>IF(ISNUMBER(SEARCH("World",'RawData'!C780)),"",IFERROR(G715/H715,"-"))</f>
        <v>0.69767441860465118</v>
      </c>
      <c r="J715" s="7">
        <f>IF(ISNUMBER(SEARCH("World",'RawData'!C780)),"",IF(ISNUMBER(SEARCH("Other",C715)),COUNTIFS('RawData'!B:B,B715,'RawData'!C:C,"&lt;&gt;*World*"),IF(OR(G715="",G715=0),"-",SUMPRODUCT(('RawData'!B$2:B$822=B715)*('RawData'!G$2:G$822&gt;G715)*(ISERROR(SEARCH("World",'RawData'!C$2:C$822)))*(ISERROR(SEARCH("Other",'RawData'!C$2:C$822))))+1)))</f>
        <v>1</v>
      </c>
      <c r="K715" s="14">
        <f>IF(ISNUMBER(SEARCH("World",'RawData'!C780)),"",'RawData'!H780)</f>
        <v>0</v>
      </c>
      <c r="L715" s="14">
        <f>IF(ISNUMBER(SEARCH("World",'RawData'!C780)),"",SUMIFS('RawData'!H:H,'RawData'!B:B,'RawData'!B780,'RawData'!C:C,"*World*"))</f>
        <v>0</v>
      </c>
      <c r="M715" s="15" t="str">
        <f>IF(ISNUMBER(SEARCH("World",'RawData'!C780)),"",IFERROR(K715/L715,"-"))</f>
        <v>-</v>
      </c>
      <c r="N715" s="7" t="str">
        <f>IF(ISNUMBER(SEARCH("World",'RawData'!C780)),"",IF(ISNUMBER(SEARCH("Other",C715)),COUNTIFS('RawData'!B:B,B715,'RawData'!C:C,"&lt;&gt;*World*"),IF(OR(K715="",K715=0),"-",SUMPRODUCT(('RawData'!B$2:B$822=B715)*('RawData'!H$2:H$822&gt;K715)*(ISERROR(SEARCH("World",'RawData'!C$2:C$822)))*(ISERROR(SEARCH("Other",'RawData'!C$2:C$822))))+1)))</f>
        <v>-</v>
      </c>
    </row>
    <row r="716" spans="1:14" x14ac:dyDescent="0.3">
      <c r="A716" s="4" t="str">
        <f>IF(ISNUMBER(SEARCH("World",'RawData'!C781)),"",'RawData'!A781)</f>
        <v>MCS2026</v>
      </c>
      <c r="B716" s="4" t="str">
        <f>IF(ISNUMBER(SEARCH("World",'RawData'!C781)),"",'RawData'!B781)</f>
        <v>Wollastonite</v>
      </c>
      <c r="C716" s="4" t="str">
        <f>IF(ISNUMBER(SEARCH("World",'RawData'!C781)),"",'RawData'!C781)</f>
        <v>India</v>
      </c>
      <c r="D716" s="4" t="str">
        <f>IF(ISNUMBER(SEARCH("World",'RawData'!C781)),"",'RawData'!D781)</f>
        <v>Mine production</v>
      </c>
      <c r="E716" s="4" t="str">
        <f>IF(ISNUMBER(SEARCH("World",'RawData'!C781)),"",IF('RawData'!E781="WT001","kg",IF('RawData'!E781="WT002","ton",IF('RawData'!E781="WT003","k ton",""))))</f>
        <v>ton</v>
      </c>
      <c r="F716" s="14">
        <f>IF(ISNUMBER(SEARCH("World",'RawData'!C781)),"",'RawData'!F781)</f>
        <v>115000</v>
      </c>
      <c r="G716" s="14">
        <f>IF(ISNUMBER(SEARCH("World",'RawData'!C781)),"",'RawData'!G781)</f>
        <v>120000</v>
      </c>
      <c r="H716" s="14">
        <f>IF(ISNUMBER(SEARCH("World",'RawData'!C781)),"",SUMIFS('RawData'!G:G,'RawData'!B:B,'RawData'!B781,'RawData'!C:C,"*World*"))</f>
        <v>860000</v>
      </c>
      <c r="I716" s="15">
        <f>IF(ISNUMBER(SEARCH("World",'RawData'!C781)),"",IFERROR(G716/H716,"-"))</f>
        <v>0.13953488372093023</v>
      </c>
      <c r="J716" s="7">
        <f>IF(ISNUMBER(SEARCH("World",'RawData'!C781)),"",IF(ISNUMBER(SEARCH("Other",C716)),COUNTIFS('RawData'!B:B,B716,'RawData'!C:C,"&lt;&gt;*World*"),IF(OR(G716="",G716=0),"-",SUMPRODUCT(('RawData'!B$2:B$822=B716)*('RawData'!G$2:G$822&gt;G716)*(ISERROR(SEARCH("World",'RawData'!C$2:C$822)))*(ISERROR(SEARCH("Other",'RawData'!C$2:C$822))))+1)))</f>
        <v>2</v>
      </c>
      <c r="K716" s="14">
        <f>IF(ISNUMBER(SEARCH("World",'RawData'!C781)),"",'RawData'!H781)</f>
        <v>0</v>
      </c>
      <c r="L716" s="14">
        <f>IF(ISNUMBER(SEARCH("World",'RawData'!C781)),"",SUMIFS('RawData'!H:H,'RawData'!B:B,'RawData'!B781,'RawData'!C:C,"*World*"))</f>
        <v>0</v>
      </c>
      <c r="M716" s="15" t="str">
        <f>IF(ISNUMBER(SEARCH("World",'RawData'!C781)),"",IFERROR(K716/L716,"-"))</f>
        <v>-</v>
      </c>
      <c r="N716" s="7" t="str">
        <f>IF(ISNUMBER(SEARCH("World",'RawData'!C781)),"",IF(ISNUMBER(SEARCH("Other",C716)),COUNTIFS('RawData'!B:B,B716,'RawData'!C:C,"&lt;&gt;*World*"),IF(OR(K716="",K716=0),"-",SUMPRODUCT(('RawData'!B$2:B$822=B716)*('RawData'!H$2:H$822&gt;K716)*(ISERROR(SEARCH("World",'RawData'!C$2:C$822)))*(ISERROR(SEARCH("Other",'RawData'!C$2:C$822))))+1)))</f>
        <v>-</v>
      </c>
    </row>
    <row r="717" spans="1:14" x14ac:dyDescent="0.3">
      <c r="A717" s="4" t="str">
        <f>IF(ISNUMBER(SEARCH("World",'RawData'!C782)),"",'RawData'!A782)</f>
        <v>MCS2026</v>
      </c>
      <c r="B717" s="4" t="str">
        <f>IF(ISNUMBER(SEARCH("World",'RawData'!C782)),"",'RawData'!B782)</f>
        <v>Wollastonite</v>
      </c>
      <c r="C717" s="4" t="str">
        <f>IF(ISNUMBER(SEARCH("World",'RawData'!C782)),"",'RawData'!C782)</f>
        <v>Mexico</v>
      </c>
      <c r="D717" s="4" t="str">
        <f>IF(ISNUMBER(SEARCH("World",'RawData'!C782)),"",'RawData'!D782)</f>
        <v>Mine production</v>
      </c>
      <c r="E717" s="4" t="str">
        <f>IF(ISNUMBER(SEARCH("World",'RawData'!C782)),"",IF('RawData'!E782="WT001","kg",IF('RawData'!E782="WT002","ton",IF('RawData'!E782="WT003","k ton",""))))</f>
        <v>ton</v>
      </c>
      <c r="F717" s="14">
        <f>IF(ISNUMBER(SEARCH("World",'RawData'!C782)),"",'RawData'!F782)</f>
        <v>112000</v>
      </c>
      <c r="G717" s="14">
        <f>IF(ISNUMBER(SEARCH("World",'RawData'!C782)),"",'RawData'!G782)</f>
        <v>100000</v>
      </c>
      <c r="H717" s="14">
        <f>IF(ISNUMBER(SEARCH("World",'RawData'!C782)),"",SUMIFS('RawData'!G:G,'RawData'!B:B,'RawData'!B782,'RawData'!C:C,"*World*"))</f>
        <v>860000</v>
      </c>
      <c r="I717" s="15">
        <f>IF(ISNUMBER(SEARCH("World",'RawData'!C782)),"",IFERROR(G717/H717,"-"))</f>
        <v>0.11627906976744186</v>
      </c>
      <c r="J717" s="7">
        <f>IF(ISNUMBER(SEARCH("World",'RawData'!C782)),"",IF(ISNUMBER(SEARCH("Other",C717)),COUNTIFS('RawData'!B:B,B717,'RawData'!C:C,"&lt;&gt;*World*"),IF(OR(G717="",G717=0),"-",SUMPRODUCT(('RawData'!B$2:B$822=B717)*('RawData'!G$2:G$822&gt;G717)*(ISERROR(SEARCH("World",'RawData'!C$2:C$822)))*(ISERROR(SEARCH("Other",'RawData'!C$2:C$822))))+1)))</f>
        <v>3</v>
      </c>
      <c r="K717" s="14">
        <f>IF(ISNUMBER(SEARCH("World",'RawData'!C782)),"",'RawData'!H782)</f>
        <v>0</v>
      </c>
      <c r="L717" s="14">
        <f>IF(ISNUMBER(SEARCH("World",'RawData'!C782)),"",SUMIFS('RawData'!H:H,'RawData'!B:B,'RawData'!B782,'RawData'!C:C,"*World*"))</f>
        <v>0</v>
      </c>
      <c r="M717" s="15" t="str">
        <f>IF(ISNUMBER(SEARCH("World",'RawData'!C782)),"",IFERROR(K717/L717,"-"))</f>
        <v>-</v>
      </c>
      <c r="N717" s="7" t="str">
        <f>IF(ISNUMBER(SEARCH("World",'RawData'!C782)),"",IF(ISNUMBER(SEARCH("Other",C717)),COUNTIFS('RawData'!B:B,B717,'RawData'!C:C,"&lt;&gt;*World*"),IF(OR(K717="",K717=0),"-",SUMPRODUCT(('RawData'!B$2:B$822=B717)*('RawData'!H$2:H$822&gt;K717)*(ISERROR(SEARCH("World",'RawData'!C$2:C$822)))*(ISERROR(SEARCH("Other",'RawData'!C$2:C$822))))+1)))</f>
        <v>-</v>
      </c>
    </row>
    <row r="718" spans="1:14" x14ac:dyDescent="0.3">
      <c r="A718" s="4" t="str">
        <f>IF(ISNUMBER(SEARCH("World",'RawData'!C783)),"",'RawData'!A783)</f>
        <v>MCS2026</v>
      </c>
      <c r="B718" s="4" t="str">
        <f>IF(ISNUMBER(SEARCH("World",'RawData'!C783)),"",'RawData'!B783)</f>
        <v>Wollastonite</v>
      </c>
      <c r="C718" s="4" t="str">
        <f>IF(ISNUMBER(SEARCH("World",'RawData'!C783)),"",'RawData'!C783)</f>
        <v>Other Countries</v>
      </c>
      <c r="D718" s="4" t="str">
        <f>IF(ISNUMBER(SEARCH("World",'RawData'!C783)),"",'RawData'!D783)</f>
        <v>Mine production</v>
      </c>
      <c r="E718" s="4" t="str">
        <f>IF(ISNUMBER(SEARCH("World",'RawData'!C783)),"",IF('RawData'!E783="WT001","kg",IF('RawData'!E783="WT002","ton",IF('RawData'!E783="WT003","k ton",""))))</f>
        <v>ton</v>
      </c>
      <c r="F718" s="14">
        <f>IF(ISNUMBER(SEARCH("World",'RawData'!C783)),"",'RawData'!F783)</f>
        <v>11000</v>
      </c>
      <c r="G718" s="14">
        <f>IF(ISNUMBER(SEARCH("World",'RawData'!C783)),"",'RawData'!G783)</f>
        <v>11000</v>
      </c>
      <c r="H718" s="14">
        <f>IF(ISNUMBER(SEARCH("World",'RawData'!C783)),"",SUMIFS('RawData'!G:G,'RawData'!B:B,'RawData'!B783,'RawData'!C:C,"*World*"))</f>
        <v>860000</v>
      </c>
      <c r="I718" s="15">
        <f>IF(ISNUMBER(SEARCH("World",'RawData'!C783)),"",IFERROR(G718/H718,"-"))</f>
        <v>1.2790697674418604E-2</v>
      </c>
      <c r="J718" s="7">
        <f>IF(ISNUMBER(SEARCH("World",'RawData'!C783)),"",IF(ISNUMBER(SEARCH("Other",C718)),COUNTIFS('RawData'!B:B,B718,'RawData'!C:C,"&lt;&gt;*World*"),IF(OR(G718="",G718=0),"-",SUMPRODUCT(('RawData'!B$2:B$822=B718)*('RawData'!G$2:G$822&gt;G718)*(ISERROR(SEARCH("World",'RawData'!C$2:C$822)))*(ISERROR(SEARCH("Other",'RawData'!C$2:C$822))))+1)))</f>
        <v>6</v>
      </c>
      <c r="K718" s="14">
        <f>IF(ISNUMBER(SEARCH("World",'RawData'!C783)),"",'RawData'!H783)</f>
        <v>0</v>
      </c>
      <c r="L718" s="14">
        <f>IF(ISNUMBER(SEARCH("World",'RawData'!C783)),"",SUMIFS('RawData'!H:H,'RawData'!B:B,'RawData'!B783,'RawData'!C:C,"*World*"))</f>
        <v>0</v>
      </c>
      <c r="M718" s="15" t="str">
        <f>IF(ISNUMBER(SEARCH("World",'RawData'!C783)),"",IFERROR(K718/L718,"-"))</f>
        <v>-</v>
      </c>
      <c r="N718" s="7">
        <f>IF(ISNUMBER(SEARCH("World",'RawData'!C783)),"",IF(ISNUMBER(SEARCH("Other",C718)),COUNTIFS('RawData'!B:B,B718,'RawData'!C:C,"&lt;&gt;*World*"),IF(OR(K718="",K718=0),"-",SUMPRODUCT(('RawData'!B$2:B$822=B718)*('RawData'!H$2:H$822&gt;K718)*(ISERROR(SEARCH("World",'RawData'!C$2:C$822)))*(ISERROR(SEARCH("Other",'RawData'!C$2:C$822))))+1)))</f>
        <v>6</v>
      </c>
    </row>
    <row r="719" spans="1:14" x14ac:dyDescent="0.3">
      <c r="A719" s="4" t="str">
        <f>IF(ISNUMBER(SEARCH("World",'RawData'!C784)),"",'RawData'!A784)</f>
        <v>MCS2026</v>
      </c>
      <c r="B719" s="4" t="str">
        <f>IF(ISNUMBER(SEARCH("World",'RawData'!C784)),"",'RawData'!B784)</f>
        <v>Wollastonite</v>
      </c>
      <c r="C719" s="4" t="str">
        <f>IF(ISNUMBER(SEARCH("World",'RawData'!C784)),"",'RawData'!C784)</f>
        <v>United States</v>
      </c>
      <c r="D719" s="4" t="str">
        <f>IF(ISNUMBER(SEARCH("World",'RawData'!C784)),"",'RawData'!D784)</f>
        <v>Mine production</v>
      </c>
      <c r="E719" s="4" t="str">
        <f>IF(ISNUMBER(SEARCH("World",'RawData'!C784)),"",IF('RawData'!E784="WT001","kg",IF('RawData'!E784="WT002","ton",IF('RawData'!E784="WT003","k ton",""))))</f>
        <v>ton</v>
      </c>
      <c r="F719" s="14">
        <f>IF(ISNUMBER(SEARCH("World",'RawData'!C784)),"",'RawData'!F784)</f>
        <v>0</v>
      </c>
      <c r="G719" s="14">
        <f>IF(ISNUMBER(SEARCH("World",'RawData'!C784)),"",'RawData'!G784)</f>
        <v>0</v>
      </c>
      <c r="H719" s="14">
        <f>IF(ISNUMBER(SEARCH("World",'RawData'!C784)),"",SUMIFS('RawData'!G:G,'RawData'!B:B,'RawData'!B784,'RawData'!C:C,"*World*"))</f>
        <v>860000</v>
      </c>
      <c r="I719" s="15">
        <f>IF(ISNUMBER(SEARCH("World",'RawData'!C784)),"",IFERROR(G719/H719,"-"))</f>
        <v>0</v>
      </c>
      <c r="J719" s="7" t="str">
        <f>IF(ISNUMBER(SEARCH("World",'RawData'!C784)),"",IF(ISNUMBER(SEARCH("Other",C719)),COUNTIFS('RawData'!B:B,B719,'RawData'!C:C,"&lt;&gt;*World*"),IF(OR(G719="",G719=0),"-",SUMPRODUCT(('RawData'!B$2:B$822=B719)*('RawData'!G$2:G$822&gt;G719)*(ISERROR(SEARCH("World",'RawData'!C$2:C$822)))*(ISERROR(SEARCH("Other",'RawData'!C$2:C$822))))+1)))</f>
        <v>-</v>
      </c>
      <c r="K719" s="14">
        <f>IF(ISNUMBER(SEARCH("World",'RawData'!C784)),"",'RawData'!H784)</f>
        <v>0</v>
      </c>
      <c r="L719" s="14">
        <f>IF(ISNUMBER(SEARCH("World",'RawData'!C784)),"",SUMIFS('RawData'!H:H,'RawData'!B:B,'RawData'!B784,'RawData'!C:C,"*World*"))</f>
        <v>0</v>
      </c>
      <c r="M719" s="15" t="str">
        <f>IF(ISNUMBER(SEARCH("World",'RawData'!C784)),"",IFERROR(K719/L719,"-"))</f>
        <v>-</v>
      </c>
      <c r="N719" s="7" t="str">
        <f>IF(ISNUMBER(SEARCH("World",'RawData'!C784)),"",IF(ISNUMBER(SEARCH("Other",C719)),COUNTIFS('RawData'!B:B,B719,'RawData'!C:C,"&lt;&gt;*World*"),IF(OR(K719="",K719=0),"-",SUMPRODUCT(('RawData'!B$2:B$822=B719)*('RawData'!H$2:H$822&gt;K719)*(ISERROR(SEARCH("World",'RawData'!C$2:C$822)))*(ISERROR(SEARCH("Other",'RawData'!C$2:C$822))))+1)))</f>
        <v>-</v>
      </c>
    </row>
    <row r="720" spans="1:14" x14ac:dyDescent="0.3">
      <c r="A720" s="4" t="str">
        <f>IF(ISNUMBER(SEARCH("World",'RawData'!C786)),"",'RawData'!A786)</f>
        <v>MCS2026</v>
      </c>
      <c r="B720" s="4" t="str">
        <f>IF(ISNUMBER(SEARCH("World",'RawData'!C786)),"",'RawData'!B786)</f>
        <v>Zeolite</v>
      </c>
      <c r="C720" s="4" t="str">
        <f>IF(ISNUMBER(SEARCH("World",'RawData'!C786)),"",'RawData'!C786)</f>
        <v>Chile</v>
      </c>
      <c r="D720" s="4" t="str">
        <f>IF(ISNUMBER(SEARCH("World",'RawData'!C786)),"",'RawData'!D786)</f>
        <v>Mine production</v>
      </c>
      <c r="E720" s="4" t="str">
        <f>IF(ISNUMBER(SEARCH("World",'RawData'!C786)),"",IF('RawData'!E786="WT001","kg",IF('RawData'!E786="WT002","ton",IF('RawData'!E786="WT003","k ton",""))))</f>
        <v>ton</v>
      </c>
      <c r="F720" s="14">
        <f>IF(ISNUMBER(SEARCH("World",'RawData'!C786)),"",'RawData'!F786)</f>
        <v>500</v>
      </c>
      <c r="G720" s="14">
        <f>IF(ISNUMBER(SEARCH("World",'RawData'!C786)),"",'RawData'!G786)</f>
        <v>240</v>
      </c>
      <c r="H720" s="14">
        <f>IF(ISNUMBER(SEARCH("World",'RawData'!C786)),"",SUMIFS('RawData'!G:G,'RawData'!B:B,'RawData'!B786,'RawData'!C:C,"*World*"))</f>
        <v>1300000</v>
      </c>
      <c r="I720" s="15">
        <f>IF(ISNUMBER(SEARCH("World",'RawData'!C786)),"",IFERROR(G720/H720,"-"))</f>
        <v>1.8461538461538461E-4</v>
      </c>
      <c r="J720" s="7">
        <f>IF(ISNUMBER(SEARCH("World",'RawData'!C786)),"",IF(ISNUMBER(SEARCH("Other",C720)),COUNTIFS('RawData'!B:B,B720,'RawData'!C:C,"&lt;&gt;*World*"),IF(OR(G720="",G720=0),"-",SUMPRODUCT(('RawData'!B$2:B$822=B720)*('RawData'!G$2:G$822&gt;G720)*(ISERROR(SEARCH("World",'RawData'!C$2:C$822)))*(ISERROR(SEARCH("Other",'RawData'!C$2:C$822))))+1)))</f>
        <v>13</v>
      </c>
      <c r="K720" s="14">
        <f>IF(ISNUMBER(SEARCH("World",'RawData'!C786)),"",'RawData'!H786)</f>
        <v>0</v>
      </c>
      <c r="L720" s="14">
        <f>IF(ISNUMBER(SEARCH("World",'RawData'!C786)),"",SUMIFS('RawData'!H:H,'RawData'!B:B,'RawData'!B786,'RawData'!C:C,"*World*"))</f>
        <v>0</v>
      </c>
      <c r="M720" s="15" t="str">
        <f>IF(ISNUMBER(SEARCH("World",'RawData'!C786)),"",IFERROR(K720/L720,"-"))</f>
        <v>-</v>
      </c>
      <c r="N720" s="7" t="str">
        <f>IF(ISNUMBER(SEARCH("World",'RawData'!C786)),"",IF(ISNUMBER(SEARCH("Other",C720)),COUNTIFS('RawData'!B:B,B720,'RawData'!C:C,"&lt;&gt;*World*"),IF(OR(K720="",K720=0),"-",SUMPRODUCT(('RawData'!B$2:B$822=B720)*('RawData'!H$2:H$822&gt;K720)*(ISERROR(SEARCH("World",'RawData'!C$2:C$822)))*(ISERROR(SEARCH("Other",'RawData'!C$2:C$822))))+1)))</f>
        <v>-</v>
      </c>
    </row>
    <row r="721" spans="1:14" x14ac:dyDescent="0.3">
      <c r="A721" s="4" t="str">
        <f>IF(ISNUMBER(SEARCH("World",'RawData'!C787)),"",'RawData'!A787)</f>
        <v>MCS2026</v>
      </c>
      <c r="B721" s="4" t="str">
        <f>IF(ISNUMBER(SEARCH("World",'RawData'!C787)),"",'RawData'!B787)</f>
        <v>Zeolite</v>
      </c>
      <c r="C721" s="4" t="str">
        <f>IF(ISNUMBER(SEARCH("World",'RawData'!C787)),"",'RawData'!C787)</f>
        <v>China</v>
      </c>
      <c r="D721" s="4" t="str">
        <f>IF(ISNUMBER(SEARCH("World",'RawData'!C787)),"",'RawData'!D787)</f>
        <v>Mine production</v>
      </c>
      <c r="E721" s="4" t="str">
        <f>IF(ISNUMBER(SEARCH("World",'RawData'!C787)),"",IF('RawData'!E787="WT001","kg",IF('RawData'!E787="WT002","ton",IF('RawData'!E787="WT003","k ton",""))))</f>
        <v>ton</v>
      </c>
      <c r="F721" s="14">
        <f>IF(ISNUMBER(SEARCH("World",'RawData'!C787)),"",'RawData'!F787)</f>
        <v>150000</v>
      </c>
      <c r="G721" s="14">
        <f>IF(ISNUMBER(SEARCH("World",'RawData'!C787)),"",'RawData'!G787)</f>
        <v>150000</v>
      </c>
      <c r="H721" s="14">
        <f>IF(ISNUMBER(SEARCH("World",'RawData'!C787)),"",SUMIFS('RawData'!G:G,'RawData'!B:B,'RawData'!B787,'RawData'!C:C,"*World*"))</f>
        <v>1300000</v>
      </c>
      <c r="I721" s="15">
        <f>IF(ISNUMBER(SEARCH("World",'RawData'!C787)),"",IFERROR(G721/H721,"-"))</f>
        <v>0.11538461538461539</v>
      </c>
      <c r="J721" s="7">
        <f>IF(ISNUMBER(SEARCH("World",'RawData'!C787)),"",IF(ISNUMBER(SEARCH("Other",C721)),COUNTIFS('RawData'!B:B,B721,'RawData'!C:C,"&lt;&gt;*World*"),IF(OR(G721="",G721=0),"-",SUMPRODUCT(('RawData'!B$2:B$822=B721)*('RawData'!G$2:G$822&gt;G721)*(ISERROR(SEARCH("World",'RawData'!C$2:C$822)))*(ISERROR(SEARCH("Other",'RawData'!C$2:C$822))))+1)))</f>
        <v>4</v>
      </c>
      <c r="K721" s="14">
        <f>IF(ISNUMBER(SEARCH("World",'RawData'!C787)),"",'RawData'!H787)</f>
        <v>0</v>
      </c>
      <c r="L721" s="14">
        <f>IF(ISNUMBER(SEARCH("World",'RawData'!C787)),"",SUMIFS('RawData'!H:H,'RawData'!B:B,'RawData'!B787,'RawData'!C:C,"*World*"))</f>
        <v>0</v>
      </c>
      <c r="M721" s="15" t="str">
        <f>IF(ISNUMBER(SEARCH("World",'RawData'!C787)),"",IFERROR(K721/L721,"-"))</f>
        <v>-</v>
      </c>
      <c r="N721" s="7" t="str">
        <f>IF(ISNUMBER(SEARCH("World",'RawData'!C787)),"",IF(ISNUMBER(SEARCH("Other",C721)),COUNTIFS('RawData'!B:B,B721,'RawData'!C:C,"&lt;&gt;*World*"),IF(OR(K721="",K721=0),"-",SUMPRODUCT(('RawData'!B$2:B$822=B721)*('RawData'!H$2:H$822&gt;K721)*(ISERROR(SEARCH("World",'RawData'!C$2:C$822)))*(ISERROR(SEARCH("Other",'RawData'!C$2:C$822))))+1)))</f>
        <v>-</v>
      </c>
    </row>
    <row r="722" spans="1:14" x14ac:dyDescent="0.3">
      <c r="A722" s="4" t="str">
        <f>IF(ISNUMBER(SEARCH("World",'RawData'!C788)),"",'RawData'!A788)</f>
        <v>MCS2026</v>
      </c>
      <c r="B722" s="4" t="str">
        <f>IF(ISNUMBER(SEARCH("World",'RawData'!C788)),"",'RawData'!B788)</f>
        <v>Zeolite</v>
      </c>
      <c r="C722" s="4" t="str">
        <f>IF(ISNUMBER(SEARCH("World",'RawData'!C788)),"",'RawData'!C788)</f>
        <v>Cuba</v>
      </c>
      <c r="D722" s="4" t="str">
        <f>IF(ISNUMBER(SEARCH("World",'RawData'!C788)),"",'RawData'!D788)</f>
        <v>Mine production</v>
      </c>
      <c r="E722" s="4" t="str">
        <f>IF(ISNUMBER(SEARCH("World",'RawData'!C788)),"",IF('RawData'!E788="WT001","kg",IF('RawData'!E788="WT002","ton",IF('RawData'!E788="WT003","k ton",""))))</f>
        <v>ton</v>
      </c>
      <c r="F722" s="14">
        <f>IF(ISNUMBER(SEARCH("World",'RawData'!C788)),"",'RawData'!F788)</f>
        <v>14900</v>
      </c>
      <c r="G722" s="14">
        <f>IF(ISNUMBER(SEARCH("World",'RawData'!C788)),"",'RawData'!G788)</f>
        <v>15000</v>
      </c>
      <c r="H722" s="14">
        <f>IF(ISNUMBER(SEARCH("World",'RawData'!C788)),"",SUMIFS('RawData'!G:G,'RawData'!B:B,'RawData'!B788,'RawData'!C:C,"*World*"))</f>
        <v>1300000</v>
      </c>
      <c r="I722" s="15">
        <f>IF(ISNUMBER(SEARCH("World",'RawData'!C788)),"",IFERROR(G722/H722,"-"))</f>
        <v>1.1538461538461539E-2</v>
      </c>
      <c r="J722" s="7">
        <f>IF(ISNUMBER(SEARCH("World",'RawData'!C788)),"",IF(ISNUMBER(SEARCH("Other",C722)),COUNTIFS('RawData'!B:B,B722,'RawData'!C:C,"&lt;&gt;*World*"),IF(OR(G722="",G722=0),"-",SUMPRODUCT(('RawData'!B$2:B$822=B722)*('RawData'!G$2:G$822&gt;G722)*(ISERROR(SEARCH("World",'RawData'!C$2:C$822)))*(ISERROR(SEARCH("Other",'RawData'!C$2:C$822))))+1)))</f>
        <v>10</v>
      </c>
      <c r="K722" s="14">
        <f>IF(ISNUMBER(SEARCH("World",'RawData'!C788)),"",'RawData'!H788)</f>
        <v>0</v>
      </c>
      <c r="L722" s="14">
        <f>IF(ISNUMBER(SEARCH("World",'RawData'!C788)),"",SUMIFS('RawData'!H:H,'RawData'!B:B,'RawData'!B788,'RawData'!C:C,"*World*"))</f>
        <v>0</v>
      </c>
      <c r="M722" s="15" t="str">
        <f>IF(ISNUMBER(SEARCH("World",'RawData'!C788)),"",IFERROR(K722/L722,"-"))</f>
        <v>-</v>
      </c>
      <c r="N722" s="7" t="str">
        <f>IF(ISNUMBER(SEARCH("World",'RawData'!C788)),"",IF(ISNUMBER(SEARCH("Other",C722)),COUNTIFS('RawData'!B:B,B722,'RawData'!C:C,"&lt;&gt;*World*"),IF(OR(K722="",K722=0),"-",SUMPRODUCT(('RawData'!B$2:B$822=B722)*('RawData'!H$2:H$822&gt;K722)*(ISERROR(SEARCH("World",'RawData'!C$2:C$822)))*(ISERROR(SEARCH("Other",'RawData'!C$2:C$822))))+1)))</f>
        <v>-</v>
      </c>
    </row>
    <row r="723" spans="1:14" x14ac:dyDescent="0.3">
      <c r="A723" s="4" t="str">
        <f>IF(ISNUMBER(SEARCH("World",'RawData'!C789)),"",'RawData'!A789)</f>
        <v>MCS2026</v>
      </c>
      <c r="B723" s="4" t="str">
        <f>IF(ISNUMBER(SEARCH("World",'RawData'!C789)),"",'RawData'!B789)</f>
        <v>Zeolite</v>
      </c>
      <c r="C723" s="4" t="str">
        <f>IF(ISNUMBER(SEARCH("World",'RawData'!C789)),"",'RawData'!C789)</f>
        <v>Georgia</v>
      </c>
      <c r="D723" s="4" t="str">
        <f>IF(ISNUMBER(SEARCH("World",'RawData'!C789)),"",'RawData'!D789)</f>
        <v>Mine production</v>
      </c>
      <c r="E723" s="4" t="str">
        <f>IF(ISNUMBER(SEARCH("World",'RawData'!C789)),"",IF('RawData'!E789="WT001","kg",IF('RawData'!E789="WT002","ton",IF('RawData'!E789="WT003","k ton",""))))</f>
        <v>ton</v>
      </c>
      <c r="F723" s="14">
        <f>IF(ISNUMBER(SEARCH("World",'RawData'!C789)),"",'RawData'!F789)</f>
        <v>243000</v>
      </c>
      <c r="G723" s="14">
        <f>IF(ISNUMBER(SEARCH("World",'RawData'!C789)),"",'RawData'!G789)</f>
        <v>240000</v>
      </c>
      <c r="H723" s="14">
        <f>IF(ISNUMBER(SEARCH("World",'RawData'!C789)),"",SUMIFS('RawData'!G:G,'RawData'!B:B,'RawData'!B789,'RawData'!C:C,"*World*"))</f>
        <v>1300000</v>
      </c>
      <c r="I723" s="15">
        <f>IF(ISNUMBER(SEARCH("World",'RawData'!C789)),"",IFERROR(G723/H723,"-"))</f>
        <v>0.18461538461538463</v>
      </c>
      <c r="J723" s="7">
        <f>IF(ISNUMBER(SEARCH("World",'RawData'!C789)),"",IF(ISNUMBER(SEARCH("Other",C723)),COUNTIFS('RawData'!B:B,B723,'RawData'!C:C,"&lt;&gt;*World*"),IF(OR(G723="",G723=0),"-",SUMPRODUCT(('RawData'!B$2:B$822=B723)*('RawData'!G$2:G$822&gt;G723)*(ISERROR(SEARCH("World",'RawData'!C$2:C$822)))*(ISERROR(SEARCH("Other",'RawData'!C$2:C$822))))+1)))</f>
        <v>2</v>
      </c>
      <c r="K723" s="14">
        <f>IF(ISNUMBER(SEARCH("World",'RawData'!C789)),"",'RawData'!H789)</f>
        <v>0</v>
      </c>
      <c r="L723" s="14">
        <f>IF(ISNUMBER(SEARCH("World",'RawData'!C789)),"",SUMIFS('RawData'!H:H,'RawData'!B:B,'RawData'!B789,'RawData'!C:C,"*World*"))</f>
        <v>0</v>
      </c>
      <c r="M723" s="15" t="str">
        <f>IF(ISNUMBER(SEARCH("World",'RawData'!C789)),"",IFERROR(K723/L723,"-"))</f>
        <v>-</v>
      </c>
      <c r="N723" s="7" t="str">
        <f>IF(ISNUMBER(SEARCH("World",'RawData'!C789)),"",IF(ISNUMBER(SEARCH("Other",C723)),COUNTIFS('RawData'!B:B,B723,'RawData'!C:C,"&lt;&gt;*World*"),IF(OR(K723="",K723=0),"-",SUMPRODUCT(('RawData'!B$2:B$822=B723)*('RawData'!H$2:H$822&gt;K723)*(ISERROR(SEARCH("World",'RawData'!C$2:C$822)))*(ISERROR(SEARCH("Other",'RawData'!C$2:C$822))))+1)))</f>
        <v>-</v>
      </c>
    </row>
    <row r="724" spans="1:14" x14ac:dyDescent="0.3">
      <c r="A724" s="4" t="str">
        <f>IF(ISNUMBER(SEARCH("World",'RawData'!C790)),"",'RawData'!A790)</f>
        <v>MCS2026</v>
      </c>
      <c r="B724" s="4" t="str">
        <f>IF(ISNUMBER(SEARCH("World",'RawData'!C790)),"",'RawData'!B790)</f>
        <v>Zeolite</v>
      </c>
      <c r="C724" s="4" t="str">
        <f>IF(ISNUMBER(SEARCH("World",'RawData'!C790)),"",'RawData'!C790)</f>
        <v>Hungary</v>
      </c>
      <c r="D724" s="4" t="str">
        <f>IF(ISNUMBER(SEARCH("World",'RawData'!C790)),"",'RawData'!D790)</f>
        <v>Mine production</v>
      </c>
      <c r="E724" s="4" t="str">
        <f>IF(ISNUMBER(SEARCH("World",'RawData'!C790)),"",IF('RawData'!E790="WT001","kg",IF('RawData'!E790="WT002","ton",IF('RawData'!E790="WT003","k ton",""))))</f>
        <v>ton</v>
      </c>
      <c r="F724" s="14">
        <f>IF(ISNUMBER(SEARCH("World",'RawData'!C790)),"",'RawData'!F790)</f>
        <v>30000</v>
      </c>
      <c r="G724" s="14">
        <f>IF(ISNUMBER(SEARCH("World",'RawData'!C790)),"",'RawData'!G790)</f>
        <v>31000</v>
      </c>
      <c r="H724" s="14">
        <f>IF(ISNUMBER(SEARCH("World",'RawData'!C790)),"",SUMIFS('RawData'!G:G,'RawData'!B:B,'RawData'!B790,'RawData'!C:C,"*World*"))</f>
        <v>1300000</v>
      </c>
      <c r="I724" s="15">
        <f>IF(ISNUMBER(SEARCH("World",'RawData'!C790)),"",IFERROR(G724/H724,"-"))</f>
        <v>2.3846153846153847E-2</v>
      </c>
      <c r="J724" s="7">
        <f>IF(ISNUMBER(SEARCH("World",'RawData'!C790)),"",IF(ISNUMBER(SEARCH("Other",C724)),COUNTIFS('RawData'!B:B,B724,'RawData'!C:C,"&lt;&gt;*World*"),IF(OR(G724="",G724=0),"-",SUMPRODUCT(('RawData'!B$2:B$822=B724)*('RawData'!G$2:G$822&gt;G724)*(ISERROR(SEARCH("World",'RawData'!C$2:C$822)))*(ISERROR(SEARCH("Other",'RawData'!C$2:C$822))))+1)))</f>
        <v>9</v>
      </c>
      <c r="K724" s="14">
        <f>IF(ISNUMBER(SEARCH("World",'RawData'!C790)),"",'RawData'!H790)</f>
        <v>0</v>
      </c>
      <c r="L724" s="14">
        <f>IF(ISNUMBER(SEARCH("World",'RawData'!C790)),"",SUMIFS('RawData'!H:H,'RawData'!B:B,'RawData'!B790,'RawData'!C:C,"*World*"))</f>
        <v>0</v>
      </c>
      <c r="M724" s="15" t="str">
        <f>IF(ISNUMBER(SEARCH("World",'RawData'!C790)),"",IFERROR(K724/L724,"-"))</f>
        <v>-</v>
      </c>
      <c r="N724" s="7" t="str">
        <f>IF(ISNUMBER(SEARCH("World",'RawData'!C790)),"",IF(ISNUMBER(SEARCH("Other",C724)),COUNTIFS('RawData'!B:B,B724,'RawData'!C:C,"&lt;&gt;*World*"),IF(OR(K724="",K724=0),"-",SUMPRODUCT(('RawData'!B$2:B$822=B724)*('RawData'!H$2:H$822&gt;K724)*(ISERROR(SEARCH("World",'RawData'!C$2:C$822)))*(ISERROR(SEARCH("Other",'RawData'!C$2:C$822))))+1)))</f>
        <v>-</v>
      </c>
    </row>
    <row r="725" spans="1:14" x14ac:dyDescent="0.3">
      <c r="A725" s="4" t="str">
        <f>IF(ISNUMBER(SEARCH("World",'RawData'!C791)),"",'RawData'!A791)</f>
        <v>MCS2026</v>
      </c>
      <c r="B725" s="4" t="str">
        <f>IF(ISNUMBER(SEARCH("World",'RawData'!C791)),"",'RawData'!B791)</f>
        <v>Zeolite</v>
      </c>
      <c r="C725" s="4" t="str">
        <f>IF(ISNUMBER(SEARCH("World",'RawData'!C791)),"",'RawData'!C791)</f>
        <v>Indonesia</v>
      </c>
      <c r="D725" s="4" t="str">
        <f>IF(ISNUMBER(SEARCH("World",'RawData'!C791)),"",'RawData'!D791)</f>
        <v>Mine production</v>
      </c>
      <c r="E725" s="4" t="str">
        <f>IF(ISNUMBER(SEARCH("World",'RawData'!C791)),"",IF('RawData'!E791="WT001","kg",IF('RawData'!E791="WT002","ton",IF('RawData'!E791="WT003","k ton",""))))</f>
        <v>ton</v>
      </c>
      <c r="F725" s="14">
        <f>IF(ISNUMBER(SEARCH("World",'RawData'!C791)),"",'RawData'!F791)</f>
        <v>120000</v>
      </c>
      <c r="G725" s="14">
        <f>IF(ISNUMBER(SEARCH("World",'RawData'!C791)),"",'RawData'!G791)</f>
        <v>120000</v>
      </c>
      <c r="H725" s="14">
        <f>IF(ISNUMBER(SEARCH("World",'RawData'!C791)),"",SUMIFS('RawData'!G:G,'RawData'!B:B,'RawData'!B791,'RawData'!C:C,"*World*"))</f>
        <v>1300000</v>
      </c>
      <c r="I725" s="15">
        <f>IF(ISNUMBER(SEARCH("World",'RawData'!C791)),"",IFERROR(G725/H725,"-"))</f>
        <v>9.2307692307692313E-2</v>
      </c>
      <c r="J725" s="7">
        <f>IF(ISNUMBER(SEARCH("World",'RawData'!C791)),"",IF(ISNUMBER(SEARCH("Other",C725)),COUNTIFS('RawData'!B:B,B725,'RawData'!C:C,"&lt;&gt;*World*"),IF(OR(G725="",G725=0),"-",SUMPRODUCT(('RawData'!B$2:B$822=B725)*('RawData'!G$2:G$822&gt;G725)*(ISERROR(SEARCH("World",'RawData'!C$2:C$822)))*(ISERROR(SEARCH("Other",'RawData'!C$2:C$822))))+1)))</f>
        <v>6</v>
      </c>
      <c r="K725" s="14">
        <f>IF(ISNUMBER(SEARCH("World",'RawData'!C791)),"",'RawData'!H791)</f>
        <v>0</v>
      </c>
      <c r="L725" s="14">
        <f>IF(ISNUMBER(SEARCH("World",'RawData'!C791)),"",SUMIFS('RawData'!H:H,'RawData'!B:B,'RawData'!B791,'RawData'!C:C,"*World*"))</f>
        <v>0</v>
      </c>
      <c r="M725" s="15" t="str">
        <f>IF(ISNUMBER(SEARCH("World",'RawData'!C791)),"",IFERROR(K725/L725,"-"))</f>
        <v>-</v>
      </c>
      <c r="N725" s="7" t="str">
        <f>IF(ISNUMBER(SEARCH("World",'RawData'!C791)),"",IF(ISNUMBER(SEARCH("Other",C725)),COUNTIFS('RawData'!B:B,B725,'RawData'!C:C,"&lt;&gt;*World*"),IF(OR(K725="",K725=0),"-",SUMPRODUCT(('RawData'!B$2:B$822=B725)*('RawData'!H$2:H$822&gt;K725)*(ISERROR(SEARCH("World",'RawData'!C$2:C$822)))*(ISERROR(SEARCH("Other",'RawData'!C$2:C$822))))+1)))</f>
        <v>-</v>
      </c>
    </row>
    <row r="726" spans="1:14" x14ac:dyDescent="0.3">
      <c r="A726" s="4" t="str">
        <f>IF(ISNUMBER(SEARCH("World",'RawData'!C792)),"",'RawData'!A792)</f>
        <v>MCS2026</v>
      </c>
      <c r="B726" s="4" t="str">
        <f>IF(ISNUMBER(SEARCH("World",'RawData'!C792)),"",'RawData'!B792)</f>
        <v>Zeolite</v>
      </c>
      <c r="C726" s="4" t="str">
        <f>IF(ISNUMBER(SEARCH("World",'RawData'!C792)),"",'RawData'!C792)</f>
        <v>Jordan</v>
      </c>
      <c r="D726" s="4" t="str">
        <f>IF(ISNUMBER(SEARCH("World",'RawData'!C792)),"",'RawData'!D792)</f>
        <v>Mine production</v>
      </c>
      <c r="E726" s="4" t="str">
        <f>IF(ISNUMBER(SEARCH("World",'RawData'!C792)),"",IF('RawData'!E792="WT001","kg",IF('RawData'!E792="WT002","ton",IF('RawData'!E792="WT003","k ton",""))))</f>
        <v>ton</v>
      </c>
      <c r="F726" s="14">
        <f>IF(ISNUMBER(SEARCH("World",'RawData'!C792)),"",'RawData'!F792)</f>
        <v>1000</v>
      </c>
      <c r="G726" s="14">
        <f>IF(ISNUMBER(SEARCH("World",'RawData'!C792)),"",'RawData'!G792)</f>
        <v>1000</v>
      </c>
      <c r="H726" s="14">
        <f>IF(ISNUMBER(SEARCH("World",'RawData'!C792)),"",SUMIFS('RawData'!G:G,'RawData'!B:B,'RawData'!B792,'RawData'!C:C,"*World*"))</f>
        <v>1300000</v>
      </c>
      <c r="I726" s="15">
        <f>IF(ISNUMBER(SEARCH("World",'RawData'!C792)),"",IFERROR(G726/H726,"-"))</f>
        <v>7.6923076923076923E-4</v>
      </c>
      <c r="J726" s="7">
        <f>IF(ISNUMBER(SEARCH("World",'RawData'!C792)),"",IF(ISNUMBER(SEARCH("Other",C726)),COUNTIFS('RawData'!B:B,B726,'RawData'!C:C,"&lt;&gt;*World*"),IF(OR(G726="",G726=0),"-",SUMPRODUCT(('RawData'!B$2:B$822=B726)*('RawData'!G$2:G$822&gt;G726)*(ISERROR(SEARCH("World",'RawData'!C$2:C$822)))*(ISERROR(SEARCH("Other",'RawData'!C$2:C$822))))+1)))</f>
        <v>12</v>
      </c>
      <c r="K726" s="14">
        <f>IF(ISNUMBER(SEARCH("World",'RawData'!C792)),"",'RawData'!H792)</f>
        <v>0</v>
      </c>
      <c r="L726" s="14">
        <f>IF(ISNUMBER(SEARCH("World",'RawData'!C792)),"",SUMIFS('RawData'!H:H,'RawData'!B:B,'RawData'!B792,'RawData'!C:C,"*World*"))</f>
        <v>0</v>
      </c>
      <c r="M726" s="15" t="str">
        <f>IF(ISNUMBER(SEARCH("World",'RawData'!C792)),"",IFERROR(K726/L726,"-"))</f>
        <v>-</v>
      </c>
      <c r="N726" s="7" t="str">
        <f>IF(ISNUMBER(SEARCH("World",'RawData'!C792)),"",IF(ISNUMBER(SEARCH("Other",C726)),COUNTIFS('RawData'!B:B,B726,'RawData'!C:C,"&lt;&gt;*World*"),IF(OR(K726="",K726=0),"-",SUMPRODUCT(('RawData'!B$2:B$822=B726)*('RawData'!H$2:H$822&gt;K726)*(ISERROR(SEARCH("World",'RawData'!C$2:C$822)))*(ISERROR(SEARCH("Other",'RawData'!C$2:C$822))))+1)))</f>
        <v>-</v>
      </c>
    </row>
    <row r="727" spans="1:14" x14ac:dyDescent="0.3">
      <c r="A727" s="4" t="str">
        <f>IF(ISNUMBER(SEARCH("World",'RawData'!C793)),"",'RawData'!A793)</f>
        <v>MCS2026</v>
      </c>
      <c r="B727" s="4" t="str">
        <f>IF(ISNUMBER(SEARCH("World",'RawData'!C793)),"",'RawData'!B793)</f>
        <v>Zeolite</v>
      </c>
      <c r="C727" s="4" t="str">
        <f>IF(ISNUMBER(SEARCH("World",'RawData'!C793)),"",'RawData'!C793)</f>
        <v>Philippines</v>
      </c>
      <c r="D727" s="4" t="str">
        <f>IF(ISNUMBER(SEARCH("World",'RawData'!C793)),"",'RawData'!D793)</f>
        <v>Mine production</v>
      </c>
      <c r="E727" s="4" t="str">
        <f>IF(ISNUMBER(SEARCH("World",'RawData'!C793)),"",IF('RawData'!E793="WT001","kg",IF('RawData'!E793="WT002","ton",IF('RawData'!E793="WT003","k ton",""))))</f>
        <v>ton</v>
      </c>
      <c r="F727" s="14">
        <f>IF(ISNUMBER(SEARCH("World",'RawData'!C793)),"",'RawData'!F793)</f>
        <v>6320</v>
      </c>
      <c r="G727" s="14">
        <f>IF(ISNUMBER(SEARCH("World",'RawData'!C793)),"",'RawData'!G793)</f>
        <v>6300</v>
      </c>
      <c r="H727" s="14">
        <f>IF(ISNUMBER(SEARCH("World",'RawData'!C793)),"",SUMIFS('RawData'!G:G,'RawData'!B:B,'RawData'!B793,'RawData'!C:C,"*World*"))</f>
        <v>1300000</v>
      </c>
      <c r="I727" s="15">
        <f>IF(ISNUMBER(SEARCH("World",'RawData'!C793)),"",IFERROR(G727/H727,"-"))</f>
        <v>4.8461538461538464E-3</v>
      </c>
      <c r="J727" s="7">
        <f>IF(ISNUMBER(SEARCH("World",'RawData'!C793)),"",IF(ISNUMBER(SEARCH("Other",C727)),COUNTIFS('RawData'!B:B,B727,'RawData'!C:C,"&lt;&gt;*World*"),IF(OR(G727="",G727=0),"-",SUMPRODUCT(('RawData'!B$2:B$822=B727)*('RawData'!G$2:G$822&gt;G727)*(ISERROR(SEARCH("World",'RawData'!C$2:C$822)))*(ISERROR(SEARCH("Other",'RawData'!C$2:C$822))))+1)))</f>
        <v>11</v>
      </c>
      <c r="K727" s="14">
        <f>IF(ISNUMBER(SEARCH("World",'RawData'!C793)),"",'RawData'!H793)</f>
        <v>0</v>
      </c>
      <c r="L727" s="14">
        <f>IF(ISNUMBER(SEARCH("World",'RawData'!C793)),"",SUMIFS('RawData'!H:H,'RawData'!B:B,'RawData'!B793,'RawData'!C:C,"*World*"))</f>
        <v>0</v>
      </c>
      <c r="M727" s="15" t="str">
        <f>IF(ISNUMBER(SEARCH("World",'RawData'!C793)),"",IFERROR(K727/L727,"-"))</f>
        <v>-</v>
      </c>
      <c r="N727" s="7" t="str">
        <f>IF(ISNUMBER(SEARCH("World",'RawData'!C793)),"",IF(ISNUMBER(SEARCH("Other",C727)),COUNTIFS('RawData'!B:B,B727,'RawData'!C:C,"&lt;&gt;*World*"),IF(OR(K727="",K727=0),"-",SUMPRODUCT(('RawData'!B$2:B$822=B727)*('RawData'!H$2:H$822&gt;K727)*(ISERROR(SEARCH("World",'RawData'!C$2:C$822)))*(ISERROR(SEARCH("Other",'RawData'!C$2:C$822))))+1)))</f>
        <v>-</v>
      </c>
    </row>
    <row r="728" spans="1:14" x14ac:dyDescent="0.3">
      <c r="A728" s="4" t="str">
        <f>IF(ISNUMBER(SEARCH("World",'RawData'!C794)),"",'RawData'!A794)</f>
        <v>MCS2026</v>
      </c>
      <c r="B728" s="4" t="str">
        <f>IF(ISNUMBER(SEARCH("World",'RawData'!C794)),"",'RawData'!B794)</f>
        <v>Zeolite</v>
      </c>
      <c r="C728" s="4" t="str">
        <f>IF(ISNUMBER(SEARCH("World",'RawData'!C794)),"",'RawData'!C794)</f>
        <v>Turkiye</v>
      </c>
      <c r="D728" s="4" t="str">
        <f>IF(ISNUMBER(SEARCH("World",'RawData'!C794)),"",'RawData'!D794)</f>
        <v>Mine production</v>
      </c>
      <c r="E728" s="4" t="str">
        <f>IF(ISNUMBER(SEARCH("World",'RawData'!C794)),"",IF('RawData'!E794="WT001","kg",IF('RawData'!E794="WT002","ton",IF('RawData'!E794="WT003","k ton",""))))</f>
        <v>ton</v>
      </c>
      <c r="F728" s="14">
        <f>IF(ISNUMBER(SEARCH("World",'RawData'!C794)),"",'RawData'!F794)</f>
        <v>57100</v>
      </c>
      <c r="G728" s="14">
        <f>IF(ISNUMBER(SEARCH("World",'RawData'!C794)),"",'RawData'!G794)</f>
        <v>58000</v>
      </c>
      <c r="H728" s="14">
        <f>IF(ISNUMBER(SEARCH("World",'RawData'!C794)),"",SUMIFS('RawData'!G:G,'RawData'!B:B,'RawData'!B794,'RawData'!C:C,"*World*"))</f>
        <v>1300000</v>
      </c>
      <c r="I728" s="15">
        <f>IF(ISNUMBER(SEARCH("World",'RawData'!C794)),"",IFERROR(G728/H728,"-"))</f>
        <v>4.4615384615384612E-2</v>
      </c>
      <c r="J728" s="7">
        <f>IF(ISNUMBER(SEARCH("World",'RawData'!C794)),"",IF(ISNUMBER(SEARCH("Other",C728)),COUNTIFS('RawData'!B:B,B728,'RawData'!C:C,"&lt;&gt;*World*"),IF(OR(G728="",G728=0),"-",SUMPRODUCT(('RawData'!B$2:B$822=B728)*('RawData'!G$2:G$822&gt;G728)*(ISERROR(SEARCH("World",'RawData'!C$2:C$822)))*(ISERROR(SEARCH("Other",'RawData'!C$2:C$822))))+1)))</f>
        <v>8</v>
      </c>
      <c r="K728" s="14">
        <f>IF(ISNUMBER(SEARCH("World",'RawData'!C794)),"",'RawData'!H794)</f>
        <v>0</v>
      </c>
      <c r="L728" s="14">
        <f>IF(ISNUMBER(SEARCH("World",'RawData'!C794)),"",SUMIFS('RawData'!H:H,'RawData'!B:B,'RawData'!B794,'RawData'!C:C,"*World*"))</f>
        <v>0</v>
      </c>
      <c r="M728" s="15" t="str">
        <f>IF(ISNUMBER(SEARCH("World",'RawData'!C794)),"",IFERROR(K728/L728,"-"))</f>
        <v>-</v>
      </c>
      <c r="N728" s="7" t="str">
        <f>IF(ISNUMBER(SEARCH("World",'RawData'!C794)),"",IF(ISNUMBER(SEARCH("Other",C728)),COUNTIFS('RawData'!B:B,B728,'RawData'!C:C,"&lt;&gt;*World*"),IF(OR(K728="",K728=0),"-",SUMPRODUCT(('RawData'!B$2:B$822=B728)*('RawData'!H$2:H$822&gt;K728)*(ISERROR(SEARCH("World",'RawData'!C$2:C$822)))*(ISERROR(SEARCH("Other",'RawData'!C$2:C$822))))+1)))</f>
        <v>-</v>
      </c>
    </row>
    <row r="729" spans="1:14" x14ac:dyDescent="0.3">
      <c r="A729" s="4" t="str">
        <f>IF(ISNUMBER(SEARCH("World",'RawData'!C795)),"",'RawData'!A795)</f>
        <v>MCS2026</v>
      </c>
      <c r="B729" s="4" t="str">
        <f>IF(ISNUMBER(SEARCH("World",'RawData'!C795)),"",'RawData'!B795)</f>
        <v>Zeolite</v>
      </c>
      <c r="C729" s="4" t="str">
        <f>IF(ISNUMBER(SEARCH("World",'RawData'!C795)),"",'RawData'!C795)</f>
        <v xml:space="preserve">Russia </v>
      </c>
      <c r="D729" s="4" t="str">
        <f>IF(ISNUMBER(SEARCH("World",'RawData'!C795)),"",'RawData'!D795)</f>
        <v>Mine production</v>
      </c>
      <c r="E729" s="4" t="str">
        <f>IF(ISNUMBER(SEARCH("World",'RawData'!C795)),"",IF('RawData'!E795="WT001","kg",IF('RawData'!E795="WT002","ton",IF('RawData'!E795="WT003","k ton",""))))</f>
        <v>ton</v>
      </c>
      <c r="F729" s="14">
        <f>IF(ISNUMBER(SEARCH("World",'RawData'!C795)),"",'RawData'!F795)</f>
        <v>130000</v>
      </c>
      <c r="G729" s="14">
        <f>IF(ISNUMBER(SEARCH("World",'RawData'!C795)),"",'RawData'!G795)</f>
        <v>130000</v>
      </c>
      <c r="H729" s="14">
        <f>IF(ISNUMBER(SEARCH("World",'RawData'!C795)),"",SUMIFS('RawData'!G:G,'RawData'!B:B,'RawData'!B795,'RawData'!C:C,"*World*"))</f>
        <v>1300000</v>
      </c>
      <c r="I729" s="15">
        <f>IF(ISNUMBER(SEARCH("World",'RawData'!C795)),"",IFERROR(G729/H729,"-"))</f>
        <v>0.1</v>
      </c>
      <c r="J729" s="7">
        <f>IF(ISNUMBER(SEARCH("World",'RawData'!C795)),"",IF(ISNUMBER(SEARCH("Other",C729)),COUNTIFS('RawData'!B:B,B729,'RawData'!C:C,"&lt;&gt;*World*"),IF(OR(G729="",G729=0),"-",SUMPRODUCT(('RawData'!B$2:B$822=B729)*('RawData'!G$2:G$822&gt;G729)*(ISERROR(SEARCH("World",'RawData'!C$2:C$822)))*(ISERROR(SEARCH("Other",'RawData'!C$2:C$822))))+1)))</f>
        <v>5</v>
      </c>
      <c r="K729" s="14">
        <f>IF(ISNUMBER(SEARCH("World",'RawData'!C795)),"",'RawData'!H795)</f>
        <v>0</v>
      </c>
      <c r="L729" s="14">
        <f>IF(ISNUMBER(SEARCH("World",'RawData'!C795)),"",SUMIFS('RawData'!H:H,'RawData'!B:B,'RawData'!B795,'RawData'!C:C,"*World*"))</f>
        <v>0</v>
      </c>
      <c r="M729" s="15" t="str">
        <f>IF(ISNUMBER(SEARCH("World",'RawData'!C795)),"",IFERROR(K729/L729,"-"))</f>
        <v>-</v>
      </c>
      <c r="N729" s="7" t="str">
        <f>IF(ISNUMBER(SEARCH("World",'RawData'!C795)),"",IF(ISNUMBER(SEARCH("Other",C729)),COUNTIFS('RawData'!B:B,B729,'RawData'!C:C,"&lt;&gt;*World*"),IF(OR(K729="",K729=0),"-",SUMPRODUCT(('RawData'!B$2:B$822=B729)*('RawData'!H$2:H$822&gt;K729)*(ISERROR(SEARCH("World",'RawData'!C$2:C$822)))*(ISERROR(SEARCH("Other",'RawData'!C$2:C$822))))+1)))</f>
        <v>-</v>
      </c>
    </row>
    <row r="730" spans="1:14" x14ac:dyDescent="0.3">
      <c r="A730" s="4" t="str">
        <f>IF(ISNUMBER(SEARCH("World",'RawData'!C796)),"",'RawData'!A796)</f>
        <v>MCS2026</v>
      </c>
      <c r="B730" s="4" t="str">
        <f>IF(ISNUMBER(SEARCH("World",'RawData'!C796)),"",'RawData'!B796)</f>
        <v>Zeolite</v>
      </c>
      <c r="C730" s="4" t="str">
        <f>IF(ISNUMBER(SEARCH("World",'RawData'!C796)),"",'RawData'!C796)</f>
        <v>Slovakia</v>
      </c>
      <c r="D730" s="4" t="str">
        <f>IF(ISNUMBER(SEARCH("World",'RawData'!C796)),"",'RawData'!D796)</f>
        <v>Mine production</v>
      </c>
      <c r="E730" s="4" t="str">
        <f>IF(ISNUMBER(SEARCH("World",'RawData'!C796)),"",IF('RawData'!E796="WT001","kg",IF('RawData'!E796="WT002","ton",IF('RawData'!E796="WT003","k ton",""))))</f>
        <v>ton</v>
      </c>
      <c r="F730" s="14">
        <f>IF(ISNUMBER(SEARCH("World",'RawData'!C796)),"",'RawData'!F796)</f>
        <v>273000</v>
      </c>
      <c r="G730" s="14">
        <f>IF(ISNUMBER(SEARCH("World",'RawData'!C796)),"",'RawData'!G796)</f>
        <v>280000</v>
      </c>
      <c r="H730" s="14">
        <f>IF(ISNUMBER(SEARCH("World",'RawData'!C796)),"",SUMIFS('RawData'!G:G,'RawData'!B:B,'RawData'!B796,'RawData'!C:C,"*World*"))</f>
        <v>1300000</v>
      </c>
      <c r="I730" s="15">
        <f>IF(ISNUMBER(SEARCH("World",'RawData'!C796)),"",IFERROR(G730/H730,"-"))</f>
        <v>0.2153846153846154</v>
      </c>
      <c r="J730" s="7">
        <f>IF(ISNUMBER(SEARCH("World",'RawData'!C796)),"",IF(ISNUMBER(SEARCH("Other",C730)),COUNTIFS('RawData'!B:B,B730,'RawData'!C:C,"&lt;&gt;*World*"),IF(OR(G730="",G730=0),"-",SUMPRODUCT(('RawData'!B$2:B$822=B730)*('RawData'!G$2:G$822&gt;G730)*(ISERROR(SEARCH("World",'RawData'!C$2:C$822)))*(ISERROR(SEARCH("Other",'RawData'!C$2:C$822))))+1)))</f>
        <v>1</v>
      </c>
      <c r="K730" s="14">
        <f>IF(ISNUMBER(SEARCH("World",'RawData'!C796)),"",'RawData'!H796)</f>
        <v>0</v>
      </c>
      <c r="L730" s="14">
        <f>IF(ISNUMBER(SEARCH("World",'RawData'!C796)),"",SUMIFS('RawData'!H:H,'RawData'!B:B,'RawData'!B796,'RawData'!C:C,"*World*"))</f>
        <v>0</v>
      </c>
      <c r="M730" s="15" t="str">
        <f>IF(ISNUMBER(SEARCH("World",'RawData'!C796)),"",IFERROR(K730/L730,"-"))</f>
        <v>-</v>
      </c>
      <c r="N730" s="7" t="str">
        <f>IF(ISNUMBER(SEARCH("World",'RawData'!C796)),"",IF(ISNUMBER(SEARCH("Other",C730)),COUNTIFS('RawData'!B:B,B730,'RawData'!C:C,"&lt;&gt;*World*"),IF(OR(K730="",K730=0),"-",SUMPRODUCT(('RawData'!B$2:B$822=B730)*('RawData'!H$2:H$822&gt;K730)*(ISERROR(SEARCH("World",'RawData'!C$2:C$822)))*(ISERROR(SEARCH("Other",'RawData'!C$2:C$822))))+1)))</f>
        <v>-</v>
      </c>
    </row>
    <row r="731" spans="1:14" x14ac:dyDescent="0.3">
      <c r="A731" s="4" t="str">
        <f>IF(ISNUMBER(SEARCH("World",'RawData'!C797)),"",'RawData'!A797)</f>
        <v>MCS2026</v>
      </c>
      <c r="B731" s="4" t="str">
        <f>IF(ISNUMBER(SEARCH("World",'RawData'!C797)),"",'RawData'!B797)</f>
        <v>Zeolite</v>
      </c>
      <c r="C731" s="4" t="str">
        <f>IF(ISNUMBER(SEARCH("World",'RawData'!C797)),"",'RawData'!C797)</f>
        <v>South Korea</v>
      </c>
      <c r="D731" s="4" t="str">
        <f>IF(ISNUMBER(SEARCH("World",'RawData'!C797)),"",'RawData'!D797)</f>
        <v>Mine production</v>
      </c>
      <c r="E731" s="4" t="str">
        <f>IF(ISNUMBER(SEARCH("World",'RawData'!C797)),"",IF('RawData'!E797="WT001","kg",IF('RawData'!E797="WT002","ton",IF('RawData'!E797="WT003","k ton",""))))</f>
        <v>ton</v>
      </c>
      <c r="F731" s="14">
        <f>IF(ISNUMBER(SEARCH("World",'RawData'!C797)),"",'RawData'!F797)</f>
        <v>140000</v>
      </c>
      <c r="G731" s="14">
        <f>IF(ISNUMBER(SEARCH("World",'RawData'!C797)),"",'RawData'!G797)</f>
        <v>160000</v>
      </c>
      <c r="H731" s="14">
        <f>IF(ISNUMBER(SEARCH("World",'RawData'!C797)),"",SUMIFS('RawData'!G:G,'RawData'!B:B,'RawData'!B797,'RawData'!C:C,"*World*"))</f>
        <v>1300000</v>
      </c>
      <c r="I731" s="15">
        <f>IF(ISNUMBER(SEARCH("World",'RawData'!C797)),"",IFERROR(G731/H731,"-"))</f>
        <v>0.12307692307692308</v>
      </c>
      <c r="J731" s="7">
        <f>IF(ISNUMBER(SEARCH("World",'RawData'!C797)),"",IF(ISNUMBER(SEARCH("Other",C731)),COUNTIFS('RawData'!B:B,B731,'RawData'!C:C,"&lt;&gt;*World*"),IF(OR(G731="",G731=0),"-",SUMPRODUCT(('RawData'!B$2:B$822=B731)*('RawData'!G$2:G$822&gt;G731)*(ISERROR(SEARCH("World",'RawData'!C$2:C$822)))*(ISERROR(SEARCH("Other",'RawData'!C$2:C$822))))+1)))</f>
        <v>3</v>
      </c>
      <c r="K731" s="14">
        <f>IF(ISNUMBER(SEARCH("World",'RawData'!C797)),"",'RawData'!H797)</f>
        <v>0</v>
      </c>
      <c r="L731" s="14">
        <f>IF(ISNUMBER(SEARCH("World",'RawData'!C797)),"",SUMIFS('RawData'!H:H,'RawData'!B:B,'RawData'!B797,'RawData'!C:C,"*World*"))</f>
        <v>0</v>
      </c>
      <c r="M731" s="15" t="str">
        <f>IF(ISNUMBER(SEARCH("World",'RawData'!C797)),"",IFERROR(K731/L731,"-"))</f>
        <v>-</v>
      </c>
      <c r="N731" s="7" t="str">
        <f>IF(ISNUMBER(SEARCH("World",'RawData'!C797)),"",IF(ISNUMBER(SEARCH("Other",C731)),COUNTIFS('RawData'!B:B,B731,'RawData'!C:C,"&lt;&gt;*World*"),IF(OR(K731="",K731=0),"-",SUMPRODUCT(('RawData'!B$2:B$822=B731)*('RawData'!H$2:H$822&gt;K731)*(ISERROR(SEARCH("World",'RawData'!C$2:C$822)))*(ISERROR(SEARCH("Other",'RawData'!C$2:C$822))))+1)))</f>
        <v>-</v>
      </c>
    </row>
    <row r="732" spans="1:14" x14ac:dyDescent="0.3">
      <c r="A732" s="4" t="str">
        <f>IF(ISNUMBER(SEARCH("World",'RawData'!C798)),"",'RawData'!A798)</f>
        <v>MCS2026</v>
      </c>
      <c r="B732" s="4" t="str">
        <f>IF(ISNUMBER(SEARCH("World",'RawData'!C798)),"",'RawData'!B798)</f>
        <v>Zeolite</v>
      </c>
      <c r="C732" s="4" t="str">
        <f>IF(ISNUMBER(SEARCH("World",'RawData'!C798)),"",'RawData'!C798)</f>
        <v>United States</v>
      </c>
      <c r="D732" s="4" t="str">
        <f>IF(ISNUMBER(SEARCH("World",'RawData'!C798)),"",'RawData'!D798)</f>
        <v>Mine production</v>
      </c>
      <c r="E732" s="4" t="str">
        <f>IF(ISNUMBER(SEARCH("World",'RawData'!C798)),"",IF('RawData'!E798="WT001","kg",IF('RawData'!E798="WT002","ton",IF('RawData'!E798="WT003","k ton",""))))</f>
        <v>ton</v>
      </c>
      <c r="F732" s="14">
        <f>IF(ISNUMBER(SEARCH("World",'RawData'!C798)),"",'RawData'!F798)</f>
        <v>76900</v>
      </c>
      <c r="G732" s="14">
        <f>IF(ISNUMBER(SEARCH("World",'RawData'!C798)),"",'RawData'!G798)</f>
        <v>80000</v>
      </c>
      <c r="H732" s="14">
        <f>IF(ISNUMBER(SEARCH("World",'RawData'!C798)),"",SUMIFS('RawData'!G:G,'RawData'!B:B,'RawData'!B798,'RawData'!C:C,"*World*"))</f>
        <v>1300000</v>
      </c>
      <c r="I732" s="15">
        <f>IF(ISNUMBER(SEARCH("World",'RawData'!C798)),"",IFERROR(G732/H732,"-"))</f>
        <v>6.1538461538461542E-2</v>
      </c>
      <c r="J732" s="7">
        <f>IF(ISNUMBER(SEARCH("World",'RawData'!C798)),"",IF(ISNUMBER(SEARCH("Other",C732)),COUNTIFS('RawData'!B:B,B732,'RawData'!C:C,"&lt;&gt;*World*"),IF(OR(G732="",G732=0),"-",SUMPRODUCT(('RawData'!B$2:B$822=B732)*('RawData'!G$2:G$822&gt;G732)*(ISERROR(SEARCH("World",'RawData'!C$2:C$822)))*(ISERROR(SEARCH("Other",'RawData'!C$2:C$822))))+1)))</f>
        <v>7</v>
      </c>
      <c r="K732" s="14">
        <f>IF(ISNUMBER(SEARCH("World",'RawData'!C798)),"",'RawData'!H798)</f>
        <v>0</v>
      </c>
      <c r="L732" s="14">
        <f>IF(ISNUMBER(SEARCH("World",'RawData'!C798)),"",SUMIFS('RawData'!H:H,'RawData'!B:B,'RawData'!B798,'RawData'!C:C,"*World*"))</f>
        <v>0</v>
      </c>
      <c r="M732" s="15" t="str">
        <f>IF(ISNUMBER(SEARCH("World",'RawData'!C798)),"",IFERROR(K732/L732,"-"))</f>
        <v>-</v>
      </c>
      <c r="N732" s="7" t="str">
        <f>IF(ISNUMBER(SEARCH("World",'RawData'!C798)),"",IF(ISNUMBER(SEARCH("Other",C732)),COUNTIFS('RawData'!B:B,B732,'RawData'!C:C,"&lt;&gt;*World*"),IF(OR(K732="",K732=0),"-",SUMPRODUCT(('RawData'!B$2:B$822=B732)*('RawData'!H$2:H$822&gt;K732)*(ISERROR(SEARCH("World",'RawData'!C$2:C$822)))*(ISERROR(SEARCH("Other",'RawData'!C$2:C$822))))+1)))</f>
        <v>-</v>
      </c>
    </row>
    <row r="733" spans="1:14" x14ac:dyDescent="0.3">
      <c r="A733" s="4" t="str">
        <f>IF(ISNUMBER(SEARCH("World",'RawData'!C800)),"",'RawData'!A800)</f>
        <v>MCS2026</v>
      </c>
      <c r="B733" s="4" t="str">
        <f>IF(ISNUMBER(SEARCH("World",'RawData'!C800)),"",'RawData'!B800)</f>
        <v>Zinc</v>
      </c>
      <c r="C733" s="4" t="str">
        <f>IF(ISNUMBER(SEARCH("World",'RawData'!C800)),"",'RawData'!C800)</f>
        <v>Australia</v>
      </c>
      <c r="D733" s="4" t="str">
        <f>IF(ISNUMBER(SEARCH("World",'RawData'!C800)),"",'RawData'!D800)</f>
        <v>Mine production, zinc content</v>
      </c>
      <c r="E733" s="4" t="str">
        <f>IF(ISNUMBER(SEARCH("World",'RawData'!C800)),"",IF('RawData'!E800="WT001","kg",IF('RawData'!E800="WT002","ton",IF('RawData'!E800="WT003","k ton",""))))</f>
        <v>k ton</v>
      </c>
      <c r="F733" s="14">
        <f>IF(ISNUMBER(SEARCH("World",'RawData'!C800)),"",'RawData'!F800)</f>
        <v>1100</v>
      </c>
      <c r="G733" s="14">
        <f>IF(ISNUMBER(SEARCH("World",'RawData'!C800)),"",'RawData'!G800)</f>
        <v>1100</v>
      </c>
      <c r="H733" s="14">
        <f>IF(ISNUMBER(SEARCH("World",'RawData'!C800)),"",SUMIFS('RawData'!G:G,'RawData'!B:B,'RawData'!B800,'RawData'!C:C,"*World*"))</f>
        <v>13000</v>
      </c>
      <c r="I733" s="15">
        <f>IF(ISNUMBER(SEARCH("World",'RawData'!C800)),"",IFERROR(G733/H733,"-"))</f>
        <v>8.461538461538462E-2</v>
      </c>
      <c r="J733" s="7">
        <f>IF(ISNUMBER(SEARCH("World",'RawData'!C800)),"",IF(ISNUMBER(SEARCH("Other",C733)),COUNTIFS('RawData'!B:B,B733,'RawData'!C:C,"&lt;&gt;*World*"),IF(OR(G733="",G733=0),"-",SUMPRODUCT(('RawData'!B$2:B$822=B733)*('RawData'!G$2:G$822&gt;G733)*(ISERROR(SEARCH("World",'RawData'!C$2:C$822)))*(ISERROR(SEARCH("Other",'RawData'!C$2:C$822))))+1)))</f>
        <v>3</v>
      </c>
      <c r="K733" s="14">
        <f>IF(ISNUMBER(SEARCH("World",'RawData'!C800)),"",'RawData'!H800)</f>
        <v>64000</v>
      </c>
      <c r="L733" s="14">
        <f>IF(ISNUMBER(SEARCH("World",'RawData'!C800)),"",SUMIFS('RawData'!H:H,'RawData'!B:B,'RawData'!B800,'RawData'!C:C,"*World*"))</f>
        <v>240000</v>
      </c>
      <c r="M733" s="15">
        <f>IF(ISNUMBER(SEARCH("World",'RawData'!C800)),"",IFERROR(K733/L733,"-"))</f>
        <v>0.26666666666666666</v>
      </c>
      <c r="N733" s="7">
        <f>IF(ISNUMBER(SEARCH("World",'RawData'!C800)),"",IF(ISNUMBER(SEARCH("Other",C733)),COUNTIFS('RawData'!B:B,B733,'RawData'!C:C,"&lt;&gt;*World*"),IF(OR(K733="",K733=0),"-",SUMPRODUCT(('RawData'!B$2:B$822=B733)*('RawData'!H$2:H$822&gt;K733)*(ISERROR(SEARCH("World",'RawData'!C$2:C$822)))*(ISERROR(SEARCH("Other",'RawData'!C$2:C$822))))+1)))</f>
        <v>1</v>
      </c>
    </row>
    <row r="734" spans="1:14" x14ac:dyDescent="0.3">
      <c r="A734" s="4" t="str">
        <f>IF(ISNUMBER(SEARCH("World",'RawData'!C801)),"",'RawData'!A801)</f>
        <v>MCS2026</v>
      </c>
      <c r="B734" s="4" t="str">
        <f>IF(ISNUMBER(SEARCH("World",'RawData'!C801)),"",'RawData'!B801)</f>
        <v>Zinc</v>
      </c>
      <c r="C734" s="4" t="str">
        <f>IF(ISNUMBER(SEARCH("World",'RawData'!C801)),"",'RawData'!C801)</f>
        <v>Bolivia</v>
      </c>
      <c r="D734" s="4" t="str">
        <f>IF(ISNUMBER(SEARCH("World",'RawData'!C801)),"",'RawData'!D801)</f>
        <v>Mine production, zinc content</v>
      </c>
      <c r="E734" s="4" t="str">
        <f>IF(ISNUMBER(SEARCH("World",'RawData'!C801)),"",IF('RawData'!E801="WT001","kg",IF('RawData'!E801="WT002","ton",IF('RawData'!E801="WT003","k ton",""))))</f>
        <v>k ton</v>
      </c>
      <c r="F734" s="14">
        <f>IF(ISNUMBER(SEARCH("World",'RawData'!C801)),"",'RawData'!F801)</f>
        <v>512</v>
      </c>
      <c r="G734" s="14">
        <f>IF(ISNUMBER(SEARCH("World",'RawData'!C801)),"",'RawData'!G801)</f>
        <v>500</v>
      </c>
      <c r="H734" s="14">
        <f>IF(ISNUMBER(SEARCH("World",'RawData'!C801)),"",SUMIFS('RawData'!G:G,'RawData'!B:B,'RawData'!B801,'RawData'!C:C,"*World*"))</f>
        <v>13000</v>
      </c>
      <c r="I734" s="15">
        <f>IF(ISNUMBER(SEARCH("World",'RawData'!C801)),"",IFERROR(G734/H734,"-"))</f>
        <v>3.8461538461538464E-2</v>
      </c>
      <c r="J734" s="7">
        <f>IF(ISNUMBER(SEARCH("World",'RawData'!C801)),"",IF(ISNUMBER(SEARCH("Other",C734)),COUNTIFS('RawData'!B:B,B734,'RawData'!C:C,"&lt;&gt;*World*"),IF(OR(G734="",G734=0),"-",SUMPRODUCT(('RawData'!B$2:B$822=B734)*('RawData'!G$2:G$822&gt;G734)*(ISERROR(SEARCH("World",'RawData'!C$2:C$822)))*(ISERROR(SEARCH("Other",'RawData'!C$2:C$822))))+1)))</f>
        <v>7</v>
      </c>
      <c r="K734" s="14">
        <f>IF(ISNUMBER(SEARCH("World",'RawData'!C801)),"",'RawData'!H801)</f>
        <v>0</v>
      </c>
      <c r="L734" s="14">
        <f>IF(ISNUMBER(SEARCH("World",'RawData'!C801)),"",SUMIFS('RawData'!H:H,'RawData'!B:B,'RawData'!B801,'RawData'!C:C,"*World*"))</f>
        <v>240000</v>
      </c>
      <c r="M734" s="15">
        <f>IF(ISNUMBER(SEARCH("World",'RawData'!C801)),"",IFERROR(K734/L734,"-"))</f>
        <v>0</v>
      </c>
      <c r="N734" s="7" t="str">
        <f>IF(ISNUMBER(SEARCH("World",'RawData'!C801)),"",IF(ISNUMBER(SEARCH("Other",C734)),COUNTIFS('RawData'!B:B,B734,'RawData'!C:C,"&lt;&gt;*World*"),IF(OR(K734="",K734=0),"-",SUMPRODUCT(('RawData'!B$2:B$822=B734)*('RawData'!H$2:H$822&gt;K734)*(ISERROR(SEARCH("World",'RawData'!C$2:C$822)))*(ISERROR(SEARCH("Other",'RawData'!C$2:C$822))))+1)))</f>
        <v>-</v>
      </c>
    </row>
    <row r="735" spans="1:14" x14ac:dyDescent="0.3">
      <c r="A735" s="4" t="str">
        <f>IF(ISNUMBER(SEARCH("World",'RawData'!C802)),"",'RawData'!A802)</f>
        <v>MCS2026</v>
      </c>
      <c r="B735" s="4" t="str">
        <f>IF(ISNUMBER(SEARCH("World",'RawData'!C802)),"",'RawData'!B802)</f>
        <v>Zinc</v>
      </c>
      <c r="C735" s="4" t="str">
        <f>IF(ISNUMBER(SEARCH("World",'RawData'!C802)),"",'RawData'!C802)</f>
        <v>China</v>
      </c>
      <c r="D735" s="4" t="str">
        <f>IF(ISNUMBER(SEARCH("World",'RawData'!C802)),"",'RawData'!D802)</f>
        <v>Mine production, zinc content</v>
      </c>
      <c r="E735" s="4" t="str">
        <f>IF(ISNUMBER(SEARCH("World",'RawData'!C802)),"",IF('RawData'!E802="WT001","kg",IF('RawData'!E802="WT002","ton",IF('RawData'!E802="WT003","k ton",""))))</f>
        <v>k ton</v>
      </c>
      <c r="F735" s="14">
        <f>IF(ISNUMBER(SEARCH("World",'RawData'!C802)),"",'RawData'!F802)</f>
        <v>4000</v>
      </c>
      <c r="G735" s="14">
        <f>IF(ISNUMBER(SEARCH("World",'RawData'!C802)),"",'RawData'!G802)</f>
        <v>4100</v>
      </c>
      <c r="H735" s="14">
        <f>IF(ISNUMBER(SEARCH("World",'RawData'!C802)),"",SUMIFS('RawData'!G:G,'RawData'!B:B,'RawData'!B802,'RawData'!C:C,"*World*"))</f>
        <v>13000</v>
      </c>
      <c r="I735" s="15">
        <f>IF(ISNUMBER(SEARCH("World",'RawData'!C802)),"",IFERROR(G735/H735,"-"))</f>
        <v>0.31538461538461537</v>
      </c>
      <c r="J735" s="7">
        <f>IF(ISNUMBER(SEARCH("World",'RawData'!C802)),"",IF(ISNUMBER(SEARCH("Other",C735)),COUNTIFS('RawData'!B:B,B735,'RawData'!C:C,"&lt;&gt;*World*"),IF(OR(G735="",G735=0),"-",SUMPRODUCT(('RawData'!B$2:B$822=B735)*('RawData'!G$2:G$822&gt;G735)*(ISERROR(SEARCH("World",'RawData'!C$2:C$822)))*(ISERROR(SEARCH("Other",'RawData'!C$2:C$822))))+1)))</f>
        <v>1</v>
      </c>
      <c r="K735" s="14">
        <f>IF(ISNUMBER(SEARCH("World",'RawData'!C802)),"",'RawData'!H802)</f>
        <v>60000</v>
      </c>
      <c r="L735" s="14">
        <f>IF(ISNUMBER(SEARCH("World",'RawData'!C802)),"",SUMIFS('RawData'!H:H,'RawData'!B:B,'RawData'!B802,'RawData'!C:C,"*World*"))</f>
        <v>240000</v>
      </c>
      <c r="M735" s="15">
        <f>IF(ISNUMBER(SEARCH("World",'RawData'!C802)),"",IFERROR(K735/L735,"-"))</f>
        <v>0.25</v>
      </c>
      <c r="N735" s="7">
        <f>IF(ISNUMBER(SEARCH("World",'RawData'!C802)),"",IF(ISNUMBER(SEARCH("Other",C735)),COUNTIFS('RawData'!B:B,B735,'RawData'!C:C,"&lt;&gt;*World*"),IF(OR(K735="",K735=0),"-",SUMPRODUCT(('RawData'!B$2:B$822=B735)*('RawData'!H$2:H$822&gt;K735)*(ISERROR(SEARCH("World",'RawData'!C$2:C$822)))*(ISERROR(SEARCH("Other",'RawData'!C$2:C$822))))+1)))</f>
        <v>2</v>
      </c>
    </row>
    <row r="736" spans="1:14" x14ac:dyDescent="0.3">
      <c r="A736" s="4" t="str">
        <f>IF(ISNUMBER(SEARCH("World",'RawData'!C803)),"",'RawData'!A803)</f>
        <v>MCS2026</v>
      </c>
      <c r="B736" s="4" t="str">
        <f>IF(ISNUMBER(SEARCH("World",'RawData'!C803)),"",'RawData'!B803)</f>
        <v>Zinc</v>
      </c>
      <c r="C736" s="4" t="str">
        <f>IF(ISNUMBER(SEARCH("World",'RawData'!C803)),"",'RawData'!C803)</f>
        <v>India</v>
      </c>
      <c r="D736" s="4" t="str">
        <f>IF(ISNUMBER(SEARCH("World",'RawData'!C803)),"",'RawData'!D803)</f>
        <v>Mine production, zinc content</v>
      </c>
      <c r="E736" s="4" t="str">
        <f>IF(ISNUMBER(SEARCH("World",'RawData'!C803)),"",IF('RawData'!E803="WT001","kg",IF('RawData'!E803="WT002","ton",IF('RawData'!E803="WT003","k ton",""))))</f>
        <v>k ton</v>
      </c>
      <c r="F736" s="14">
        <f>IF(ISNUMBER(SEARCH("World",'RawData'!C803)),"",'RawData'!F803)</f>
        <v>870</v>
      </c>
      <c r="G736" s="14">
        <f>IF(ISNUMBER(SEARCH("World",'RawData'!C803)),"",'RawData'!G803)</f>
        <v>870</v>
      </c>
      <c r="H736" s="14">
        <f>IF(ISNUMBER(SEARCH("World",'RawData'!C803)),"",SUMIFS('RawData'!G:G,'RawData'!B:B,'RawData'!B803,'RawData'!C:C,"*World*"))</f>
        <v>13000</v>
      </c>
      <c r="I736" s="15">
        <f>IF(ISNUMBER(SEARCH("World",'RawData'!C803)),"",IFERROR(G736/H736,"-"))</f>
        <v>6.6923076923076918E-2</v>
      </c>
      <c r="J736" s="7">
        <f>IF(ISNUMBER(SEARCH("World",'RawData'!C803)),"",IF(ISNUMBER(SEARCH("Other",C736)),COUNTIFS('RawData'!B:B,B736,'RawData'!C:C,"&lt;&gt;*World*"),IF(OR(G736="",G736=0),"-",SUMPRODUCT(('RawData'!B$2:B$822=B736)*('RawData'!G$2:G$822&gt;G736)*(ISERROR(SEARCH("World",'RawData'!C$2:C$822)))*(ISERROR(SEARCH("Other",'RawData'!C$2:C$822))))+1)))</f>
        <v>4</v>
      </c>
      <c r="K736" s="14">
        <f>IF(ISNUMBER(SEARCH("World",'RawData'!C803)),"",'RawData'!H803)</f>
        <v>10000</v>
      </c>
      <c r="L736" s="14">
        <f>IF(ISNUMBER(SEARCH("World",'RawData'!C803)),"",SUMIFS('RawData'!H:H,'RawData'!B:B,'RawData'!B803,'RawData'!C:C,"*World*"))</f>
        <v>240000</v>
      </c>
      <c r="M736" s="15">
        <f>IF(ISNUMBER(SEARCH("World",'RawData'!C803)),"",IFERROR(K736/L736,"-"))</f>
        <v>4.1666666666666664E-2</v>
      </c>
      <c r="N736" s="7">
        <f>IF(ISNUMBER(SEARCH("World",'RawData'!C803)),"",IF(ISNUMBER(SEARCH("Other",C736)),COUNTIFS('RawData'!B:B,B736,'RawData'!C:C,"&lt;&gt;*World*"),IF(OR(K736="",K736=0),"-",SUMPRODUCT(('RawData'!B$2:B$822=B736)*('RawData'!H$2:H$822&gt;K736)*(ISERROR(SEARCH("World",'RawData'!C$2:C$822)))*(ISERROR(SEARCH("Other",'RawData'!C$2:C$822))))+1)))</f>
        <v>6</v>
      </c>
    </row>
    <row r="737" spans="1:14" x14ac:dyDescent="0.3">
      <c r="A737" s="4" t="str">
        <f>IF(ISNUMBER(SEARCH("World",'RawData'!C804)),"",'RawData'!A804)</f>
        <v>MCS2026</v>
      </c>
      <c r="B737" s="4" t="str">
        <f>IF(ISNUMBER(SEARCH("World",'RawData'!C804)),"",'RawData'!B804)</f>
        <v>Zinc</v>
      </c>
      <c r="C737" s="4" t="str">
        <f>IF(ISNUMBER(SEARCH("World",'RawData'!C804)),"",'RawData'!C804)</f>
        <v>Kazakhstan</v>
      </c>
      <c r="D737" s="4" t="str">
        <f>IF(ISNUMBER(SEARCH("World",'RawData'!C804)),"",'RawData'!D804)</f>
        <v>Mine production, zinc content</v>
      </c>
      <c r="E737" s="4" t="str">
        <f>IF(ISNUMBER(SEARCH("World",'RawData'!C804)),"",IF('RawData'!E804="WT001","kg",IF('RawData'!E804="WT002","ton",IF('RawData'!E804="WT003","k ton",""))))</f>
        <v>k ton</v>
      </c>
      <c r="F737" s="14">
        <f>IF(ISNUMBER(SEARCH("World",'RawData'!C804)),"",'RawData'!F804)</f>
        <v>380</v>
      </c>
      <c r="G737" s="14">
        <f>IF(ISNUMBER(SEARCH("World",'RawData'!C804)),"",'RawData'!G804)</f>
        <v>360</v>
      </c>
      <c r="H737" s="14">
        <f>IF(ISNUMBER(SEARCH("World",'RawData'!C804)),"",SUMIFS('RawData'!G:G,'RawData'!B:B,'RawData'!B804,'RawData'!C:C,"*World*"))</f>
        <v>13000</v>
      </c>
      <c r="I737" s="15">
        <f>IF(ISNUMBER(SEARCH("World",'RawData'!C804)),"",IFERROR(G737/H737,"-"))</f>
        <v>2.7692307692307693E-2</v>
      </c>
      <c r="J737" s="7">
        <f>IF(ISNUMBER(SEARCH("World",'RawData'!C804)),"",IF(ISNUMBER(SEARCH("Other",C737)),COUNTIFS('RawData'!B:B,B737,'RawData'!C:C,"&lt;&gt;*World*"),IF(OR(G737="",G737=0),"-",SUMPRODUCT(('RawData'!B$2:B$822=B737)*('RawData'!G$2:G$822&gt;G737)*(ISERROR(SEARCH("World",'RawData'!C$2:C$822)))*(ISERROR(SEARCH("Other",'RawData'!C$2:C$822))))+1)))</f>
        <v>9</v>
      </c>
      <c r="K737" s="14">
        <f>IF(ISNUMBER(SEARCH("World",'RawData'!C804)),"",'RawData'!H804)</f>
        <v>7400</v>
      </c>
      <c r="L737" s="14">
        <f>IF(ISNUMBER(SEARCH("World",'RawData'!C804)),"",SUMIFS('RawData'!H:H,'RawData'!B:B,'RawData'!B804,'RawData'!C:C,"*World*"))</f>
        <v>240000</v>
      </c>
      <c r="M737" s="15">
        <f>IF(ISNUMBER(SEARCH("World",'RawData'!C804)),"",IFERROR(K737/L737,"-"))</f>
        <v>3.0833333333333334E-2</v>
      </c>
      <c r="N737" s="7">
        <f>IF(ISNUMBER(SEARCH("World",'RawData'!C804)),"",IF(ISNUMBER(SEARCH("Other",C737)),COUNTIFS('RawData'!B:B,B737,'RawData'!C:C,"&lt;&gt;*World*"),IF(OR(K737="",K737=0),"-",SUMPRODUCT(('RawData'!B$2:B$822=B737)*('RawData'!H$2:H$822&gt;K737)*(ISERROR(SEARCH("World",'RawData'!C$2:C$822)))*(ISERROR(SEARCH("Other",'RawData'!C$2:C$822))))+1)))</f>
        <v>8</v>
      </c>
    </row>
    <row r="738" spans="1:14" x14ac:dyDescent="0.3">
      <c r="A738" s="4" t="str">
        <f>IF(ISNUMBER(SEARCH("World",'RawData'!C805)),"",'RawData'!A805)</f>
        <v>MCS2026</v>
      </c>
      <c r="B738" s="4" t="str">
        <f>IF(ISNUMBER(SEARCH("World",'RawData'!C805)),"",'RawData'!B805)</f>
        <v>Zinc</v>
      </c>
      <c r="C738" s="4" t="str">
        <f>IF(ISNUMBER(SEARCH("World",'RawData'!C805)),"",'RawData'!C805)</f>
        <v>Mexico</v>
      </c>
      <c r="D738" s="4" t="str">
        <f>IF(ISNUMBER(SEARCH("World",'RawData'!C805)),"",'RawData'!D805)</f>
        <v>Mine production, zinc content</v>
      </c>
      <c r="E738" s="4" t="str">
        <f>IF(ISNUMBER(SEARCH("World",'RawData'!C805)),"",IF('RawData'!E805="WT001","kg",IF('RawData'!E805="WT002","ton",IF('RawData'!E805="WT003","k ton",""))))</f>
        <v>k ton</v>
      </c>
      <c r="F738" s="14">
        <f>IF(ISNUMBER(SEARCH("World",'RawData'!C805)),"",'RawData'!F805)</f>
        <v>773</v>
      </c>
      <c r="G738" s="14">
        <f>IF(ISNUMBER(SEARCH("World",'RawData'!C805)),"",'RawData'!G805)</f>
        <v>780</v>
      </c>
      <c r="H738" s="14">
        <f>IF(ISNUMBER(SEARCH("World",'RawData'!C805)),"",SUMIFS('RawData'!G:G,'RawData'!B:B,'RawData'!B805,'RawData'!C:C,"*World*"))</f>
        <v>13000</v>
      </c>
      <c r="I738" s="15">
        <f>IF(ISNUMBER(SEARCH("World",'RawData'!C805)),"",IFERROR(G738/H738,"-"))</f>
        <v>0.06</v>
      </c>
      <c r="J738" s="7">
        <f>IF(ISNUMBER(SEARCH("World",'RawData'!C805)),"",IF(ISNUMBER(SEARCH("Other",C738)),COUNTIFS('RawData'!B:B,B738,'RawData'!C:C,"&lt;&gt;*World*"),IF(OR(G738="",G738=0),"-",SUMPRODUCT(('RawData'!B$2:B$822=B738)*('RawData'!G$2:G$822&gt;G738)*(ISERROR(SEARCH("World",'RawData'!C$2:C$822)))*(ISERROR(SEARCH("Other",'RawData'!C$2:C$822))))+1)))</f>
        <v>5</v>
      </c>
      <c r="K738" s="14">
        <f>IF(ISNUMBER(SEARCH("World",'RawData'!C805)),"",'RawData'!H805)</f>
        <v>14000</v>
      </c>
      <c r="L738" s="14">
        <f>IF(ISNUMBER(SEARCH("World",'RawData'!C805)),"",SUMIFS('RawData'!H:H,'RawData'!B:B,'RawData'!B805,'RawData'!C:C,"*World*"))</f>
        <v>240000</v>
      </c>
      <c r="M738" s="15">
        <f>IF(ISNUMBER(SEARCH("World",'RawData'!C805)),"",IFERROR(K738/L738,"-"))</f>
        <v>5.8333333333333334E-2</v>
      </c>
      <c r="N738" s="7">
        <f>IF(ISNUMBER(SEARCH("World",'RawData'!C805)),"",IF(ISNUMBER(SEARCH("Other",C738)),COUNTIFS('RawData'!B:B,B738,'RawData'!C:C,"&lt;&gt;*World*"),IF(OR(K738="",K738=0),"-",SUMPRODUCT(('RawData'!B$2:B$822=B738)*('RawData'!H$2:H$822&gt;K738)*(ISERROR(SEARCH("World",'RawData'!C$2:C$822)))*(ISERROR(SEARCH("Other",'RawData'!C$2:C$822))))+1)))</f>
        <v>5</v>
      </c>
    </row>
    <row r="739" spans="1:14" x14ac:dyDescent="0.3">
      <c r="A739" s="4" t="str">
        <f>IF(ISNUMBER(SEARCH("World",'RawData'!C806)),"",'RawData'!A806)</f>
        <v>MCS2026</v>
      </c>
      <c r="B739" s="4" t="str">
        <f>IF(ISNUMBER(SEARCH("World",'RawData'!C806)),"",'RawData'!B806)</f>
        <v>Zinc</v>
      </c>
      <c r="C739" s="4" t="str">
        <f>IF(ISNUMBER(SEARCH("World",'RawData'!C806)),"",'RawData'!C806)</f>
        <v>Other Countries</v>
      </c>
      <c r="D739" s="4" t="str">
        <f>IF(ISNUMBER(SEARCH("World",'RawData'!C806)),"",'RawData'!D806)</f>
        <v>Mine production, zinc content</v>
      </c>
      <c r="E739" s="4" t="str">
        <f>IF(ISNUMBER(SEARCH("World",'RawData'!C806)),"",IF('RawData'!E806="WT001","kg",IF('RawData'!E806="WT002","ton",IF('RawData'!E806="WT003","k ton",""))))</f>
        <v>k ton</v>
      </c>
      <c r="F739" s="14">
        <f>IF(ISNUMBER(SEARCH("World",'RawData'!C806)),"",'RawData'!F806)</f>
        <v>1730</v>
      </c>
      <c r="G739" s="14">
        <f>IF(ISNUMBER(SEARCH("World",'RawData'!C806)),"",'RawData'!G806)</f>
        <v>2000</v>
      </c>
      <c r="H739" s="14">
        <f>IF(ISNUMBER(SEARCH("World",'RawData'!C806)),"",SUMIFS('RawData'!G:G,'RawData'!B:B,'RawData'!B806,'RawData'!C:C,"*World*"))</f>
        <v>13000</v>
      </c>
      <c r="I739" s="15">
        <f>IF(ISNUMBER(SEARCH("World",'RawData'!C806)),"",IFERROR(G739/H739,"-"))</f>
        <v>0.15384615384615385</v>
      </c>
      <c r="J739" s="7">
        <f>IF(ISNUMBER(SEARCH("World",'RawData'!C806)),"",IF(ISNUMBER(SEARCH("Other",C739)),COUNTIFS('RawData'!B:B,B739,'RawData'!C:C,"&lt;&gt;*World*"),IF(OR(G739="",G739=0),"-",SUMPRODUCT(('RawData'!B$2:B$822=B739)*('RawData'!G$2:G$822&gt;G739)*(ISERROR(SEARCH("World",'RawData'!C$2:C$822)))*(ISERROR(SEARCH("Other",'RawData'!C$2:C$822))))+1)))</f>
        <v>11</v>
      </c>
      <c r="K739" s="14">
        <f>IF(ISNUMBER(SEARCH("World",'RawData'!C806)),"",'RawData'!H806)</f>
        <v>25000</v>
      </c>
      <c r="L739" s="14">
        <f>IF(ISNUMBER(SEARCH("World",'RawData'!C806)),"",SUMIFS('RawData'!H:H,'RawData'!B:B,'RawData'!B806,'RawData'!C:C,"*World*"))</f>
        <v>240000</v>
      </c>
      <c r="M739" s="15">
        <f>IF(ISNUMBER(SEARCH("World",'RawData'!C806)),"",IFERROR(K739/L739,"-"))</f>
        <v>0.10416666666666667</v>
      </c>
      <c r="N739" s="7">
        <f>IF(ISNUMBER(SEARCH("World",'RawData'!C806)),"",IF(ISNUMBER(SEARCH("Other",C739)),COUNTIFS('RawData'!B:B,B739,'RawData'!C:C,"&lt;&gt;*World*"),IF(OR(K739="",K739=0),"-",SUMPRODUCT(('RawData'!B$2:B$822=B739)*('RawData'!H$2:H$822&gt;K739)*(ISERROR(SEARCH("World",'RawData'!C$2:C$822)))*(ISERROR(SEARCH("Other",'RawData'!C$2:C$822))))+1)))</f>
        <v>11</v>
      </c>
    </row>
    <row r="740" spans="1:14" x14ac:dyDescent="0.3">
      <c r="A740" s="4" t="str">
        <f>IF(ISNUMBER(SEARCH("World",'RawData'!C807)),"",'RawData'!A807)</f>
        <v>MCS2026</v>
      </c>
      <c r="B740" s="4" t="str">
        <f>IF(ISNUMBER(SEARCH("World",'RawData'!C807)),"",'RawData'!B807)</f>
        <v>Zinc</v>
      </c>
      <c r="C740" s="4" t="str">
        <f>IF(ISNUMBER(SEARCH("World",'RawData'!C807)),"",'RawData'!C807)</f>
        <v>Peru</v>
      </c>
      <c r="D740" s="4" t="str">
        <f>IF(ISNUMBER(SEARCH("World",'RawData'!C807)),"",'RawData'!D807)</f>
        <v>Mine production, zinc content</v>
      </c>
      <c r="E740" s="4" t="str">
        <f>IF(ISNUMBER(SEARCH("World",'RawData'!C807)),"",IF('RawData'!E807="WT001","kg",IF('RawData'!E807="WT002","ton",IF('RawData'!E807="WT003","k ton",""))))</f>
        <v>k ton</v>
      </c>
      <c r="F740" s="14">
        <f>IF(ISNUMBER(SEARCH("World",'RawData'!C807)),"",'RawData'!F807)</f>
        <v>1270</v>
      </c>
      <c r="G740" s="14">
        <f>IF(ISNUMBER(SEARCH("World",'RawData'!C807)),"",'RawData'!G807)</f>
        <v>1500</v>
      </c>
      <c r="H740" s="14">
        <f>IF(ISNUMBER(SEARCH("World",'RawData'!C807)),"",SUMIFS('RawData'!G:G,'RawData'!B:B,'RawData'!B807,'RawData'!C:C,"*World*"))</f>
        <v>13000</v>
      </c>
      <c r="I740" s="15">
        <f>IF(ISNUMBER(SEARCH("World",'RawData'!C807)),"",IFERROR(G740/H740,"-"))</f>
        <v>0.11538461538461539</v>
      </c>
      <c r="J740" s="7">
        <f>IF(ISNUMBER(SEARCH("World",'RawData'!C807)),"",IF(ISNUMBER(SEARCH("Other",C740)),COUNTIFS('RawData'!B:B,B740,'RawData'!C:C,"&lt;&gt;*World*"),IF(OR(G740="",G740=0),"-",SUMPRODUCT(('RawData'!B$2:B$822=B740)*('RawData'!G$2:G$822&gt;G740)*(ISERROR(SEARCH("World",'RawData'!C$2:C$822)))*(ISERROR(SEARCH("Other",'RawData'!C$2:C$822))))+1)))</f>
        <v>2</v>
      </c>
      <c r="K740" s="14">
        <f>IF(ISNUMBER(SEARCH("World",'RawData'!C807)),"",'RawData'!H807)</f>
        <v>18000</v>
      </c>
      <c r="L740" s="14">
        <f>IF(ISNUMBER(SEARCH("World",'RawData'!C807)),"",SUMIFS('RawData'!H:H,'RawData'!B:B,'RawData'!B807,'RawData'!C:C,"*World*"))</f>
        <v>240000</v>
      </c>
      <c r="M740" s="15">
        <f>IF(ISNUMBER(SEARCH("World",'RawData'!C807)),"",IFERROR(K740/L740,"-"))</f>
        <v>7.4999999999999997E-2</v>
      </c>
      <c r="N740" s="7">
        <f>IF(ISNUMBER(SEARCH("World",'RawData'!C807)),"",IF(ISNUMBER(SEARCH("Other",C740)),COUNTIFS('RawData'!B:B,B740,'RawData'!C:C,"&lt;&gt;*World*"),IF(OR(K740="",K740=0),"-",SUMPRODUCT(('RawData'!B$2:B$822=B740)*('RawData'!H$2:H$822&gt;K740)*(ISERROR(SEARCH("World",'RawData'!C$2:C$822)))*(ISERROR(SEARCH("Other",'RawData'!C$2:C$822))))+1)))</f>
        <v>4</v>
      </c>
    </row>
    <row r="741" spans="1:14" x14ac:dyDescent="0.3">
      <c r="A741" s="4" t="str">
        <f>IF(ISNUMBER(SEARCH("World",'RawData'!C808)),"",'RawData'!A808)</f>
        <v>MCS2026</v>
      </c>
      <c r="B741" s="4" t="str">
        <f>IF(ISNUMBER(SEARCH("World",'RawData'!C808)),"",'RawData'!B808)</f>
        <v>Zinc</v>
      </c>
      <c r="C741" s="4" t="str">
        <f>IF(ISNUMBER(SEARCH("World",'RawData'!C808)),"",'RawData'!C808)</f>
        <v xml:space="preserve">Russia </v>
      </c>
      <c r="D741" s="4" t="str">
        <f>IF(ISNUMBER(SEARCH("World",'RawData'!C808)),"",'RawData'!D808)</f>
        <v>Mine production, zinc content</v>
      </c>
      <c r="E741" s="4" t="str">
        <f>IF(ISNUMBER(SEARCH("World",'RawData'!C808)),"",IF('RawData'!E808="WT001","kg",IF('RawData'!E808="WT002","ton",IF('RawData'!E808="WT003","k ton",""))))</f>
        <v>k ton</v>
      </c>
      <c r="F741" s="14">
        <f>IF(ISNUMBER(SEARCH("World",'RawData'!C808)),"",'RawData'!F808)</f>
        <v>310</v>
      </c>
      <c r="G741" s="14">
        <f>IF(ISNUMBER(SEARCH("World",'RawData'!C808)),"",'RawData'!G808)</f>
        <v>430</v>
      </c>
      <c r="H741" s="14">
        <f>IF(ISNUMBER(SEARCH("World",'RawData'!C808)),"",SUMIFS('RawData'!G:G,'RawData'!B:B,'RawData'!B808,'RawData'!C:C,"*World*"))</f>
        <v>13000</v>
      </c>
      <c r="I741" s="15">
        <f>IF(ISNUMBER(SEARCH("World",'RawData'!C808)),"",IFERROR(G741/H741,"-"))</f>
        <v>3.307692307692308E-2</v>
      </c>
      <c r="J741" s="7">
        <f>IF(ISNUMBER(SEARCH("World",'RawData'!C808)),"",IF(ISNUMBER(SEARCH("Other",C741)),COUNTIFS('RawData'!B:B,B741,'RawData'!C:C,"&lt;&gt;*World*"),IF(OR(G741="",G741=0),"-",SUMPRODUCT(('RawData'!B$2:B$822=B741)*('RawData'!G$2:G$822&gt;G741)*(ISERROR(SEARCH("World",'RawData'!C$2:C$822)))*(ISERROR(SEARCH("Other",'RawData'!C$2:C$822))))+1)))</f>
        <v>8</v>
      </c>
      <c r="K741" s="14">
        <f>IF(ISNUMBER(SEARCH("World",'RawData'!C808)),"",'RawData'!H808)</f>
        <v>29000</v>
      </c>
      <c r="L741" s="14">
        <f>IF(ISNUMBER(SEARCH("World",'RawData'!C808)),"",SUMIFS('RawData'!H:H,'RawData'!B:B,'RawData'!B808,'RawData'!C:C,"*World*"))</f>
        <v>240000</v>
      </c>
      <c r="M741" s="15">
        <f>IF(ISNUMBER(SEARCH("World",'RawData'!C808)),"",IFERROR(K741/L741,"-"))</f>
        <v>0.12083333333333333</v>
      </c>
      <c r="N741" s="7">
        <f>IF(ISNUMBER(SEARCH("World",'RawData'!C808)),"",IF(ISNUMBER(SEARCH("Other",C741)),COUNTIFS('RawData'!B:B,B741,'RawData'!C:C,"&lt;&gt;*World*"),IF(OR(K741="",K741=0),"-",SUMPRODUCT(('RawData'!B$2:B$822=B741)*('RawData'!H$2:H$822&gt;K741)*(ISERROR(SEARCH("World",'RawData'!C$2:C$822)))*(ISERROR(SEARCH("Other",'RawData'!C$2:C$822))))+1)))</f>
        <v>3</v>
      </c>
    </row>
    <row r="742" spans="1:14" x14ac:dyDescent="0.3">
      <c r="A742" s="4" t="str">
        <f>IF(ISNUMBER(SEARCH("World",'RawData'!C809)),"",'RawData'!A809)</f>
        <v>MCS2026</v>
      </c>
      <c r="B742" s="4" t="str">
        <f>IF(ISNUMBER(SEARCH("World",'RawData'!C809)),"",'RawData'!B809)</f>
        <v>Zinc</v>
      </c>
      <c r="C742" s="4" t="str">
        <f>IF(ISNUMBER(SEARCH("World",'RawData'!C809)),"",'RawData'!C809)</f>
        <v>Sweden</v>
      </c>
      <c r="D742" s="4" t="str">
        <f>IF(ISNUMBER(SEARCH("World",'RawData'!C809)),"",'RawData'!D809)</f>
        <v>Mine production, zinc content</v>
      </c>
      <c r="E742" s="4" t="str">
        <f>IF(ISNUMBER(SEARCH("World",'RawData'!C809)),"",IF('RawData'!E809="WT001","kg",IF('RawData'!E809="WT002","ton",IF('RawData'!E809="WT003","k ton",""))))</f>
        <v>k ton</v>
      </c>
      <c r="F742" s="14">
        <f>IF(ISNUMBER(SEARCH("World",'RawData'!C809)),"",'RawData'!F809)</f>
        <v>239</v>
      </c>
      <c r="G742" s="14">
        <f>IF(ISNUMBER(SEARCH("World",'RawData'!C809)),"",'RawData'!G809)</f>
        <v>230</v>
      </c>
      <c r="H742" s="14">
        <f>IF(ISNUMBER(SEARCH("World",'RawData'!C809)),"",SUMIFS('RawData'!G:G,'RawData'!B:B,'RawData'!B809,'RawData'!C:C,"*World*"))</f>
        <v>13000</v>
      </c>
      <c r="I742" s="15">
        <f>IF(ISNUMBER(SEARCH("World",'RawData'!C809)),"",IFERROR(G742/H742,"-"))</f>
        <v>1.7692307692307691E-2</v>
      </c>
      <c r="J742" s="7">
        <f>IF(ISNUMBER(SEARCH("World",'RawData'!C809)),"",IF(ISNUMBER(SEARCH("Other",C742)),COUNTIFS('RawData'!B:B,B742,'RawData'!C:C,"&lt;&gt;*World*"),IF(OR(G742="",G742=0),"-",SUMPRODUCT(('RawData'!B$2:B$822=B742)*('RawData'!G$2:G$822&gt;G742)*(ISERROR(SEARCH("World",'RawData'!C$2:C$822)))*(ISERROR(SEARCH("Other",'RawData'!C$2:C$822))))+1)))</f>
        <v>10</v>
      </c>
      <c r="K742" s="14">
        <f>IF(ISNUMBER(SEARCH("World",'RawData'!C809)),"",'RawData'!H809)</f>
        <v>4100</v>
      </c>
      <c r="L742" s="14">
        <f>IF(ISNUMBER(SEARCH("World",'RawData'!C809)),"",SUMIFS('RawData'!H:H,'RawData'!B:B,'RawData'!B809,'RawData'!C:C,"*World*"))</f>
        <v>240000</v>
      </c>
      <c r="M742" s="15">
        <f>IF(ISNUMBER(SEARCH("World",'RawData'!C809)),"",IFERROR(K742/L742,"-"))</f>
        <v>1.7083333333333332E-2</v>
      </c>
      <c r="N742" s="7">
        <f>IF(ISNUMBER(SEARCH("World",'RawData'!C809)),"",IF(ISNUMBER(SEARCH("Other",C742)),COUNTIFS('RawData'!B:B,B742,'RawData'!C:C,"&lt;&gt;*World*"),IF(OR(K742="",K742=0),"-",SUMPRODUCT(('RawData'!B$2:B$822=B742)*('RawData'!H$2:H$822&gt;K742)*(ISERROR(SEARCH("World",'RawData'!C$2:C$822)))*(ISERROR(SEARCH("Other",'RawData'!C$2:C$822))))+1)))</f>
        <v>9</v>
      </c>
    </row>
    <row r="743" spans="1:14" x14ac:dyDescent="0.3">
      <c r="A743" s="4" t="str">
        <f>IF(ISNUMBER(SEARCH("World",'RawData'!C810)),"",'RawData'!A810)</f>
        <v>MCS2026</v>
      </c>
      <c r="B743" s="4" t="str">
        <f>IF(ISNUMBER(SEARCH("World",'RawData'!C810)),"",'RawData'!B810)</f>
        <v>Zinc</v>
      </c>
      <c r="C743" s="4" t="str">
        <f>IF(ISNUMBER(SEARCH("World",'RawData'!C810)),"",'RawData'!C810)</f>
        <v>United States</v>
      </c>
      <c r="D743" s="4" t="str">
        <f>IF(ISNUMBER(SEARCH("World",'RawData'!C810)),"",'RawData'!D810)</f>
        <v>Mine production, zinc content</v>
      </c>
      <c r="E743" s="4" t="str">
        <f>IF(ISNUMBER(SEARCH("World",'RawData'!C810)),"",IF('RawData'!E810="WT001","kg",IF('RawData'!E810="WT002","ton",IF('RawData'!E810="WT003","k ton",""))))</f>
        <v>k ton</v>
      </c>
      <c r="F743" s="14">
        <f>IF(ISNUMBER(SEARCH("World",'RawData'!C810)),"",'RawData'!F810)</f>
        <v>759</v>
      </c>
      <c r="G743" s="14">
        <f>IF(ISNUMBER(SEARCH("World",'RawData'!C810)),"",'RawData'!G810)</f>
        <v>670</v>
      </c>
      <c r="H743" s="14">
        <f>IF(ISNUMBER(SEARCH("World",'RawData'!C810)),"",SUMIFS('RawData'!G:G,'RawData'!B:B,'RawData'!B810,'RawData'!C:C,"*World*"))</f>
        <v>13000</v>
      </c>
      <c r="I743" s="15">
        <f>IF(ISNUMBER(SEARCH("World",'RawData'!C810)),"",IFERROR(G743/H743,"-"))</f>
        <v>5.153846153846154E-2</v>
      </c>
      <c r="J743" s="7">
        <f>IF(ISNUMBER(SEARCH("World",'RawData'!C810)),"",IF(ISNUMBER(SEARCH("Other",C743)),COUNTIFS('RawData'!B:B,B743,'RawData'!C:C,"&lt;&gt;*World*"),IF(OR(G743="",G743=0),"-",SUMPRODUCT(('RawData'!B$2:B$822=B743)*('RawData'!G$2:G$822&gt;G743)*(ISERROR(SEARCH("World",'RawData'!C$2:C$822)))*(ISERROR(SEARCH("Other",'RawData'!C$2:C$822))))+1)))</f>
        <v>6</v>
      </c>
      <c r="K743" s="14">
        <f>IF(ISNUMBER(SEARCH("World",'RawData'!C810)),"",'RawData'!H810)</f>
        <v>9300</v>
      </c>
      <c r="L743" s="14">
        <f>IF(ISNUMBER(SEARCH("World",'RawData'!C810)),"",SUMIFS('RawData'!H:H,'RawData'!B:B,'RawData'!B810,'RawData'!C:C,"*World*"))</f>
        <v>240000</v>
      </c>
      <c r="M743" s="15">
        <f>IF(ISNUMBER(SEARCH("World",'RawData'!C810)),"",IFERROR(K743/L743,"-"))</f>
        <v>3.875E-2</v>
      </c>
      <c r="N743" s="7">
        <f>IF(ISNUMBER(SEARCH("World",'RawData'!C810)),"",IF(ISNUMBER(SEARCH("Other",C743)),COUNTIFS('RawData'!B:B,B743,'RawData'!C:C,"&lt;&gt;*World*"),IF(OR(K743="",K743=0),"-",SUMPRODUCT(('RawData'!B$2:B$822=B743)*('RawData'!H$2:H$822&gt;K743)*(ISERROR(SEARCH("World",'RawData'!C$2:C$822)))*(ISERROR(SEARCH("Other",'RawData'!C$2:C$822))))+1)))</f>
        <v>7</v>
      </c>
    </row>
    <row r="744" spans="1:14" x14ac:dyDescent="0.3">
      <c r="A744" s="4" t="str">
        <f>IF(ISNUMBER(SEARCH("World",'RawData'!C812)),"",'RawData'!A812)</f>
        <v>MCS2026</v>
      </c>
      <c r="B744" s="4" t="str">
        <f>IF(ISNUMBER(SEARCH("World",'RawData'!C812)),"",'RawData'!B812)</f>
        <v>Zirconium</v>
      </c>
      <c r="C744" s="4" t="str">
        <f>IF(ISNUMBER(SEARCH("World",'RawData'!C812)),"",'RawData'!C812)</f>
        <v>Australia</v>
      </c>
      <c r="D744" s="4" t="str">
        <f>IF(ISNUMBER(SEARCH("World",'RawData'!C812)),"",'RawData'!D812)</f>
        <v>Mine production, zirconium, gross weight</v>
      </c>
      <c r="E744" s="4" t="str">
        <f>IF(ISNUMBER(SEARCH("World",'RawData'!C812)),"",IF('RawData'!E812="WT001","kg",IF('RawData'!E812="WT002","ton",IF('RawData'!E812="WT003","k ton",""))))</f>
        <v>k ton</v>
      </c>
      <c r="F744" s="14">
        <f>IF(ISNUMBER(SEARCH("World",'RawData'!C812)),"",'RawData'!F812)</f>
        <v>400</v>
      </c>
      <c r="G744" s="14">
        <f>IF(ISNUMBER(SEARCH("World",'RawData'!C812)),"",'RawData'!G812)</f>
        <v>400</v>
      </c>
      <c r="H744" s="14">
        <f>IF(ISNUMBER(SEARCH("World",'RawData'!C812)),"",SUMIFS('RawData'!G:G,'RawData'!B:B,'RawData'!B812,'RawData'!C:C,"*World*"))</f>
        <v>1200</v>
      </c>
      <c r="I744" s="15">
        <f>IF(ISNUMBER(SEARCH("World",'RawData'!C812)),"",IFERROR(G744/H744,"-"))</f>
        <v>0.33333333333333331</v>
      </c>
      <c r="J744" s="7">
        <f>IF(ISNUMBER(SEARCH("World",'RawData'!C812)),"",IF(ISNUMBER(SEARCH("Other",C744)),COUNTIFS('RawData'!B:B,B744,'RawData'!C:C,"&lt;&gt;*World*"),IF(OR(G744="",G744=0),"-",SUMPRODUCT(('RawData'!B$2:B$822=B744)*('RawData'!G$2:G$822&gt;G744)*(ISERROR(SEARCH("World",'RawData'!C$2:C$822)))*(ISERROR(SEARCH("Other",'RawData'!C$2:C$822))))+1)))</f>
        <v>1</v>
      </c>
      <c r="K744" s="14">
        <f>IF(ISNUMBER(SEARCH("World",'RawData'!C812)),"",'RawData'!H812)</f>
        <v>55000</v>
      </c>
      <c r="L744" s="14">
        <f>IF(ISNUMBER(SEARCH("World",'RawData'!C812)),"",SUMIFS('RawData'!H:H,'RawData'!B:B,'RawData'!B812,'RawData'!C:C,"*World*"))</f>
        <v>70000</v>
      </c>
      <c r="M744" s="15">
        <f>IF(ISNUMBER(SEARCH("World",'RawData'!C812)),"",IFERROR(K744/L744,"-"))</f>
        <v>0.7857142857142857</v>
      </c>
      <c r="N744" s="7">
        <f>IF(ISNUMBER(SEARCH("World",'RawData'!C812)),"",IF(ISNUMBER(SEARCH("Other",C744)),COUNTIFS('RawData'!B:B,B744,'RawData'!C:C,"&lt;&gt;*World*"),IF(OR(K744="",K744=0),"-",SUMPRODUCT(('RawData'!B$2:B$822=B744)*('RawData'!H$2:H$822&gt;K744)*(ISERROR(SEARCH("World",'RawData'!C$2:C$822)))*(ISERROR(SEARCH("Other",'RawData'!C$2:C$822))))+1)))</f>
        <v>1</v>
      </c>
    </row>
    <row r="745" spans="1:14" x14ac:dyDescent="0.3">
      <c r="A745" s="4" t="str">
        <f>IF(ISNUMBER(SEARCH("World",'RawData'!C813)),"",'RawData'!A813)</f>
        <v>MCS2026</v>
      </c>
      <c r="B745" s="4" t="str">
        <f>IF(ISNUMBER(SEARCH("World",'RawData'!C813)),"",'RawData'!B813)</f>
        <v>Zirconium</v>
      </c>
      <c r="C745" s="4" t="str">
        <f>IF(ISNUMBER(SEARCH("World",'RawData'!C813)),"",'RawData'!C813)</f>
        <v>China</v>
      </c>
      <c r="D745" s="4" t="str">
        <f>IF(ISNUMBER(SEARCH("World",'RawData'!C813)),"",'RawData'!D813)</f>
        <v>Mine production, zirconium, gross weight</v>
      </c>
      <c r="E745" s="4" t="str">
        <f>IF(ISNUMBER(SEARCH("World",'RawData'!C813)),"",IF('RawData'!E813="WT001","kg",IF('RawData'!E813="WT002","ton",IF('RawData'!E813="WT003","k ton",""))))</f>
        <v>k ton</v>
      </c>
      <c r="F745" s="14">
        <f>IF(ISNUMBER(SEARCH("World",'RawData'!C813)),"",'RawData'!F813)</f>
        <v>100</v>
      </c>
      <c r="G745" s="14">
        <f>IF(ISNUMBER(SEARCH("World",'RawData'!C813)),"",'RawData'!G813)</f>
        <v>100</v>
      </c>
      <c r="H745" s="14">
        <f>IF(ISNUMBER(SEARCH("World",'RawData'!C813)),"",SUMIFS('RawData'!G:G,'RawData'!B:B,'RawData'!B813,'RawData'!C:C,"*World*"))</f>
        <v>1200</v>
      </c>
      <c r="I745" s="15">
        <f>IF(ISNUMBER(SEARCH("World",'RawData'!C813)),"",IFERROR(G745/H745,"-"))</f>
        <v>8.3333333333333329E-2</v>
      </c>
      <c r="J745" s="7">
        <f>IF(ISNUMBER(SEARCH("World",'RawData'!C813)),"",IF(ISNUMBER(SEARCH("Other",C745)),COUNTIFS('RawData'!B:B,B745,'RawData'!C:C,"&lt;&gt;*World*"),IF(OR(G745="",G745=0),"-",SUMPRODUCT(('RawData'!B$2:B$822=B745)*('RawData'!G$2:G$822&gt;G745)*(ISERROR(SEARCH("World",'RawData'!C$2:C$822)))*(ISERROR(SEARCH("Other",'RawData'!C$2:C$822))))+1)))</f>
        <v>4</v>
      </c>
      <c r="K745" s="14">
        <f>IF(ISNUMBER(SEARCH("World",'RawData'!C813)),"",'RawData'!H813)</f>
        <v>500</v>
      </c>
      <c r="L745" s="14">
        <f>IF(ISNUMBER(SEARCH("World",'RawData'!C813)),"",SUMIFS('RawData'!H:H,'RawData'!B:B,'RawData'!B813,'RawData'!C:C,"*World*"))</f>
        <v>70000</v>
      </c>
      <c r="M745" s="15">
        <f>IF(ISNUMBER(SEARCH("World",'RawData'!C813)),"",IFERROR(K745/L745,"-"))</f>
        <v>7.1428571428571426E-3</v>
      </c>
      <c r="N745" s="7">
        <f>IF(ISNUMBER(SEARCH("World",'RawData'!C813)),"",IF(ISNUMBER(SEARCH("Other",C745)),COUNTIFS('RawData'!B:B,B745,'RawData'!C:C,"&lt;&gt;*World*"),IF(OR(K745="",K745=0),"-",SUMPRODUCT(('RawData'!B$2:B$822=B745)*('RawData'!H$2:H$822&gt;K745)*(ISERROR(SEARCH("World",'RawData'!C$2:C$822)))*(ISERROR(SEARCH("Other",'RawData'!C$2:C$822))))+1)))</f>
        <v>7</v>
      </c>
    </row>
    <row r="746" spans="1:14" x14ac:dyDescent="0.3">
      <c r="A746" s="4" t="str">
        <f>IF(ISNUMBER(SEARCH("World",'RawData'!C814)),"",'RawData'!A814)</f>
        <v>MCS2026</v>
      </c>
      <c r="B746" s="4" t="str">
        <f>IF(ISNUMBER(SEARCH("World",'RawData'!C814)),"",'RawData'!B814)</f>
        <v>Zirconium</v>
      </c>
      <c r="C746" s="4" t="str">
        <f>IF(ISNUMBER(SEARCH("World",'RawData'!C814)),"",'RawData'!C814)</f>
        <v>Indonesia</v>
      </c>
      <c r="D746" s="4" t="str">
        <f>IF(ISNUMBER(SEARCH("World",'RawData'!C814)),"",'RawData'!D814)</f>
        <v>Mine production, zirconium, gross weight</v>
      </c>
      <c r="E746" s="4" t="str">
        <f>IF(ISNUMBER(SEARCH("World",'RawData'!C814)),"",IF('RawData'!E814="WT001","kg",IF('RawData'!E814="WT002","ton",IF('RawData'!E814="WT003","k ton",""))))</f>
        <v>k ton</v>
      </c>
      <c r="F746" s="14">
        <f>IF(ISNUMBER(SEARCH("World",'RawData'!C814)),"",'RawData'!F814)</f>
        <v>81</v>
      </c>
      <c r="G746" s="14">
        <f>IF(ISNUMBER(SEARCH("World",'RawData'!C814)),"",'RawData'!G814)</f>
        <v>52</v>
      </c>
      <c r="H746" s="14">
        <f>IF(ISNUMBER(SEARCH("World",'RawData'!C814)),"",SUMIFS('RawData'!G:G,'RawData'!B:B,'RawData'!B814,'RawData'!C:C,"*World*"))</f>
        <v>1200</v>
      </c>
      <c r="I746" s="15">
        <f>IF(ISNUMBER(SEARCH("World",'RawData'!C814)),"",IFERROR(G746/H746,"-"))</f>
        <v>4.3333333333333335E-2</v>
      </c>
      <c r="J746" s="7">
        <f>IF(ISNUMBER(SEARCH("World",'RawData'!C814)),"",IF(ISNUMBER(SEARCH("Other",C746)),COUNTIFS('RawData'!B:B,B746,'RawData'!C:C,"&lt;&gt;*World*"),IF(OR(G746="",G746=0),"-",SUMPRODUCT(('RawData'!B$2:B$822=B746)*('RawData'!G$2:G$822&gt;G746)*(ISERROR(SEARCH("World",'RawData'!C$2:C$822)))*(ISERROR(SEARCH("Other",'RawData'!C$2:C$822))))+1)))</f>
        <v>7</v>
      </c>
      <c r="K746" s="14">
        <f>IF(ISNUMBER(SEARCH("World",'RawData'!C814)),"",'RawData'!H814)</f>
        <v>3400</v>
      </c>
      <c r="L746" s="14">
        <f>IF(ISNUMBER(SEARCH("World",'RawData'!C814)),"",SUMIFS('RawData'!H:H,'RawData'!B:B,'RawData'!B814,'RawData'!C:C,"*World*"))</f>
        <v>70000</v>
      </c>
      <c r="M746" s="15">
        <f>IF(ISNUMBER(SEARCH("World",'RawData'!C814)),"",IFERROR(K746/L746,"-"))</f>
        <v>4.8571428571428571E-2</v>
      </c>
      <c r="N746" s="7">
        <f>IF(ISNUMBER(SEARCH("World",'RawData'!C814)),"",IF(ISNUMBER(SEARCH("Other",C746)),COUNTIFS('RawData'!B:B,B746,'RawData'!C:C,"&lt;&gt;*World*"),IF(OR(K746="",K746=0),"-",SUMPRODUCT(('RawData'!B$2:B$822=B746)*('RawData'!H$2:H$822&gt;K746)*(ISERROR(SEARCH("World",'RawData'!C$2:C$822)))*(ISERROR(SEARCH("Other",'RawData'!C$2:C$822))))+1)))</f>
        <v>3</v>
      </c>
    </row>
    <row r="747" spans="1:14" x14ac:dyDescent="0.3">
      <c r="A747" s="4" t="str">
        <f>IF(ISNUMBER(SEARCH("World",'RawData'!C815)),"",'RawData'!A815)</f>
        <v>MCS2026</v>
      </c>
      <c r="B747" s="4" t="str">
        <f>IF(ISNUMBER(SEARCH("World",'RawData'!C815)),"",'RawData'!B815)</f>
        <v>Zirconium</v>
      </c>
      <c r="C747" s="4" t="str">
        <f>IF(ISNUMBER(SEARCH("World",'RawData'!C815)),"",'RawData'!C815)</f>
        <v>Madagascar</v>
      </c>
      <c r="D747" s="4" t="str">
        <f>IF(ISNUMBER(SEARCH("World",'RawData'!C815)),"",'RawData'!D815)</f>
        <v>Mine production, zirconium, gross weight</v>
      </c>
      <c r="E747" s="4" t="str">
        <f>IF(ISNUMBER(SEARCH("World",'RawData'!C815)),"",IF('RawData'!E815="WT001","kg",IF('RawData'!E815="WT002","ton",IF('RawData'!E815="WT003","k ton",""))))</f>
        <v>k ton</v>
      </c>
      <c r="F747" s="14">
        <f>IF(ISNUMBER(SEARCH("World",'RawData'!C815)),"",'RawData'!F815)</f>
        <v>31</v>
      </c>
      <c r="G747" s="14">
        <f>IF(ISNUMBER(SEARCH("World",'RawData'!C815)),"",'RawData'!G815)</f>
        <v>26</v>
      </c>
      <c r="H747" s="14">
        <f>IF(ISNUMBER(SEARCH("World",'RawData'!C815)),"",SUMIFS('RawData'!G:G,'RawData'!B:B,'RawData'!B815,'RawData'!C:C,"*World*"))</f>
        <v>1200</v>
      </c>
      <c r="I747" s="15">
        <f>IF(ISNUMBER(SEARCH("World",'RawData'!C815)),"",IFERROR(G747/H747,"-"))</f>
        <v>2.1666666666666667E-2</v>
      </c>
      <c r="J747" s="7">
        <f>IF(ISNUMBER(SEARCH("World",'RawData'!C815)),"",IF(ISNUMBER(SEARCH("Other",C747)),COUNTIFS('RawData'!B:B,B747,'RawData'!C:C,"&lt;&gt;*World*"),IF(OR(G747="",G747=0),"-",SUMPRODUCT(('RawData'!B$2:B$822=B747)*('RawData'!G$2:G$822&gt;G747)*(ISERROR(SEARCH("World",'RawData'!C$2:C$822)))*(ISERROR(SEARCH("Other",'RawData'!C$2:C$822))))+1)))</f>
        <v>8</v>
      </c>
      <c r="K747" s="14">
        <f>IF(ISNUMBER(SEARCH("World",'RawData'!C815)),"",'RawData'!H815)</f>
        <v>2100</v>
      </c>
      <c r="L747" s="14">
        <f>IF(ISNUMBER(SEARCH("World",'RawData'!C815)),"",SUMIFS('RawData'!H:H,'RawData'!B:B,'RawData'!B815,'RawData'!C:C,"*World*"))</f>
        <v>70000</v>
      </c>
      <c r="M747" s="15">
        <f>IF(ISNUMBER(SEARCH("World",'RawData'!C815)),"",IFERROR(K747/L747,"-"))</f>
        <v>0.03</v>
      </c>
      <c r="N747" s="7">
        <f>IF(ISNUMBER(SEARCH("World",'RawData'!C815)),"",IF(ISNUMBER(SEARCH("Other",C747)),COUNTIFS('RawData'!B:B,B747,'RawData'!C:C,"&lt;&gt;*World*"),IF(OR(K747="",K747=0),"-",SUMPRODUCT(('RawData'!B$2:B$822=B747)*('RawData'!H$2:H$822&gt;K747)*(ISERROR(SEARCH("World",'RawData'!C$2:C$822)))*(ISERROR(SEARCH("Other",'RawData'!C$2:C$822))))+1)))</f>
        <v>5</v>
      </c>
    </row>
    <row r="748" spans="1:14" x14ac:dyDescent="0.3">
      <c r="A748" s="4" t="str">
        <f>IF(ISNUMBER(SEARCH("World",'RawData'!C816)),"",'RawData'!A816)</f>
        <v>MCS2026</v>
      </c>
      <c r="B748" s="4" t="str">
        <f>IF(ISNUMBER(SEARCH("World",'RawData'!C816)),"",'RawData'!B816)</f>
        <v>Zirconium</v>
      </c>
      <c r="C748" s="4" t="str">
        <f>IF(ISNUMBER(SEARCH("World",'RawData'!C816)),"",'RawData'!C816)</f>
        <v>Mozambique</v>
      </c>
      <c r="D748" s="4" t="str">
        <f>IF(ISNUMBER(SEARCH("World",'RawData'!C816)),"",'RawData'!D816)</f>
        <v>Mine production, zirconium, gross weight</v>
      </c>
      <c r="E748" s="4" t="str">
        <f>IF(ISNUMBER(SEARCH("World",'RawData'!C816)),"",IF('RawData'!E816="WT001","kg",IF('RawData'!E816="WT002","ton",IF('RawData'!E816="WT003","k ton",""))))</f>
        <v>k ton</v>
      </c>
      <c r="F748" s="14">
        <f>IF(ISNUMBER(SEARCH("World",'RawData'!C816)),"",'RawData'!F816)</f>
        <v>124</v>
      </c>
      <c r="G748" s="14">
        <f>IF(ISNUMBER(SEARCH("World",'RawData'!C816)),"",'RawData'!G816)</f>
        <v>160</v>
      </c>
      <c r="H748" s="14">
        <f>IF(ISNUMBER(SEARCH("World",'RawData'!C816)),"",SUMIFS('RawData'!G:G,'RawData'!B:B,'RawData'!B816,'RawData'!C:C,"*World*"))</f>
        <v>1200</v>
      </c>
      <c r="I748" s="15">
        <f>IF(ISNUMBER(SEARCH("World",'RawData'!C816)),"",IFERROR(G748/H748,"-"))</f>
        <v>0.13333333333333333</v>
      </c>
      <c r="J748" s="7">
        <f>IF(ISNUMBER(SEARCH("World",'RawData'!C816)),"",IF(ISNUMBER(SEARCH("Other",C748)),COUNTIFS('RawData'!B:B,B748,'RawData'!C:C,"&lt;&gt;*World*"),IF(OR(G748="",G748=0),"-",SUMPRODUCT(('RawData'!B$2:B$822=B748)*('RawData'!G$2:G$822&gt;G748)*(ISERROR(SEARCH("World",'RawData'!C$2:C$822)))*(ISERROR(SEARCH("Other",'RawData'!C$2:C$822))))+1)))</f>
        <v>3</v>
      </c>
      <c r="K748" s="14">
        <f>IF(ISNUMBER(SEARCH("World",'RawData'!C816)),"",'RawData'!H816)</f>
        <v>1500</v>
      </c>
      <c r="L748" s="14">
        <f>IF(ISNUMBER(SEARCH("World",'RawData'!C816)),"",SUMIFS('RawData'!H:H,'RawData'!B:B,'RawData'!B816,'RawData'!C:C,"*World*"))</f>
        <v>70000</v>
      </c>
      <c r="M748" s="15">
        <f>IF(ISNUMBER(SEARCH("World",'RawData'!C816)),"",IFERROR(K748/L748,"-"))</f>
        <v>2.1428571428571429E-2</v>
      </c>
      <c r="N748" s="7">
        <f>IF(ISNUMBER(SEARCH("World",'RawData'!C816)),"",IF(ISNUMBER(SEARCH("Other",C748)),COUNTIFS('RawData'!B:B,B748,'RawData'!C:C,"&lt;&gt;*World*"),IF(OR(K748="",K748=0),"-",SUMPRODUCT(('RawData'!B$2:B$822=B748)*('RawData'!H$2:H$822&gt;K748)*(ISERROR(SEARCH("World",'RawData'!C$2:C$822)))*(ISERROR(SEARCH("Other",'RawData'!C$2:C$822))))+1)))</f>
        <v>6</v>
      </c>
    </row>
    <row r="749" spans="1:14" x14ac:dyDescent="0.3">
      <c r="A749" s="4" t="str">
        <f>IF(ISNUMBER(SEARCH("World",'RawData'!C817)),"",'RawData'!A817)</f>
        <v>MCS2026</v>
      </c>
      <c r="B749" s="4" t="str">
        <f>IF(ISNUMBER(SEARCH("World",'RawData'!C817)),"",'RawData'!B817)</f>
        <v>Zirconium</v>
      </c>
      <c r="C749" s="4" t="str">
        <f>IF(ISNUMBER(SEARCH("World",'RawData'!C817)),"",'RawData'!C817)</f>
        <v>Other Countries</v>
      </c>
      <c r="D749" s="4" t="str">
        <f>IF(ISNUMBER(SEARCH("World",'RawData'!C817)),"",'RawData'!D817)</f>
        <v>Mine production, zirconium, gross weight</v>
      </c>
      <c r="E749" s="4" t="str">
        <f>IF(ISNUMBER(SEARCH("World",'RawData'!C817)),"",IF('RawData'!E817="WT001","kg",IF('RawData'!E817="WT002","ton",IF('RawData'!E817="WT003","k ton",""))))</f>
        <v>k ton</v>
      </c>
      <c r="F749" s="14">
        <f>IF(ISNUMBER(SEARCH("World",'RawData'!C817)),"",'RawData'!F817)</f>
        <v>71</v>
      </c>
      <c r="G749" s="14">
        <f>IF(ISNUMBER(SEARCH("World",'RawData'!C817)),"",'RawData'!G817)</f>
        <v>40</v>
      </c>
      <c r="H749" s="14">
        <f>IF(ISNUMBER(SEARCH("World",'RawData'!C817)),"",SUMIFS('RawData'!G:G,'RawData'!B:B,'RawData'!B817,'RawData'!C:C,"*World*"))</f>
        <v>1200</v>
      </c>
      <c r="I749" s="15">
        <f>IF(ISNUMBER(SEARCH("World",'RawData'!C817)),"",IFERROR(G749/H749,"-"))</f>
        <v>3.3333333333333333E-2</v>
      </c>
      <c r="J749" s="7">
        <f>IF(ISNUMBER(SEARCH("World",'RawData'!C817)),"",IF(ISNUMBER(SEARCH("Other",C749)),COUNTIFS('RawData'!B:B,B749,'RawData'!C:C,"&lt;&gt;*World*"),IF(OR(G749="",G749=0),"-",SUMPRODUCT(('RawData'!B$2:B$822=B749)*('RawData'!G$2:G$822&gt;G749)*(ISERROR(SEARCH("World",'RawData'!C$2:C$822)))*(ISERROR(SEARCH("Other",'RawData'!C$2:C$822))))+1)))</f>
        <v>10</v>
      </c>
      <c r="K749" s="14">
        <f>IF(ISNUMBER(SEARCH("World",'RawData'!C817)),"",'RawData'!H817)</f>
        <v>5700</v>
      </c>
      <c r="L749" s="14">
        <f>IF(ISNUMBER(SEARCH("World",'RawData'!C817)),"",SUMIFS('RawData'!H:H,'RawData'!B:B,'RawData'!B817,'RawData'!C:C,"*World*"))</f>
        <v>70000</v>
      </c>
      <c r="M749" s="15">
        <f>IF(ISNUMBER(SEARCH("World",'RawData'!C817)),"",IFERROR(K749/L749,"-"))</f>
        <v>8.1428571428571433E-2</v>
      </c>
      <c r="N749" s="7">
        <f>IF(ISNUMBER(SEARCH("World",'RawData'!C817)),"",IF(ISNUMBER(SEARCH("Other",C749)),COUNTIFS('RawData'!B:B,B749,'RawData'!C:C,"&lt;&gt;*World*"),IF(OR(K749="",K749=0),"-",SUMPRODUCT(('RawData'!B$2:B$822=B749)*('RawData'!H$2:H$822&gt;K749)*(ISERROR(SEARCH("World",'RawData'!C$2:C$822)))*(ISERROR(SEARCH("Other",'RawData'!C$2:C$822))))+1)))</f>
        <v>10</v>
      </c>
    </row>
    <row r="750" spans="1:14" x14ac:dyDescent="0.3">
      <c r="A750" s="4" t="str">
        <f>IF(ISNUMBER(SEARCH("World",'RawData'!C818)),"",'RawData'!A818)</f>
        <v>MCS2026</v>
      </c>
      <c r="B750" s="4" t="str">
        <f>IF(ISNUMBER(SEARCH("World",'RawData'!C818)),"",'RawData'!B818)</f>
        <v>Zirconium</v>
      </c>
      <c r="C750" s="4" t="str">
        <f>IF(ISNUMBER(SEARCH("World",'RawData'!C818)),"",'RawData'!C818)</f>
        <v>Senegal</v>
      </c>
      <c r="D750" s="4" t="str">
        <f>IF(ISNUMBER(SEARCH("World",'RawData'!C818)),"",'RawData'!D818)</f>
        <v>Mine production, zirconium, gross weight</v>
      </c>
      <c r="E750" s="4" t="str">
        <f>IF(ISNUMBER(SEARCH("World",'RawData'!C818)),"",IF('RawData'!E818="WT001","kg",IF('RawData'!E818="WT002","ton",IF('RawData'!E818="WT003","k ton",""))))</f>
        <v>k ton</v>
      </c>
      <c r="F750" s="14">
        <f>IF(ISNUMBER(SEARCH("World",'RawData'!C818)),"",'RawData'!F818)</f>
        <v>68</v>
      </c>
      <c r="G750" s="14">
        <f>IF(ISNUMBER(SEARCH("World",'RawData'!C818)),"",'RawData'!G818)</f>
        <v>70</v>
      </c>
      <c r="H750" s="14">
        <f>IF(ISNUMBER(SEARCH("World",'RawData'!C818)),"",SUMIFS('RawData'!G:G,'RawData'!B:B,'RawData'!B818,'RawData'!C:C,"*World*"))</f>
        <v>1200</v>
      </c>
      <c r="I750" s="15">
        <f>IF(ISNUMBER(SEARCH("World",'RawData'!C818)),"",IFERROR(G750/H750,"-"))</f>
        <v>5.8333333333333334E-2</v>
      </c>
      <c r="J750" s="7">
        <f>IF(ISNUMBER(SEARCH("World",'RawData'!C818)),"",IF(ISNUMBER(SEARCH("Other",C750)),COUNTIFS('RawData'!B:B,B750,'RawData'!C:C,"&lt;&gt;*World*"),IF(OR(G750="",G750=0),"-",SUMPRODUCT(('RawData'!B$2:B$822=B750)*('RawData'!G$2:G$822&gt;G750)*(ISERROR(SEARCH("World",'RawData'!C$2:C$822)))*(ISERROR(SEARCH("Other",'RawData'!C$2:C$822))))+1)))</f>
        <v>6</v>
      </c>
      <c r="K750" s="14">
        <f>IF(ISNUMBER(SEARCH("World",'RawData'!C818)),"",'RawData'!H818)</f>
        <v>2600</v>
      </c>
      <c r="L750" s="14">
        <f>IF(ISNUMBER(SEARCH("World",'RawData'!C818)),"",SUMIFS('RawData'!H:H,'RawData'!B:B,'RawData'!B818,'RawData'!C:C,"*World*"))</f>
        <v>70000</v>
      </c>
      <c r="M750" s="15">
        <f>IF(ISNUMBER(SEARCH("World",'RawData'!C818)),"",IFERROR(K750/L750,"-"))</f>
        <v>3.7142857142857144E-2</v>
      </c>
      <c r="N750" s="7">
        <f>IF(ISNUMBER(SEARCH("World",'RawData'!C818)),"",IF(ISNUMBER(SEARCH("Other",C750)),COUNTIFS('RawData'!B:B,B750,'RawData'!C:C,"&lt;&gt;*World*"),IF(OR(K750="",K750=0),"-",SUMPRODUCT(('RawData'!B$2:B$822=B750)*('RawData'!H$2:H$822&gt;K750)*(ISERROR(SEARCH("World",'RawData'!C$2:C$822)))*(ISERROR(SEARCH("Other",'RawData'!C$2:C$822))))+1)))</f>
        <v>4</v>
      </c>
    </row>
    <row r="751" spans="1:14" x14ac:dyDescent="0.3">
      <c r="A751" s="4" t="str">
        <f>IF(ISNUMBER(SEARCH("World",'RawData'!C819)),"",'RawData'!A819)</f>
        <v>MCS2026</v>
      </c>
      <c r="B751" s="4" t="str">
        <f>IF(ISNUMBER(SEARCH("World",'RawData'!C819)),"",'RawData'!B819)</f>
        <v>Zirconium</v>
      </c>
      <c r="C751" s="4" t="str">
        <f>IF(ISNUMBER(SEARCH("World",'RawData'!C819)),"",'RawData'!C819)</f>
        <v>Sierra Leone</v>
      </c>
      <c r="D751" s="4" t="str">
        <f>IF(ISNUMBER(SEARCH("World",'RawData'!C819)),"",'RawData'!D819)</f>
        <v>Mine production, zirconium, gross weight</v>
      </c>
      <c r="E751" s="4" t="str">
        <f>IF(ISNUMBER(SEARCH("World",'RawData'!C819)),"",IF('RawData'!E819="WT001","kg",IF('RawData'!E819="WT002","ton",IF('RawData'!E819="WT003","k ton",""))))</f>
        <v>k ton</v>
      </c>
      <c r="F751" s="14">
        <f>IF(ISNUMBER(SEARCH("World",'RawData'!C819)),"",'RawData'!F819)</f>
        <v>25</v>
      </c>
      <c r="G751" s="14">
        <f>IF(ISNUMBER(SEARCH("World",'RawData'!C819)),"",'RawData'!G819)</f>
        <v>25</v>
      </c>
      <c r="H751" s="14">
        <f>IF(ISNUMBER(SEARCH("World",'RawData'!C819)),"",SUMIFS('RawData'!G:G,'RawData'!B:B,'RawData'!B819,'RawData'!C:C,"*World*"))</f>
        <v>1200</v>
      </c>
      <c r="I751" s="15">
        <f>IF(ISNUMBER(SEARCH("World",'RawData'!C819)),"",IFERROR(G751/H751,"-"))</f>
        <v>2.0833333333333332E-2</v>
      </c>
      <c r="J751" s="7">
        <f>IF(ISNUMBER(SEARCH("World",'RawData'!C819)),"",IF(ISNUMBER(SEARCH("Other",C751)),COUNTIFS('RawData'!B:B,B751,'RawData'!C:C,"&lt;&gt;*World*"),IF(OR(G751="",G751=0),"-",SUMPRODUCT(('RawData'!B$2:B$822=B751)*('RawData'!G$2:G$822&gt;G751)*(ISERROR(SEARCH("World",'RawData'!C$2:C$822)))*(ISERROR(SEARCH("Other",'RawData'!C$2:C$822))))+1)))</f>
        <v>9</v>
      </c>
      <c r="K751" s="14">
        <f>IF(ISNUMBER(SEARCH("World",'RawData'!C819)),"",'RawData'!H819)</f>
        <v>290</v>
      </c>
      <c r="L751" s="14">
        <f>IF(ISNUMBER(SEARCH("World",'RawData'!C819)),"",SUMIFS('RawData'!H:H,'RawData'!B:B,'RawData'!B819,'RawData'!C:C,"*World*"))</f>
        <v>70000</v>
      </c>
      <c r="M751" s="15">
        <f>IF(ISNUMBER(SEARCH("World",'RawData'!C819)),"",IFERROR(K751/L751,"-"))</f>
        <v>4.1428571428571426E-3</v>
      </c>
      <c r="N751" s="7">
        <f>IF(ISNUMBER(SEARCH("World",'RawData'!C819)),"",IF(ISNUMBER(SEARCH("Other",C751)),COUNTIFS('RawData'!B:B,B751,'RawData'!C:C,"&lt;&gt;*World*"),IF(OR(K751="",K751=0),"-",SUMPRODUCT(('RawData'!B$2:B$822=B751)*('RawData'!H$2:H$822&gt;K751)*(ISERROR(SEARCH("World",'RawData'!C$2:C$822)))*(ISERROR(SEARCH("Other",'RawData'!C$2:C$822))))+1)))</f>
        <v>9</v>
      </c>
    </row>
    <row r="752" spans="1:14" x14ac:dyDescent="0.3">
      <c r="A752" s="4" t="str">
        <f>IF(ISNUMBER(SEARCH("World",'RawData'!C820)),"",'RawData'!A820)</f>
        <v>MCS2026</v>
      </c>
      <c r="B752" s="4" t="str">
        <f>IF(ISNUMBER(SEARCH("World",'RawData'!C820)),"",'RawData'!B820)</f>
        <v>Zirconium</v>
      </c>
      <c r="C752" s="4" t="str">
        <f>IF(ISNUMBER(SEARCH("World",'RawData'!C820)),"",'RawData'!C820)</f>
        <v xml:space="preserve">South Africa </v>
      </c>
      <c r="D752" s="4" t="str">
        <f>IF(ISNUMBER(SEARCH("World",'RawData'!C820)),"",'RawData'!D820)</f>
        <v>Mine production, zirconium, gross weight</v>
      </c>
      <c r="E752" s="4" t="str">
        <f>IF(ISNUMBER(SEARCH("World",'RawData'!C820)),"",IF('RawData'!E820="WT001","kg",IF('RawData'!E820="WT002","ton",IF('RawData'!E820="WT003","k ton",""))))</f>
        <v>k ton</v>
      </c>
      <c r="F752" s="14">
        <f>IF(ISNUMBER(SEARCH("World",'RawData'!C820)),"",'RawData'!F820)</f>
        <v>290</v>
      </c>
      <c r="G752" s="14">
        <f>IF(ISNUMBER(SEARCH("World",'RawData'!C820)),"",'RawData'!G820)</f>
        <v>270</v>
      </c>
      <c r="H752" s="14">
        <f>IF(ISNUMBER(SEARCH("World",'RawData'!C820)),"",SUMIFS('RawData'!G:G,'RawData'!B:B,'RawData'!B820,'RawData'!C:C,"*World*"))</f>
        <v>1200</v>
      </c>
      <c r="I752" s="15">
        <f>IF(ISNUMBER(SEARCH("World",'RawData'!C820)),"",IFERROR(G752/H752,"-"))</f>
        <v>0.22500000000000001</v>
      </c>
      <c r="J752" s="7">
        <f>IF(ISNUMBER(SEARCH("World",'RawData'!C820)),"",IF(ISNUMBER(SEARCH("Other",C752)),COUNTIFS('RawData'!B:B,B752,'RawData'!C:C,"&lt;&gt;*World*"),IF(OR(G752="",G752=0),"-",SUMPRODUCT(('RawData'!B$2:B$822=B752)*('RawData'!G$2:G$822&gt;G752)*(ISERROR(SEARCH("World",'RawData'!C$2:C$822)))*(ISERROR(SEARCH("Other",'RawData'!C$2:C$822))))+1)))</f>
        <v>2</v>
      </c>
      <c r="K752" s="14">
        <f>IF(ISNUMBER(SEARCH("World",'RawData'!C820)),"",'RawData'!H820)</f>
        <v>5900</v>
      </c>
      <c r="L752" s="14">
        <f>IF(ISNUMBER(SEARCH("World",'RawData'!C820)),"",SUMIFS('RawData'!H:H,'RawData'!B:B,'RawData'!B820,'RawData'!C:C,"*World*"))</f>
        <v>70000</v>
      </c>
      <c r="M752" s="15">
        <f>IF(ISNUMBER(SEARCH("World",'RawData'!C820)),"",IFERROR(K752/L752,"-"))</f>
        <v>8.4285714285714283E-2</v>
      </c>
      <c r="N752" s="7">
        <f>IF(ISNUMBER(SEARCH("World",'RawData'!C820)),"",IF(ISNUMBER(SEARCH("Other",C752)),COUNTIFS('RawData'!B:B,B752,'RawData'!C:C,"&lt;&gt;*World*"),IF(OR(K752="",K752=0),"-",SUMPRODUCT(('RawData'!B$2:B$822=B752)*('RawData'!H$2:H$822&gt;K752)*(ISERROR(SEARCH("World",'RawData'!C$2:C$822)))*(ISERROR(SEARCH("Other",'RawData'!C$2:C$822))))+1)))</f>
        <v>2</v>
      </c>
    </row>
    <row r="753" spans="1:14" x14ac:dyDescent="0.3">
      <c r="A753" s="4" t="str">
        <f>IF(ISNUMBER(SEARCH("World",'RawData'!C821)),"",'RawData'!A821)</f>
        <v>MCS2026</v>
      </c>
      <c r="B753" s="4" t="str">
        <f>IF(ISNUMBER(SEARCH("World",'RawData'!C821)),"",'RawData'!B821)</f>
        <v>Zirconium</v>
      </c>
      <c r="C753" s="4" t="str">
        <f>IF(ISNUMBER(SEARCH("World",'RawData'!C821)),"",'RawData'!C821)</f>
        <v>United States</v>
      </c>
      <c r="D753" s="4" t="str">
        <f>IF(ISNUMBER(SEARCH("World",'RawData'!C821)),"",'RawData'!D821)</f>
        <v>Mine production, zirconium, gross weight</v>
      </c>
      <c r="E753" s="4" t="str">
        <f>IF(ISNUMBER(SEARCH("World",'RawData'!C821)),"",IF('RawData'!E821="WT001","kg",IF('RawData'!E821="WT002","ton",IF('RawData'!E821="WT003","k ton",""))))</f>
        <v>k ton</v>
      </c>
      <c r="F753" s="14">
        <f>IF(ISNUMBER(SEARCH("World",'RawData'!C821)),"",'RawData'!F821)</f>
        <v>100</v>
      </c>
      <c r="G753" s="14">
        <f>IF(ISNUMBER(SEARCH("World",'RawData'!C821)),"",'RawData'!G821)</f>
        <v>100</v>
      </c>
      <c r="H753" s="14">
        <f>IF(ISNUMBER(SEARCH("World",'RawData'!C821)),"",SUMIFS('RawData'!G:G,'RawData'!B:B,'RawData'!B821,'RawData'!C:C,"*World*"))</f>
        <v>1200</v>
      </c>
      <c r="I753" s="15">
        <f>IF(ISNUMBER(SEARCH("World",'RawData'!C821)),"",IFERROR(G753/H753,"-"))</f>
        <v>8.3333333333333329E-2</v>
      </c>
      <c r="J753" s="7">
        <f>IF(ISNUMBER(SEARCH("World",'RawData'!C821)),"",IF(ISNUMBER(SEARCH("Other",C753)),COUNTIFS('RawData'!B:B,B753,'RawData'!C:C,"&lt;&gt;*World*"),IF(OR(G753="",G753=0),"-",SUMPRODUCT(('RawData'!B$2:B$822=B753)*('RawData'!G$2:G$822&gt;G753)*(ISERROR(SEARCH("World",'RawData'!C$2:C$822)))*(ISERROR(SEARCH("Other",'RawData'!C$2:C$822))))+1)))</f>
        <v>4</v>
      </c>
      <c r="K753" s="14">
        <f>IF(ISNUMBER(SEARCH("World",'RawData'!C821)),"",'RawData'!H821)</f>
        <v>500</v>
      </c>
      <c r="L753" s="14">
        <f>IF(ISNUMBER(SEARCH("World",'RawData'!C821)),"",SUMIFS('RawData'!H:H,'RawData'!B:B,'RawData'!B821,'RawData'!C:C,"*World*"))</f>
        <v>70000</v>
      </c>
      <c r="M753" s="15">
        <f>IF(ISNUMBER(SEARCH("World",'RawData'!C821)),"",IFERROR(K753/L753,"-"))</f>
        <v>7.1428571428571426E-3</v>
      </c>
      <c r="N753" s="7">
        <f>IF(ISNUMBER(SEARCH("World",'RawData'!C821)),"",IF(ISNUMBER(SEARCH("Other",C753)),COUNTIFS('RawData'!B:B,B753,'RawData'!C:C,"&lt;&gt;*World*"),IF(OR(K753="",K753=0),"-",SUMPRODUCT(('RawData'!B$2:B$822=B753)*('RawData'!H$2:H$822&gt;K753)*(ISERROR(SEARCH("World",'RawData'!C$2:C$822)))*(ISERROR(SEARCH("Other",'RawData'!C$2:C$822))))+1)))</f>
        <v>7</v>
      </c>
    </row>
  </sheetData>
  <phoneticPr fontId="4" type="noConversion"/>
  <pageMargins left="0.75" right="0.75" top="1" bottom="1" header="0.5" footer="0.5"/>
  <customProperties>
    <customPr name="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22"/>
  <sheetViews>
    <sheetView zoomScale="115" zoomScaleNormal="115" workbookViewId="0"/>
  </sheetViews>
  <sheetFormatPr defaultRowHeight="16.5" x14ac:dyDescent="0.3"/>
  <cols>
    <col min="1" max="1" width="10" style="4" customWidth="1"/>
    <col min="2" max="2" width="15" style="4" customWidth="1"/>
    <col min="3" max="3" width="28" style="4" customWidth="1"/>
    <col min="4" max="4" width="35" style="4" customWidth="1"/>
    <col min="5" max="5" width="10" style="4" customWidth="1"/>
    <col min="6" max="8" width="17.625" style="16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  <c r="F1" s="16" t="s">
        <v>15</v>
      </c>
      <c r="G1" s="16" t="s">
        <v>16</v>
      </c>
      <c r="H1" s="16" t="s">
        <v>17</v>
      </c>
    </row>
    <row r="2" spans="1:8" x14ac:dyDescent="0.3">
      <c r="A2" s="19" t="s">
        <v>227</v>
      </c>
      <c r="B2" s="19" t="s">
        <v>18</v>
      </c>
      <c r="C2" s="19" t="s">
        <v>22</v>
      </c>
      <c r="D2" s="19" t="s">
        <v>20</v>
      </c>
      <c r="E2" s="19" t="s">
        <v>21</v>
      </c>
      <c r="F2" s="20">
        <v>1270</v>
      </c>
      <c r="G2" s="20">
        <v>1300</v>
      </c>
      <c r="H2" s="20">
        <v>110000</v>
      </c>
    </row>
    <row r="3" spans="1:8" x14ac:dyDescent="0.3">
      <c r="A3" s="19" t="s">
        <v>219</v>
      </c>
      <c r="B3" s="19" t="s">
        <v>18</v>
      </c>
      <c r="C3" s="19" t="s">
        <v>23</v>
      </c>
      <c r="D3" s="19" t="s">
        <v>20</v>
      </c>
      <c r="E3" s="19" t="s">
        <v>21</v>
      </c>
      <c r="F3" s="20">
        <v>5300</v>
      </c>
      <c r="G3" s="20">
        <v>5000</v>
      </c>
      <c r="H3" s="20">
        <v>310000</v>
      </c>
    </row>
    <row r="4" spans="1:8" x14ac:dyDescent="0.3">
      <c r="A4" s="19" t="s">
        <v>219</v>
      </c>
      <c r="B4" s="19" t="s">
        <v>18</v>
      </c>
      <c r="C4" s="19" t="s">
        <v>220</v>
      </c>
      <c r="D4" s="19" t="s">
        <v>20</v>
      </c>
      <c r="E4" s="19" t="s">
        <v>21</v>
      </c>
      <c r="F4" s="20"/>
      <c r="G4" s="20"/>
      <c r="H4" s="20">
        <v>78000</v>
      </c>
    </row>
    <row r="5" spans="1:8" x14ac:dyDescent="0.3">
      <c r="A5" s="19" t="s">
        <v>219</v>
      </c>
      <c r="B5" s="19" t="s">
        <v>18</v>
      </c>
      <c r="C5" s="19" t="s">
        <v>25</v>
      </c>
      <c r="D5" s="19" t="s">
        <v>20</v>
      </c>
      <c r="E5" s="19" t="s">
        <v>21</v>
      </c>
      <c r="F5" s="20">
        <v>40000</v>
      </c>
      <c r="G5" s="20">
        <v>40000</v>
      </c>
      <c r="H5" s="20">
        <v>830000</v>
      </c>
    </row>
    <row r="6" spans="1:8" x14ac:dyDescent="0.3">
      <c r="A6" s="19" t="s">
        <v>219</v>
      </c>
      <c r="B6" s="19" t="s">
        <v>18</v>
      </c>
      <c r="C6" s="19" t="s">
        <v>26</v>
      </c>
      <c r="D6" s="19" t="s">
        <v>20</v>
      </c>
      <c r="E6" s="19" t="s">
        <v>21</v>
      </c>
      <c r="F6" s="20">
        <v>50</v>
      </c>
      <c r="G6" s="20">
        <v>50</v>
      </c>
      <c r="H6" s="20"/>
    </row>
    <row r="7" spans="1:8" x14ac:dyDescent="0.3">
      <c r="A7" s="19" t="s">
        <v>219</v>
      </c>
      <c r="B7" s="19" t="s">
        <v>18</v>
      </c>
      <c r="C7" s="19" t="s">
        <v>27</v>
      </c>
      <c r="D7" s="19" t="s">
        <v>20</v>
      </c>
      <c r="E7" s="19" t="s">
        <v>21</v>
      </c>
      <c r="F7" s="20">
        <v>90</v>
      </c>
      <c r="G7" s="20">
        <v>90</v>
      </c>
      <c r="H7" s="20"/>
    </row>
    <row r="8" spans="1:8" x14ac:dyDescent="0.3">
      <c r="A8" s="19" t="s">
        <v>219</v>
      </c>
      <c r="B8" s="19" t="s">
        <v>18</v>
      </c>
      <c r="C8" s="19" t="s">
        <v>28</v>
      </c>
      <c r="D8" s="19" t="s">
        <v>20</v>
      </c>
      <c r="E8" s="19" t="s">
        <v>21</v>
      </c>
      <c r="F8" s="20">
        <v>800</v>
      </c>
      <c r="G8" s="20">
        <v>800</v>
      </c>
      <c r="H8" s="20"/>
    </row>
    <row r="9" spans="1:8" x14ac:dyDescent="0.3">
      <c r="A9" s="19" t="s">
        <v>219</v>
      </c>
      <c r="B9" s="19" t="s">
        <v>18</v>
      </c>
      <c r="C9" s="19" t="s">
        <v>228</v>
      </c>
      <c r="D9" s="19" t="s">
        <v>20</v>
      </c>
      <c r="E9" s="19" t="s">
        <v>21</v>
      </c>
      <c r="F9" s="20">
        <v>700</v>
      </c>
      <c r="G9" s="20">
        <v>700</v>
      </c>
      <c r="H9" s="20">
        <v>260000</v>
      </c>
    </row>
    <row r="10" spans="1:8" x14ac:dyDescent="0.3">
      <c r="A10" s="19" t="s">
        <v>219</v>
      </c>
      <c r="B10" s="19" t="s">
        <v>18</v>
      </c>
      <c r="C10" s="19" t="s">
        <v>29</v>
      </c>
      <c r="D10" s="19" t="s">
        <v>20</v>
      </c>
      <c r="E10" s="19" t="s">
        <v>21</v>
      </c>
      <c r="F10" s="20">
        <v>200</v>
      </c>
      <c r="G10" s="20">
        <v>200</v>
      </c>
      <c r="H10" s="20"/>
    </row>
    <row r="11" spans="1:8" x14ac:dyDescent="0.3">
      <c r="A11" s="19" t="s">
        <v>219</v>
      </c>
      <c r="B11" s="19" t="s">
        <v>18</v>
      </c>
      <c r="C11" s="19" t="s">
        <v>30</v>
      </c>
      <c r="D11" s="19" t="s">
        <v>20</v>
      </c>
      <c r="E11" s="19" t="s">
        <v>21</v>
      </c>
      <c r="F11" s="20">
        <v>600</v>
      </c>
      <c r="G11" s="20">
        <v>600</v>
      </c>
      <c r="H11" s="20">
        <v>18000</v>
      </c>
    </row>
    <row r="12" spans="1:8" x14ac:dyDescent="0.3">
      <c r="A12" s="19" t="s">
        <v>219</v>
      </c>
      <c r="B12" s="19" t="s">
        <v>18</v>
      </c>
      <c r="C12" s="19" t="s">
        <v>24</v>
      </c>
      <c r="D12" s="19" t="s">
        <v>20</v>
      </c>
      <c r="E12" s="19" t="s">
        <v>21</v>
      </c>
      <c r="F12" s="20">
        <v>4500</v>
      </c>
      <c r="G12" s="20">
        <v>4500</v>
      </c>
      <c r="H12" s="20">
        <v>140000</v>
      </c>
    </row>
    <row r="13" spans="1:8" x14ac:dyDescent="0.3">
      <c r="A13" s="19" t="s">
        <v>219</v>
      </c>
      <c r="B13" s="19" t="s">
        <v>18</v>
      </c>
      <c r="C13" s="19" t="s">
        <v>31</v>
      </c>
      <c r="D13" s="19" t="s">
        <v>20</v>
      </c>
      <c r="E13" s="19" t="s">
        <v>21</v>
      </c>
      <c r="F13" s="20">
        <v>260</v>
      </c>
      <c r="G13" s="20">
        <v>260</v>
      </c>
      <c r="H13" s="20">
        <v>26000</v>
      </c>
    </row>
    <row r="14" spans="1:8" x14ac:dyDescent="0.3">
      <c r="A14" s="19" t="s">
        <v>219</v>
      </c>
      <c r="B14" s="19" t="s">
        <v>18</v>
      </c>
      <c r="C14" s="19" t="s">
        <v>229</v>
      </c>
      <c r="D14" s="19" t="s">
        <v>20</v>
      </c>
      <c r="E14" s="19" t="s">
        <v>21</v>
      </c>
      <c r="F14" s="20">
        <v>3000</v>
      </c>
      <c r="G14" s="20">
        <v>3000</v>
      </c>
      <c r="H14" s="20">
        <v>99000</v>
      </c>
    </row>
    <row r="15" spans="1:8" x14ac:dyDescent="0.3">
      <c r="A15" s="19" t="s">
        <v>219</v>
      </c>
      <c r="B15" s="19" t="s">
        <v>18</v>
      </c>
      <c r="C15" s="19" t="s">
        <v>32</v>
      </c>
      <c r="D15" s="19" t="s">
        <v>20</v>
      </c>
      <c r="E15" s="19" t="s">
        <v>21</v>
      </c>
      <c r="F15" s="20">
        <v>40000</v>
      </c>
      <c r="G15" s="20">
        <v>32000</v>
      </c>
      <c r="H15" s="20">
        <v>350000</v>
      </c>
    </row>
    <row r="16" spans="1:8" x14ac:dyDescent="0.3">
      <c r="A16" s="19" t="s">
        <v>219</v>
      </c>
      <c r="B16" s="19" t="s">
        <v>18</v>
      </c>
      <c r="C16" s="19" t="s">
        <v>33</v>
      </c>
      <c r="D16" s="19" t="s">
        <v>20</v>
      </c>
      <c r="E16" s="19" t="s">
        <v>21</v>
      </c>
      <c r="F16" s="20">
        <v>22000</v>
      </c>
      <c r="G16" s="20">
        <v>22000</v>
      </c>
      <c r="H16" s="20">
        <v>60000</v>
      </c>
    </row>
    <row r="17" spans="1:8" x14ac:dyDescent="0.3">
      <c r="A17" s="19" t="s">
        <v>227</v>
      </c>
      <c r="B17" s="19" t="s">
        <v>18</v>
      </c>
      <c r="C17" s="19" t="s">
        <v>230</v>
      </c>
      <c r="D17" s="19" t="s">
        <v>20</v>
      </c>
      <c r="E17" s="19" t="s">
        <v>21</v>
      </c>
      <c r="F17" s="20"/>
      <c r="G17" s="20"/>
      <c r="H17" s="20">
        <v>60000</v>
      </c>
    </row>
    <row r="18" spans="1:8" x14ac:dyDescent="0.3">
      <c r="A18" s="19" t="s">
        <v>219</v>
      </c>
      <c r="B18" s="19" t="s">
        <v>18</v>
      </c>
      <c r="C18" s="19" t="s">
        <v>34</v>
      </c>
      <c r="D18" s="19" t="s">
        <v>20</v>
      </c>
      <c r="E18" s="19" t="s">
        <v>21</v>
      </c>
      <c r="F18" s="20">
        <v>220</v>
      </c>
      <c r="G18" s="20">
        <v>220</v>
      </c>
      <c r="H18" s="20">
        <v>54000</v>
      </c>
    </row>
    <row r="19" spans="1:8" x14ac:dyDescent="0.3">
      <c r="A19" s="19" t="s">
        <v>219</v>
      </c>
      <c r="B19" s="19" t="s">
        <v>18</v>
      </c>
      <c r="C19" s="19" t="s">
        <v>231</v>
      </c>
      <c r="D19" s="19" t="s">
        <v>20</v>
      </c>
      <c r="E19" s="19" t="s">
        <v>21</v>
      </c>
      <c r="F19" s="20">
        <v>119000</v>
      </c>
      <c r="G19" s="20">
        <v>110000</v>
      </c>
      <c r="H19" s="20">
        <v>2000000</v>
      </c>
    </row>
    <row r="20" spans="1:8" x14ac:dyDescent="0.3">
      <c r="A20" s="19" t="s">
        <v>219</v>
      </c>
      <c r="B20" s="19" t="s">
        <v>36</v>
      </c>
      <c r="C20" s="19" t="s">
        <v>38</v>
      </c>
      <c r="D20" s="19" t="s">
        <v>37</v>
      </c>
      <c r="E20" s="19" t="s">
        <v>21</v>
      </c>
      <c r="F20" s="20">
        <v>1000</v>
      </c>
      <c r="G20" s="20">
        <v>1000</v>
      </c>
      <c r="H20" s="20"/>
    </row>
    <row r="21" spans="1:8" x14ac:dyDescent="0.3">
      <c r="A21" s="19" t="s">
        <v>219</v>
      </c>
      <c r="B21" s="19" t="s">
        <v>36</v>
      </c>
      <c r="C21" s="19" t="s">
        <v>25</v>
      </c>
      <c r="D21" s="19" t="s">
        <v>37</v>
      </c>
      <c r="E21" s="19" t="s">
        <v>21</v>
      </c>
      <c r="F21" s="20">
        <v>24000</v>
      </c>
      <c r="G21" s="20">
        <v>24000</v>
      </c>
      <c r="H21" s="20"/>
    </row>
    <row r="22" spans="1:8" x14ac:dyDescent="0.3">
      <c r="A22" s="19" t="s">
        <v>219</v>
      </c>
      <c r="B22" s="19" t="s">
        <v>36</v>
      </c>
      <c r="C22" s="19" t="s">
        <v>39</v>
      </c>
      <c r="D22" s="19" t="s">
        <v>37</v>
      </c>
      <c r="E22" s="19" t="s">
        <v>21</v>
      </c>
      <c r="F22" s="20">
        <v>40</v>
      </c>
      <c r="G22" s="20">
        <v>0</v>
      </c>
      <c r="H22" s="20"/>
    </row>
    <row r="23" spans="1:8" x14ac:dyDescent="0.3">
      <c r="A23" s="19" t="s">
        <v>219</v>
      </c>
      <c r="B23" s="19" t="s">
        <v>36</v>
      </c>
      <c r="C23" s="19" t="s">
        <v>40</v>
      </c>
      <c r="D23" s="19" t="s">
        <v>37</v>
      </c>
      <c r="E23" s="19" t="s">
        <v>21</v>
      </c>
      <c r="F23" s="20">
        <v>6000</v>
      </c>
      <c r="G23" s="20">
        <v>5000</v>
      </c>
      <c r="H23" s="20"/>
    </row>
    <row r="24" spans="1:8" x14ac:dyDescent="0.3">
      <c r="A24" s="19" t="s">
        <v>219</v>
      </c>
      <c r="B24" s="19" t="s">
        <v>36</v>
      </c>
      <c r="C24" s="19" t="s">
        <v>41</v>
      </c>
      <c r="D24" s="19" t="s">
        <v>37</v>
      </c>
      <c r="E24" s="19" t="s">
        <v>21</v>
      </c>
      <c r="F24" s="20">
        <v>31000</v>
      </c>
      <c r="G24" s="20">
        <v>30000</v>
      </c>
      <c r="H24" s="20"/>
    </row>
    <row r="25" spans="1:8" x14ac:dyDescent="0.3">
      <c r="A25" s="19" t="s">
        <v>219</v>
      </c>
      <c r="B25" s="19" t="s">
        <v>36</v>
      </c>
      <c r="C25" s="19" t="s">
        <v>32</v>
      </c>
      <c r="D25" s="19" t="s">
        <v>37</v>
      </c>
      <c r="E25" s="19" t="s">
        <v>21</v>
      </c>
      <c r="F25" s="20">
        <v>500</v>
      </c>
      <c r="G25" s="20">
        <v>500</v>
      </c>
      <c r="H25" s="20"/>
    </row>
    <row r="26" spans="1:8" x14ac:dyDescent="0.3">
      <c r="A26" s="19" t="s">
        <v>219</v>
      </c>
      <c r="B26" s="19" t="s">
        <v>36</v>
      </c>
      <c r="C26" s="19" t="s">
        <v>230</v>
      </c>
      <c r="D26" s="19" t="s">
        <v>37</v>
      </c>
      <c r="E26" s="19" t="s">
        <v>21</v>
      </c>
      <c r="F26" s="20"/>
      <c r="G26" s="20"/>
      <c r="H26" s="20"/>
    </row>
    <row r="27" spans="1:8" x14ac:dyDescent="0.3">
      <c r="A27" s="19" t="s">
        <v>219</v>
      </c>
      <c r="B27" s="19" t="s">
        <v>36</v>
      </c>
      <c r="C27" s="19" t="s">
        <v>35</v>
      </c>
      <c r="D27" s="19" t="s">
        <v>37</v>
      </c>
      <c r="E27" s="19" t="s">
        <v>21</v>
      </c>
      <c r="F27" s="20">
        <v>62500</v>
      </c>
      <c r="G27" s="20">
        <v>61000</v>
      </c>
      <c r="H27" s="20"/>
    </row>
    <row r="28" spans="1:8" x14ac:dyDescent="0.3">
      <c r="A28" s="19" t="s">
        <v>219</v>
      </c>
      <c r="B28" s="19" t="s">
        <v>42</v>
      </c>
      <c r="C28" s="19" t="s">
        <v>44</v>
      </c>
      <c r="D28" s="19" t="s">
        <v>43</v>
      </c>
      <c r="E28" s="19" t="s">
        <v>21</v>
      </c>
      <c r="F28" s="20">
        <v>116890</v>
      </c>
      <c r="G28" s="20">
        <v>150000</v>
      </c>
      <c r="H28" s="20">
        <v>11000000</v>
      </c>
    </row>
    <row r="29" spans="1:8" x14ac:dyDescent="0.3">
      <c r="A29" s="19" t="s">
        <v>219</v>
      </c>
      <c r="B29" s="19" t="s">
        <v>42</v>
      </c>
      <c r="C29" s="19" t="s">
        <v>25</v>
      </c>
      <c r="D29" s="19" t="s">
        <v>43</v>
      </c>
      <c r="E29" s="19" t="s">
        <v>21</v>
      </c>
      <c r="F29" s="20">
        <v>250000</v>
      </c>
      <c r="G29" s="20">
        <v>250000</v>
      </c>
      <c r="H29" s="20">
        <v>7100000</v>
      </c>
    </row>
    <row r="30" spans="1:8" x14ac:dyDescent="0.3">
      <c r="A30" s="19" t="s">
        <v>219</v>
      </c>
      <c r="B30" s="19" t="s">
        <v>42</v>
      </c>
      <c r="C30" s="19" t="s">
        <v>28</v>
      </c>
      <c r="D30" s="19" t="s">
        <v>43</v>
      </c>
      <c r="E30" s="19" t="s">
        <v>21</v>
      </c>
      <c r="F30" s="20">
        <v>225700</v>
      </c>
      <c r="G30" s="20">
        <v>250000</v>
      </c>
      <c r="H30" s="20">
        <v>20000000</v>
      </c>
    </row>
    <row r="31" spans="1:8" x14ac:dyDescent="0.3">
      <c r="A31" s="19" t="s">
        <v>219</v>
      </c>
      <c r="B31" s="19" t="s">
        <v>42</v>
      </c>
      <c r="C31" s="19" t="s">
        <v>32</v>
      </c>
      <c r="D31" s="19" t="s">
        <v>43</v>
      </c>
      <c r="E31" s="19" t="s">
        <v>21</v>
      </c>
      <c r="F31" s="20">
        <v>306900</v>
      </c>
      <c r="G31" s="20">
        <v>310000</v>
      </c>
      <c r="H31" s="20">
        <v>110000000</v>
      </c>
    </row>
    <row r="32" spans="1:8" x14ac:dyDescent="0.3">
      <c r="A32" s="19" t="s">
        <v>219</v>
      </c>
      <c r="B32" s="19" t="s">
        <v>42</v>
      </c>
      <c r="C32" s="19" t="s">
        <v>230</v>
      </c>
      <c r="D32" s="19" t="s">
        <v>43</v>
      </c>
      <c r="E32" s="19" t="s">
        <v>21</v>
      </c>
      <c r="F32" s="20"/>
      <c r="G32" s="20"/>
      <c r="H32" s="20"/>
    </row>
    <row r="33" spans="1:8" x14ac:dyDescent="0.3">
      <c r="A33" s="19" t="s">
        <v>219</v>
      </c>
      <c r="B33" s="19" t="s">
        <v>42</v>
      </c>
      <c r="C33" s="19" t="s">
        <v>35</v>
      </c>
      <c r="D33" s="19" t="s">
        <v>43</v>
      </c>
      <c r="E33" s="19" t="s">
        <v>21</v>
      </c>
      <c r="F33" s="20">
        <v>949000</v>
      </c>
      <c r="G33" s="20">
        <v>960000</v>
      </c>
      <c r="H33" s="20">
        <v>150000000</v>
      </c>
    </row>
    <row r="34" spans="1:8" x14ac:dyDescent="0.3">
      <c r="A34" s="19" t="s">
        <v>219</v>
      </c>
      <c r="B34" s="19" t="s">
        <v>45</v>
      </c>
      <c r="C34" s="19" t="s">
        <v>25</v>
      </c>
      <c r="D34" s="19" t="s">
        <v>46</v>
      </c>
      <c r="E34" s="19" t="s">
        <v>47</v>
      </c>
      <c r="F34" s="20">
        <v>2100</v>
      </c>
      <c r="G34" s="20">
        <v>2200</v>
      </c>
      <c r="H34" s="20">
        <v>120000</v>
      </c>
    </row>
    <row r="35" spans="1:8" x14ac:dyDescent="0.3">
      <c r="A35" s="19" t="s">
        <v>219</v>
      </c>
      <c r="B35" s="19" t="s">
        <v>45</v>
      </c>
      <c r="C35" s="19" t="s">
        <v>48</v>
      </c>
      <c r="D35" s="19" t="s">
        <v>46</v>
      </c>
      <c r="E35" s="19" t="s">
        <v>47</v>
      </c>
      <c r="F35" s="20">
        <v>2600</v>
      </c>
      <c r="G35" s="20">
        <v>3000</v>
      </c>
      <c r="H35" s="20">
        <v>51000</v>
      </c>
    </row>
    <row r="36" spans="1:8" x14ac:dyDescent="0.3">
      <c r="A36" s="19" t="s">
        <v>219</v>
      </c>
      <c r="B36" s="19" t="s">
        <v>45</v>
      </c>
      <c r="C36" s="19" t="s">
        <v>27</v>
      </c>
      <c r="D36" s="19" t="s">
        <v>46</v>
      </c>
      <c r="E36" s="19" t="s">
        <v>47</v>
      </c>
      <c r="F36" s="20">
        <v>300</v>
      </c>
      <c r="G36" s="20">
        <v>300</v>
      </c>
      <c r="H36" s="20">
        <v>100000</v>
      </c>
    </row>
    <row r="37" spans="1:8" x14ac:dyDescent="0.3">
      <c r="A37" s="19" t="s">
        <v>219</v>
      </c>
      <c r="B37" s="19" t="s">
        <v>45</v>
      </c>
      <c r="C37" s="19" t="s">
        <v>28</v>
      </c>
      <c r="D37" s="19" t="s">
        <v>46</v>
      </c>
      <c r="E37" s="19" t="s">
        <v>47</v>
      </c>
      <c r="F37" s="20">
        <v>650</v>
      </c>
      <c r="G37" s="20">
        <v>700</v>
      </c>
      <c r="H37" s="20">
        <v>85000</v>
      </c>
    </row>
    <row r="38" spans="1:8" x14ac:dyDescent="0.3">
      <c r="A38" s="19" t="s">
        <v>219</v>
      </c>
      <c r="B38" s="19" t="s">
        <v>45</v>
      </c>
      <c r="C38" s="19" t="s">
        <v>29</v>
      </c>
      <c r="D38" s="19" t="s">
        <v>46</v>
      </c>
      <c r="E38" s="19" t="s">
        <v>47</v>
      </c>
      <c r="F38" s="20">
        <v>250</v>
      </c>
      <c r="G38" s="20">
        <v>260</v>
      </c>
      <c r="H38" s="20"/>
    </row>
    <row r="39" spans="1:8" x14ac:dyDescent="0.3">
      <c r="A39" s="19" t="s">
        <v>219</v>
      </c>
      <c r="B39" s="19" t="s">
        <v>45</v>
      </c>
      <c r="C39" s="19" t="s">
        <v>30</v>
      </c>
      <c r="D39" s="19" t="s">
        <v>46</v>
      </c>
      <c r="E39" s="19" t="s">
        <v>47</v>
      </c>
      <c r="F39" s="20">
        <v>244</v>
      </c>
      <c r="G39" s="20">
        <v>300</v>
      </c>
      <c r="H39" s="20"/>
    </row>
    <row r="40" spans="1:8" x14ac:dyDescent="0.3">
      <c r="A40" s="19" t="s">
        <v>219</v>
      </c>
      <c r="B40" s="19" t="s">
        <v>45</v>
      </c>
      <c r="C40" s="19" t="s">
        <v>40</v>
      </c>
      <c r="D40" s="19" t="s">
        <v>46</v>
      </c>
      <c r="E40" s="19" t="s">
        <v>47</v>
      </c>
      <c r="F40" s="20">
        <v>930</v>
      </c>
      <c r="G40" s="20">
        <v>1000</v>
      </c>
      <c r="H40" s="20"/>
    </row>
    <row r="41" spans="1:8" x14ac:dyDescent="0.3">
      <c r="A41" s="19" t="s">
        <v>219</v>
      </c>
      <c r="B41" s="19" t="s">
        <v>45</v>
      </c>
      <c r="C41" s="19" t="s">
        <v>49</v>
      </c>
      <c r="D41" s="19" t="s">
        <v>46</v>
      </c>
      <c r="E41" s="19" t="s">
        <v>47</v>
      </c>
      <c r="F41" s="20">
        <v>340</v>
      </c>
      <c r="G41" s="20">
        <v>350</v>
      </c>
      <c r="H41" s="20"/>
    </row>
    <row r="42" spans="1:8" x14ac:dyDescent="0.3">
      <c r="A42" s="19" t="s">
        <v>219</v>
      </c>
      <c r="B42" s="19" t="s">
        <v>45</v>
      </c>
      <c r="C42" s="19" t="s">
        <v>31</v>
      </c>
      <c r="D42" s="19" t="s">
        <v>46</v>
      </c>
      <c r="E42" s="19" t="s">
        <v>47</v>
      </c>
      <c r="F42" s="20">
        <v>94</v>
      </c>
      <c r="G42" s="20">
        <v>100</v>
      </c>
      <c r="H42" s="20"/>
    </row>
    <row r="43" spans="1:8" x14ac:dyDescent="0.3">
      <c r="A43" s="19" t="s">
        <v>219</v>
      </c>
      <c r="B43" s="19" t="s">
        <v>45</v>
      </c>
      <c r="C43" s="19" t="s">
        <v>229</v>
      </c>
      <c r="D43" s="19" t="s">
        <v>46</v>
      </c>
      <c r="E43" s="19" t="s">
        <v>47</v>
      </c>
      <c r="F43" s="20">
        <v>261</v>
      </c>
      <c r="G43" s="20">
        <v>260</v>
      </c>
      <c r="H43" s="20">
        <v>34000</v>
      </c>
    </row>
    <row r="44" spans="1:8" x14ac:dyDescent="0.3">
      <c r="A44" s="19" t="s">
        <v>219</v>
      </c>
      <c r="B44" s="19" t="s">
        <v>45</v>
      </c>
      <c r="C44" s="19" t="s">
        <v>32</v>
      </c>
      <c r="D44" s="19" t="s">
        <v>46</v>
      </c>
      <c r="E44" s="19" t="s">
        <v>47</v>
      </c>
      <c r="F44" s="20">
        <v>200</v>
      </c>
      <c r="G44" s="20">
        <v>230</v>
      </c>
      <c r="H44" s="20">
        <v>12000</v>
      </c>
    </row>
    <row r="45" spans="1:8" x14ac:dyDescent="0.3">
      <c r="A45" s="19" t="s">
        <v>219</v>
      </c>
      <c r="B45" s="19" t="s">
        <v>45</v>
      </c>
      <c r="C45" s="19" t="s">
        <v>230</v>
      </c>
      <c r="D45" s="19" t="s">
        <v>46</v>
      </c>
      <c r="E45" s="19" t="s">
        <v>47</v>
      </c>
      <c r="F45" s="20"/>
      <c r="G45" s="20"/>
      <c r="H45" s="20"/>
    </row>
    <row r="46" spans="1:8" x14ac:dyDescent="0.3">
      <c r="A46" s="19" t="s">
        <v>219</v>
      </c>
      <c r="B46" s="19" t="s">
        <v>45</v>
      </c>
      <c r="C46" s="19" t="s">
        <v>35</v>
      </c>
      <c r="D46" s="19" t="s">
        <v>46</v>
      </c>
      <c r="E46" s="19" t="s">
        <v>47</v>
      </c>
      <c r="F46" s="20">
        <v>8000</v>
      </c>
      <c r="G46" s="20">
        <v>8700</v>
      </c>
      <c r="H46" s="20"/>
    </row>
    <row r="47" spans="1:8" x14ac:dyDescent="0.3">
      <c r="A47" s="19" t="s">
        <v>219</v>
      </c>
      <c r="B47" s="19" t="s">
        <v>50</v>
      </c>
      <c r="C47" s="19" t="s">
        <v>22</v>
      </c>
      <c r="D47" s="19" t="s">
        <v>51</v>
      </c>
      <c r="E47" s="19" t="s">
        <v>47</v>
      </c>
      <c r="F47" s="20">
        <v>100000</v>
      </c>
      <c r="G47" s="20">
        <v>97000</v>
      </c>
      <c r="H47" s="20">
        <v>3700000</v>
      </c>
    </row>
    <row r="48" spans="1:8" x14ac:dyDescent="0.3">
      <c r="A48" s="19" t="s">
        <v>219</v>
      </c>
      <c r="B48" s="19" t="s">
        <v>232</v>
      </c>
      <c r="C48" s="19" t="s">
        <v>44</v>
      </c>
      <c r="D48" s="19" t="s">
        <v>51</v>
      </c>
      <c r="E48" s="19" t="s">
        <v>47</v>
      </c>
      <c r="F48" s="20">
        <v>33000</v>
      </c>
      <c r="G48" s="20">
        <v>33000</v>
      </c>
      <c r="H48" s="20">
        <v>1700000</v>
      </c>
    </row>
    <row r="49" spans="1:8" x14ac:dyDescent="0.3">
      <c r="A49" s="19" t="s">
        <v>219</v>
      </c>
      <c r="B49" s="19" t="s">
        <v>50</v>
      </c>
      <c r="C49" s="19" t="s">
        <v>220</v>
      </c>
      <c r="D49" s="19" t="s">
        <v>51</v>
      </c>
      <c r="E49" s="19" t="s">
        <v>47</v>
      </c>
      <c r="F49" s="20"/>
      <c r="G49" s="20"/>
      <c r="H49" s="20"/>
    </row>
    <row r="50" spans="1:8" x14ac:dyDescent="0.3">
      <c r="A50" s="19" t="s">
        <v>219</v>
      </c>
      <c r="B50" s="19" t="s">
        <v>50</v>
      </c>
      <c r="C50" s="19" t="s">
        <v>25</v>
      </c>
      <c r="D50" s="19" t="s">
        <v>51</v>
      </c>
      <c r="E50" s="19" t="s">
        <v>47</v>
      </c>
      <c r="F50" s="20">
        <v>80500</v>
      </c>
      <c r="G50" s="20">
        <v>87000</v>
      </c>
      <c r="H50" s="20">
        <v>710000</v>
      </c>
    </row>
    <row r="51" spans="1:8" x14ac:dyDescent="0.3">
      <c r="A51" s="19" t="s">
        <v>219</v>
      </c>
      <c r="B51" s="19" t="s">
        <v>50</v>
      </c>
      <c r="C51" s="19" t="s">
        <v>52</v>
      </c>
      <c r="D51" s="19" t="s">
        <v>51</v>
      </c>
      <c r="E51" s="19" t="s">
        <v>47</v>
      </c>
      <c r="F51" s="20"/>
      <c r="G51" s="20"/>
      <c r="H51" s="20"/>
    </row>
    <row r="52" spans="1:8" x14ac:dyDescent="0.3">
      <c r="A52" s="19" t="s">
        <v>219</v>
      </c>
      <c r="B52" s="19" t="s">
        <v>50</v>
      </c>
      <c r="C52" s="19" t="s">
        <v>53</v>
      </c>
      <c r="D52" s="19" t="s">
        <v>51</v>
      </c>
      <c r="E52" s="19" t="s">
        <v>47</v>
      </c>
      <c r="F52" s="20">
        <v>970</v>
      </c>
      <c r="G52" s="20">
        <v>960</v>
      </c>
      <c r="H52" s="20"/>
    </row>
    <row r="53" spans="1:8" x14ac:dyDescent="0.3">
      <c r="A53" s="19" t="s">
        <v>219</v>
      </c>
      <c r="B53" s="19" t="s">
        <v>50</v>
      </c>
      <c r="C53" s="19" t="s">
        <v>54</v>
      </c>
      <c r="D53" s="19" t="s">
        <v>51</v>
      </c>
      <c r="E53" s="19" t="s">
        <v>47</v>
      </c>
      <c r="F53" s="20">
        <v>142000</v>
      </c>
      <c r="G53" s="20">
        <v>150000</v>
      </c>
      <c r="H53" s="20">
        <v>7400000</v>
      </c>
    </row>
    <row r="54" spans="1:8" x14ac:dyDescent="0.3">
      <c r="A54" s="19" t="s">
        <v>219</v>
      </c>
      <c r="B54" s="19" t="s">
        <v>50</v>
      </c>
      <c r="C54" s="19" t="s">
        <v>48</v>
      </c>
      <c r="D54" s="19" t="s">
        <v>51</v>
      </c>
      <c r="E54" s="19" t="s">
        <v>47</v>
      </c>
      <c r="F54" s="20">
        <v>25000</v>
      </c>
      <c r="G54" s="20">
        <v>25000</v>
      </c>
      <c r="H54" s="20">
        <v>650000</v>
      </c>
    </row>
    <row r="55" spans="1:8" x14ac:dyDescent="0.3">
      <c r="A55" s="19" t="s">
        <v>219</v>
      </c>
      <c r="B55" s="19" t="s">
        <v>50</v>
      </c>
      <c r="C55" s="19" t="s">
        <v>55</v>
      </c>
      <c r="D55" s="19" t="s">
        <v>51</v>
      </c>
      <c r="E55" s="19" t="s">
        <v>47</v>
      </c>
      <c r="F55" s="20">
        <v>9900</v>
      </c>
      <c r="G55" s="20">
        <v>10000</v>
      </c>
      <c r="H55" s="20">
        <v>2900000</v>
      </c>
    </row>
    <row r="56" spans="1:8" x14ac:dyDescent="0.3">
      <c r="A56" s="19" t="s">
        <v>219</v>
      </c>
      <c r="B56" s="19" t="s">
        <v>50</v>
      </c>
      <c r="C56" s="19" t="s">
        <v>221</v>
      </c>
      <c r="D56" s="19" t="s">
        <v>51</v>
      </c>
      <c r="E56" s="19" t="s">
        <v>47</v>
      </c>
      <c r="F56" s="20"/>
      <c r="G56" s="20"/>
      <c r="H56" s="20"/>
    </row>
    <row r="57" spans="1:8" x14ac:dyDescent="0.3">
      <c r="A57" s="19" t="s">
        <v>219</v>
      </c>
      <c r="B57" s="19" t="s">
        <v>50</v>
      </c>
      <c r="C57" s="19" t="s">
        <v>56</v>
      </c>
      <c r="D57" s="19" t="s">
        <v>51</v>
      </c>
      <c r="E57" s="19" t="s">
        <v>47</v>
      </c>
      <c r="F57" s="20">
        <v>5890</v>
      </c>
      <c r="G57" s="20">
        <v>6200</v>
      </c>
      <c r="H57" s="20">
        <v>2000000</v>
      </c>
    </row>
    <row r="58" spans="1:8" x14ac:dyDescent="0.3">
      <c r="A58" s="19" t="s">
        <v>219</v>
      </c>
      <c r="B58" s="19" t="s">
        <v>50</v>
      </c>
      <c r="C58" s="19" t="s">
        <v>28</v>
      </c>
      <c r="D58" s="19" t="s">
        <v>51</v>
      </c>
      <c r="E58" s="19" t="s">
        <v>47</v>
      </c>
      <c r="F58" s="20">
        <v>4780</v>
      </c>
      <c r="G58" s="20">
        <v>4800</v>
      </c>
      <c r="H58" s="20">
        <v>160000</v>
      </c>
    </row>
    <row r="59" spans="1:8" x14ac:dyDescent="0.3">
      <c r="A59" s="19" t="s">
        <v>219</v>
      </c>
      <c r="B59" s="19" t="s">
        <v>50</v>
      </c>
      <c r="C59" s="19" t="s">
        <v>49</v>
      </c>
      <c r="D59" s="19" t="s">
        <v>51</v>
      </c>
      <c r="E59" s="19" t="s">
        <v>47</v>
      </c>
      <c r="F59" s="20">
        <v>7780</v>
      </c>
      <c r="G59" s="20">
        <v>8000</v>
      </c>
      <c r="H59" s="20">
        <v>5300000</v>
      </c>
    </row>
    <row r="60" spans="1:8" x14ac:dyDescent="0.3">
      <c r="A60" s="19" t="s">
        <v>219</v>
      </c>
      <c r="B60" s="19" t="s">
        <v>50</v>
      </c>
      <c r="C60" s="19" t="s">
        <v>229</v>
      </c>
      <c r="D60" s="19" t="s">
        <v>51</v>
      </c>
      <c r="E60" s="19" t="s">
        <v>47</v>
      </c>
      <c r="F60" s="20">
        <v>3660</v>
      </c>
      <c r="G60" s="20">
        <v>3800</v>
      </c>
      <c r="H60" s="20">
        <v>69000</v>
      </c>
    </row>
    <row r="61" spans="1:8" x14ac:dyDescent="0.3">
      <c r="A61" s="19" t="s">
        <v>219</v>
      </c>
      <c r="B61" s="19" t="s">
        <v>50</v>
      </c>
      <c r="C61" s="19" t="s">
        <v>32</v>
      </c>
      <c r="D61" s="19" t="s">
        <v>51</v>
      </c>
      <c r="E61" s="19" t="s">
        <v>47</v>
      </c>
      <c r="F61" s="20">
        <v>5470</v>
      </c>
      <c r="G61" s="20">
        <v>5700</v>
      </c>
      <c r="H61" s="20">
        <v>650000</v>
      </c>
    </row>
    <row r="62" spans="1:8" x14ac:dyDescent="0.3">
      <c r="A62" s="19" t="s">
        <v>219</v>
      </c>
      <c r="B62" s="19" t="s">
        <v>50</v>
      </c>
      <c r="C62" s="19" t="s">
        <v>57</v>
      </c>
      <c r="D62" s="19" t="s">
        <v>51</v>
      </c>
      <c r="E62" s="19" t="s">
        <v>47</v>
      </c>
      <c r="F62" s="20">
        <v>5500</v>
      </c>
      <c r="G62" s="20">
        <v>5700</v>
      </c>
      <c r="H62" s="20">
        <v>180000</v>
      </c>
    </row>
    <row r="63" spans="1:8" x14ac:dyDescent="0.3">
      <c r="A63" s="19" t="s">
        <v>219</v>
      </c>
      <c r="B63" s="19" t="s">
        <v>50</v>
      </c>
      <c r="C63" s="19" t="s">
        <v>58</v>
      </c>
      <c r="D63" s="19" t="s">
        <v>51</v>
      </c>
      <c r="E63" s="19" t="s">
        <v>47</v>
      </c>
      <c r="F63" s="20"/>
      <c r="G63" s="20"/>
      <c r="H63" s="20"/>
    </row>
    <row r="64" spans="1:8" x14ac:dyDescent="0.3">
      <c r="A64" s="19" t="s">
        <v>219</v>
      </c>
      <c r="B64" s="19" t="s">
        <v>50</v>
      </c>
      <c r="C64" s="19" t="s">
        <v>233</v>
      </c>
      <c r="D64" s="19" t="s">
        <v>51</v>
      </c>
      <c r="E64" s="19" t="s">
        <v>47</v>
      </c>
      <c r="F64" s="20"/>
      <c r="G64" s="20"/>
      <c r="H64" s="20"/>
    </row>
    <row r="65" spans="1:8" x14ac:dyDescent="0.3">
      <c r="A65" s="19" t="s">
        <v>219</v>
      </c>
      <c r="B65" s="19" t="s">
        <v>50</v>
      </c>
      <c r="C65" s="19" t="s">
        <v>230</v>
      </c>
      <c r="D65" s="19" t="s">
        <v>51</v>
      </c>
      <c r="E65" s="19" t="s">
        <v>47</v>
      </c>
      <c r="F65" s="20"/>
      <c r="G65" s="20"/>
      <c r="H65" s="20">
        <v>20000</v>
      </c>
    </row>
    <row r="66" spans="1:8" x14ac:dyDescent="0.3">
      <c r="A66" s="19" t="s">
        <v>219</v>
      </c>
      <c r="B66" s="19" t="s">
        <v>50</v>
      </c>
      <c r="C66" s="19" t="s">
        <v>34</v>
      </c>
      <c r="D66" s="19" t="s">
        <v>51</v>
      </c>
      <c r="E66" s="19" t="s">
        <v>47</v>
      </c>
      <c r="F66" s="20">
        <v>3710</v>
      </c>
      <c r="G66" s="20">
        <v>3800</v>
      </c>
      <c r="H66" s="20">
        <v>3100000</v>
      </c>
    </row>
    <row r="67" spans="1:8" x14ac:dyDescent="0.3">
      <c r="A67" s="19" t="s">
        <v>219</v>
      </c>
      <c r="B67" s="19" t="s">
        <v>50</v>
      </c>
      <c r="C67" s="19" t="s">
        <v>35</v>
      </c>
      <c r="D67" s="19" t="s">
        <v>51</v>
      </c>
      <c r="E67" s="19" t="s">
        <v>47</v>
      </c>
      <c r="F67" s="20">
        <v>428000</v>
      </c>
      <c r="G67" s="20">
        <v>440000</v>
      </c>
      <c r="H67" s="20">
        <v>29000000</v>
      </c>
    </row>
    <row r="68" spans="1:8" x14ac:dyDescent="0.3">
      <c r="A68" s="19" t="s">
        <v>219</v>
      </c>
      <c r="B68" s="19" t="s">
        <v>59</v>
      </c>
      <c r="C68" s="19" t="s">
        <v>44</v>
      </c>
      <c r="D68" s="19" t="s">
        <v>60</v>
      </c>
      <c r="E68" s="19" t="s">
        <v>21</v>
      </c>
      <c r="F68" s="20">
        <v>80</v>
      </c>
      <c r="G68" s="20">
        <v>80</v>
      </c>
      <c r="H68" s="20"/>
    </row>
    <row r="69" spans="1:8" x14ac:dyDescent="0.3">
      <c r="A69" s="19" t="s">
        <v>219</v>
      </c>
      <c r="B69" s="19" t="s">
        <v>59</v>
      </c>
      <c r="C69" s="19" t="s">
        <v>25</v>
      </c>
      <c r="D69" s="19" t="s">
        <v>60</v>
      </c>
      <c r="E69" s="19" t="s">
        <v>21</v>
      </c>
      <c r="F69" s="20">
        <v>78</v>
      </c>
      <c r="G69" s="20">
        <v>77</v>
      </c>
      <c r="H69" s="20"/>
    </row>
    <row r="70" spans="1:8" x14ac:dyDescent="0.3">
      <c r="A70" s="19" t="s">
        <v>219</v>
      </c>
      <c r="B70" s="19" t="s">
        <v>59</v>
      </c>
      <c r="C70" s="19" t="s">
        <v>61</v>
      </c>
      <c r="D70" s="19" t="s">
        <v>60</v>
      </c>
      <c r="E70" s="19" t="s">
        <v>21</v>
      </c>
      <c r="F70" s="20">
        <v>1</v>
      </c>
      <c r="G70" s="20">
        <v>1</v>
      </c>
      <c r="H70" s="20"/>
    </row>
    <row r="71" spans="1:8" x14ac:dyDescent="0.3">
      <c r="A71" s="19" t="s">
        <v>219</v>
      </c>
      <c r="B71" s="19" t="s">
        <v>59</v>
      </c>
      <c r="C71" s="19" t="s">
        <v>62</v>
      </c>
      <c r="D71" s="19" t="s">
        <v>60</v>
      </c>
      <c r="E71" s="19" t="s">
        <v>21</v>
      </c>
      <c r="F71" s="20">
        <v>3</v>
      </c>
      <c r="G71" s="20">
        <v>3</v>
      </c>
      <c r="H71" s="20"/>
    </row>
    <row r="72" spans="1:8" x14ac:dyDescent="0.3">
      <c r="A72" s="19" t="s">
        <v>219</v>
      </c>
      <c r="B72" s="19" t="s">
        <v>59</v>
      </c>
      <c r="C72" s="19" t="s">
        <v>234</v>
      </c>
      <c r="D72" s="19" t="s">
        <v>60</v>
      </c>
      <c r="E72" s="19" t="s">
        <v>21</v>
      </c>
      <c r="F72" s="20">
        <v>40</v>
      </c>
      <c r="G72" s="20">
        <v>40</v>
      </c>
      <c r="H72" s="20"/>
    </row>
    <row r="73" spans="1:8" x14ac:dyDescent="0.3">
      <c r="A73" s="19" t="s">
        <v>219</v>
      </c>
      <c r="B73" s="19" t="s">
        <v>59</v>
      </c>
      <c r="C73" s="19" t="s">
        <v>63</v>
      </c>
      <c r="D73" s="19" t="s">
        <v>60</v>
      </c>
      <c r="E73" s="19" t="s">
        <v>21</v>
      </c>
      <c r="F73" s="20">
        <v>1</v>
      </c>
      <c r="G73" s="20">
        <v>1</v>
      </c>
      <c r="H73" s="20"/>
    </row>
    <row r="74" spans="1:8" x14ac:dyDescent="0.3">
      <c r="A74" s="19" t="s">
        <v>219</v>
      </c>
      <c r="B74" s="19" t="s">
        <v>59</v>
      </c>
      <c r="C74" s="19" t="s">
        <v>230</v>
      </c>
      <c r="D74" s="19" t="s">
        <v>60</v>
      </c>
      <c r="E74" s="19" t="s">
        <v>21</v>
      </c>
      <c r="F74" s="20">
        <v>230</v>
      </c>
      <c r="G74" s="20">
        <v>230</v>
      </c>
      <c r="H74" s="20"/>
    </row>
    <row r="75" spans="1:8" x14ac:dyDescent="0.3">
      <c r="A75" s="19" t="s">
        <v>219</v>
      </c>
      <c r="B75" s="19" t="s">
        <v>59</v>
      </c>
      <c r="C75" s="19" t="s">
        <v>35</v>
      </c>
      <c r="D75" s="19" t="s">
        <v>60</v>
      </c>
      <c r="E75" s="19" t="s">
        <v>21</v>
      </c>
      <c r="F75" s="20">
        <v>433</v>
      </c>
      <c r="G75" s="20">
        <v>430</v>
      </c>
      <c r="H75" s="20"/>
    </row>
    <row r="76" spans="1:8" x14ac:dyDescent="0.3">
      <c r="A76" s="19" t="s">
        <v>219</v>
      </c>
      <c r="B76" s="19" t="s">
        <v>65</v>
      </c>
      <c r="C76" s="19" t="s">
        <v>23</v>
      </c>
      <c r="D76" s="19" t="s">
        <v>66</v>
      </c>
      <c r="E76" s="19" t="s">
        <v>21</v>
      </c>
      <c r="F76" s="20">
        <v>50</v>
      </c>
      <c r="G76" s="20">
        <v>50</v>
      </c>
      <c r="H76" s="20"/>
    </row>
    <row r="77" spans="1:8" x14ac:dyDescent="0.3">
      <c r="A77" s="19" t="s">
        <v>219</v>
      </c>
      <c r="B77" s="19" t="s">
        <v>65</v>
      </c>
      <c r="C77" s="19" t="s">
        <v>67</v>
      </c>
      <c r="D77" s="19" t="s">
        <v>66</v>
      </c>
      <c r="E77" s="19" t="s">
        <v>21</v>
      </c>
      <c r="F77" s="20">
        <v>48</v>
      </c>
      <c r="G77" s="20">
        <v>50</v>
      </c>
      <c r="H77" s="20"/>
    </row>
    <row r="78" spans="1:8" x14ac:dyDescent="0.3">
      <c r="A78" s="19" t="s">
        <v>219</v>
      </c>
      <c r="B78" s="19" t="s">
        <v>65</v>
      </c>
      <c r="C78" s="19" t="s">
        <v>25</v>
      </c>
      <c r="D78" s="19" t="s">
        <v>66</v>
      </c>
      <c r="E78" s="19" t="s">
        <v>21</v>
      </c>
      <c r="F78" s="20">
        <v>14000</v>
      </c>
      <c r="G78" s="20">
        <v>14000</v>
      </c>
      <c r="H78" s="20"/>
    </row>
    <row r="79" spans="1:8" x14ac:dyDescent="0.3">
      <c r="A79" s="19" t="s">
        <v>219</v>
      </c>
      <c r="B79" s="19" t="s">
        <v>65</v>
      </c>
      <c r="C79" s="19" t="s">
        <v>39</v>
      </c>
      <c r="D79" s="19" t="s">
        <v>66</v>
      </c>
      <c r="E79" s="19" t="s">
        <v>21</v>
      </c>
      <c r="F79" s="20">
        <v>500</v>
      </c>
      <c r="G79" s="20">
        <v>500</v>
      </c>
      <c r="H79" s="20"/>
    </row>
    <row r="80" spans="1:8" x14ac:dyDescent="0.3">
      <c r="A80" s="19" t="s">
        <v>219</v>
      </c>
      <c r="B80" s="19" t="s">
        <v>65</v>
      </c>
      <c r="C80" s="19" t="s">
        <v>28</v>
      </c>
      <c r="D80" s="19" t="s">
        <v>66</v>
      </c>
      <c r="E80" s="19" t="s">
        <v>21</v>
      </c>
      <c r="F80" s="20">
        <v>180</v>
      </c>
      <c r="G80" s="20">
        <v>180</v>
      </c>
      <c r="H80" s="20"/>
    </row>
    <row r="81" spans="1:8" x14ac:dyDescent="0.3">
      <c r="A81" s="19" t="s">
        <v>219</v>
      </c>
      <c r="B81" s="19" t="s">
        <v>65</v>
      </c>
      <c r="C81" s="19" t="s">
        <v>29</v>
      </c>
      <c r="D81" s="19" t="s">
        <v>66</v>
      </c>
      <c r="E81" s="19" t="s">
        <v>21</v>
      </c>
      <c r="F81" s="20">
        <v>492</v>
      </c>
      <c r="G81" s="20">
        <v>500</v>
      </c>
      <c r="H81" s="20"/>
    </row>
    <row r="82" spans="1:8" x14ac:dyDescent="0.3">
      <c r="A82" s="19" t="s">
        <v>219</v>
      </c>
      <c r="B82" s="19" t="s">
        <v>65</v>
      </c>
      <c r="C82" s="19" t="s">
        <v>235</v>
      </c>
      <c r="D82" s="19" t="s">
        <v>66</v>
      </c>
      <c r="E82" s="19" t="s">
        <v>21</v>
      </c>
      <c r="F82" s="20">
        <v>1000</v>
      </c>
      <c r="G82" s="20">
        <v>1000</v>
      </c>
      <c r="H82" s="20"/>
    </row>
    <row r="83" spans="1:8" x14ac:dyDescent="0.3">
      <c r="A83" s="19" t="s">
        <v>219</v>
      </c>
      <c r="B83" s="19" t="s">
        <v>65</v>
      </c>
      <c r="C83" s="19" t="s">
        <v>230</v>
      </c>
      <c r="D83" s="19" t="s">
        <v>66</v>
      </c>
      <c r="E83" s="19" t="s">
        <v>21</v>
      </c>
      <c r="F83" s="20"/>
      <c r="G83" s="20"/>
      <c r="H83" s="20"/>
    </row>
    <row r="84" spans="1:8" x14ac:dyDescent="0.3">
      <c r="A84" s="19" t="s">
        <v>219</v>
      </c>
      <c r="B84" s="19" t="s">
        <v>65</v>
      </c>
      <c r="C84" s="19" t="s">
        <v>35</v>
      </c>
      <c r="D84" s="19" t="s">
        <v>66</v>
      </c>
      <c r="E84" s="19" t="s">
        <v>21</v>
      </c>
      <c r="F84" s="20">
        <v>16300</v>
      </c>
      <c r="G84" s="20">
        <v>16000</v>
      </c>
      <c r="H84" s="20"/>
    </row>
    <row r="85" spans="1:8" x14ac:dyDescent="0.3">
      <c r="A85" s="19" t="s">
        <v>219</v>
      </c>
      <c r="B85" s="19" t="s">
        <v>68</v>
      </c>
      <c r="C85" s="19" t="s">
        <v>70</v>
      </c>
      <c r="D85" s="19" t="s">
        <v>69</v>
      </c>
      <c r="E85" s="19" t="s">
        <v>47</v>
      </c>
      <c r="F85" s="20">
        <v>160</v>
      </c>
      <c r="G85" s="20">
        <v>170</v>
      </c>
      <c r="H85" s="20"/>
    </row>
    <row r="86" spans="1:8" x14ac:dyDescent="0.3">
      <c r="A86" s="19" t="s">
        <v>219</v>
      </c>
      <c r="B86" s="19" t="s">
        <v>68</v>
      </c>
      <c r="C86" s="19" t="s">
        <v>23</v>
      </c>
      <c r="D86" s="19" t="s">
        <v>69</v>
      </c>
      <c r="E86" s="19" t="s">
        <v>47</v>
      </c>
      <c r="F86" s="20">
        <v>230</v>
      </c>
      <c r="G86" s="20">
        <v>380</v>
      </c>
      <c r="H86" s="20"/>
    </row>
    <row r="87" spans="1:8" x14ac:dyDescent="0.3">
      <c r="A87" s="19" t="s">
        <v>219</v>
      </c>
      <c r="B87" s="19" t="s">
        <v>68</v>
      </c>
      <c r="C87" s="19" t="s">
        <v>71</v>
      </c>
      <c r="D87" s="19" t="s">
        <v>69</v>
      </c>
      <c r="E87" s="19" t="s">
        <v>47</v>
      </c>
      <c r="F87" s="20">
        <v>470</v>
      </c>
      <c r="G87" s="20">
        <v>300</v>
      </c>
      <c r="H87" s="20">
        <v>35000</v>
      </c>
    </row>
    <row r="88" spans="1:8" x14ac:dyDescent="0.3">
      <c r="A88" s="19" t="s">
        <v>219</v>
      </c>
      <c r="B88" s="19" t="s">
        <v>68</v>
      </c>
      <c r="C88" s="19" t="s">
        <v>25</v>
      </c>
      <c r="D88" s="19" t="s">
        <v>69</v>
      </c>
      <c r="E88" s="19" t="s">
        <v>47</v>
      </c>
      <c r="F88" s="20">
        <v>210</v>
      </c>
      <c r="G88" s="20">
        <v>230</v>
      </c>
      <c r="H88" s="20">
        <v>9100</v>
      </c>
    </row>
    <row r="89" spans="1:8" x14ac:dyDescent="0.3">
      <c r="A89" s="19" t="s">
        <v>219</v>
      </c>
      <c r="B89" s="19" t="s">
        <v>68</v>
      </c>
      <c r="C89" s="19" t="s">
        <v>52</v>
      </c>
      <c r="D89" s="19" t="s">
        <v>69</v>
      </c>
      <c r="E89" s="19" t="s">
        <v>47</v>
      </c>
      <c r="F89" s="20">
        <v>45</v>
      </c>
      <c r="G89" s="20">
        <v>40</v>
      </c>
      <c r="H89" s="20"/>
    </row>
    <row r="90" spans="1:8" x14ac:dyDescent="0.3">
      <c r="A90" s="19" t="s">
        <v>219</v>
      </c>
      <c r="B90" s="19" t="s">
        <v>68</v>
      </c>
      <c r="C90" s="19" t="s">
        <v>41</v>
      </c>
      <c r="D90" s="19" t="s">
        <v>69</v>
      </c>
      <c r="E90" s="19" t="s">
        <v>47</v>
      </c>
      <c r="F90" s="20">
        <v>190</v>
      </c>
      <c r="G90" s="20">
        <v>220</v>
      </c>
      <c r="H90" s="20">
        <v>4000</v>
      </c>
    </row>
    <row r="91" spans="1:8" x14ac:dyDescent="0.3">
      <c r="A91" s="19" t="s">
        <v>219</v>
      </c>
      <c r="B91" s="19" t="s">
        <v>68</v>
      </c>
      <c r="C91" s="19" t="s">
        <v>229</v>
      </c>
      <c r="D91" s="19" t="s">
        <v>69</v>
      </c>
      <c r="E91" s="19" t="s">
        <v>47</v>
      </c>
      <c r="F91" s="20">
        <v>1800</v>
      </c>
      <c r="G91" s="20">
        <v>1500</v>
      </c>
      <c r="H91" s="20">
        <v>950000</v>
      </c>
    </row>
    <row r="92" spans="1:8" x14ac:dyDescent="0.3">
      <c r="A92" s="19" t="s">
        <v>219</v>
      </c>
      <c r="B92" s="19" t="s">
        <v>68</v>
      </c>
      <c r="C92" s="19" t="s">
        <v>32</v>
      </c>
      <c r="D92" s="19" t="s">
        <v>69</v>
      </c>
      <c r="E92" s="19" t="s">
        <v>47</v>
      </c>
      <c r="F92" s="20">
        <v>90</v>
      </c>
      <c r="G92" s="20">
        <v>80</v>
      </c>
      <c r="H92" s="20">
        <v>40000</v>
      </c>
    </row>
    <row r="93" spans="1:8" x14ac:dyDescent="0.3">
      <c r="A93" s="19" t="s">
        <v>219</v>
      </c>
      <c r="B93" s="19" t="s">
        <v>68</v>
      </c>
      <c r="C93" s="19" t="s">
        <v>230</v>
      </c>
      <c r="D93" s="19" t="s">
        <v>69</v>
      </c>
      <c r="E93" s="19" t="s">
        <v>47</v>
      </c>
      <c r="F93" s="20"/>
      <c r="G93" s="20"/>
      <c r="H93" s="20">
        <v>48000</v>
      </c>
    </row>
    <row r="94" spans="1:8" x14ac:dyDescent="0.3">
      <c r="A94" s="19" t="s">
        <v>219</v>
      </c>
      <c r="B94" s="19" t="s">
        <v>68</v>
      </c>
      <c r="C94" s="19" t="s">
        <v>72</v>
      </c>
      <c r="D94" s="19" t="s">
        <v>69</v>
      </c>
      <c r="E94" s="19" t="s">
        <v>47</v>
      </c>
      <c r="F94" s="20"/>
      <c r="G94" s="20"/>
      <c r="H94" s="20"/>
    </row>
    <row r="95" spans="1:8" x14ac:dyDescent="0.3">
      <c r="A95" s="19" t="s">
        <v>219</v>
      </c>
      <c r="B95" s="19" t="s">
        <v>73</v>
      </c>
      <c r="C95" s="19" t="s">
        <v>25</v>
      </c>
      <c r="D95" s="19" t="s">
        <v>74</v>
      </c>
      <c r="E95" s="19" t="s">
        <v>21</v>
      </c>
      <c r="F95" s="20">
        <v>100000</v>
      </c>
      <c r="G95" s="20">
        <v>90000</v>
      </c>
      <c r="H95" s="20">
        <v>130000</v>
      </c>
    </row>
    <row r="96" spans="1:8" x14ac:dyDescent="0.3">
      <c r="A96" s="19" t="s">
        <v>219</v>
      </c>
      <c r="B96" s="19" t="s">
        <v>73</v>
      </c>
      <c r="C96" s="19" t="s">
        <v>48</v>
      </c>
      <c r="D96" s="19" t="s">
        <v>74</v>
      </c>
      <c r="E96" s="19" t="s">
        <v>21</v>
      </c>
      <c r="F96" s="20">
        <v>7000</v>
      </c>
      <c r="G96" s="20">
        <v>7000</v>
      </c>
      <c r="H96" s="20"/>
    </row>
    <row r="97" spans="1:8" x14ac:dyDescent="0.3">
      <c r="A97" s="19" t="s">
        <v>219</v>
      </c>
      <c r="B97" s="19" t="s">
        <v>73</v>
      </c>
      <c r="C97" s="19" t="s">
        <v>75</v>
      </c>
      <c r="D97" s="19" t="s">
        <v>74</v>
      </c>
      <c r="E97" s="19" t="s">
        <v>21</v>
      </c>
      <c r="F97" s="20">
        <v>190000</v>
      </c>
      <c r="G97" s="20">
        <v>200000</v>
      </c>
      <c r="H97" s="20"/>
    </row>
    <row r="98" spans="1:8" x14ac:dyDescent="0.3">
      <c r="A98" s="19" t="s">
        <v>219</v>
      </c>
      <c r="B98" s="19" t="s">
        <v>73</v>
      </c>
      <c r="C98" s="19" t="s">
        <v>39</v>
      </c>
      <c r="D98" s="19" t="s">
        <v>74</v>
      </c>
      <c r="E98" s="19" t="s">
        <v>21</v>
      </c>
      <c r="F98" s="20">
        <v>20000</v>
      </c>
      <c r="G98" s="20">
        <v>20000</v>
      </c>
      <c r="H98" s="20"/>
    </row>
    <row r="99" spans="1:8" x14ac:dyDescent="0.3">
      <c r="A99" s="19" t="s">
        <v>219</v>
      </c>
      <c r="B99" s="19" t="s">
        <v>73</v>
      </c>
      <c r="C99" s="19" t="s">
        <v>76</v>
      </c>
      <c r="D99" s="19" t="s">
        <v>74</v>
      </c>
      <c r="E99" s="19" t="s">
        <v>21</v>
      </c>
      <c r="F99" s="20">
        <v>112000</v>
      </c>
      <c r="G99" s="20">
        <v>110000</v>
      </c>
      <c r="H99" s="20">
        <v>360000</v>
      </c>
    </row>
    <row r="100" spans="1:8" x14ac:dyDescent="0.3">
      <c r="A100" s="19" t="s">
        <v>219</v>
      </c>
      <c r="B100" s="19" t="s">
        <v>73</v>
      </c>
      <c r="C100" s="19" t="s">
        <v>77</v>
      </c>
      <c r="D100" s="19" t="s">
        <v>74</v>
      </c>
      <c r="E100" s="19" t="s">
        <v>21</v>
      </c>
      <c r="F100" s="20">
        <v>11000</v>
      </c>
      <c r="G100" s="20">
        <v>6000</v>
      </c>
      <c r="H100" s="20"/>
    </row>
    <row r="101" spans="1:8" x14ac:dyDescent="0.3">
      <c r="A101" s="19" t="s">
        <v>219</v>
      </c>
      <c r="B101" s="19" t="s">
        <v>73</v>
      </c>
      <c r="C101" s="19" t="s">
        <v>230</v>
      </c>
      <c r="D101" s="19" t="s">
        <v>74</v>
      </c>
      <c r="E101" s="19" t="s">
        <v>21</v>
      </c>
      <c r="F101" s="20"/>
      <c r="G101" s="20"/>
      <c r="H101" s="20">
        <v>11000000</v>
      </c>
    </row>
    <row r="102" spans="1:8" x14ac:dyDescent="0.3">
      <c r="A102" s="19" t="s">
        <v>219</v>
      </c>
      <c r="B102" s="19" t="s">
        <v>73</v>
      </c>
      <c r="C102" s="19" t="s">
        <v>35</v>
      </c>
      <c r="D102" s="19" t="s">
        <v>74</v>
      </c>
      <c r="E102" s="19" t="s">
        <v>21</v>
      </c>
      <c r="F102" s="20">
        <v>440000</v>
      </c>
      <c r="G102" s="20">
        <v>430000</v>
      </c>
      <c r="H102" s="20"/>
    </row>
    <row r="103" spans="1:8" x14ac:dyDescent="0.3">
      <c r="A103" s="19" t="s">
        <v>219</v>
      </c>
      <c r="B103" s="19" t="s">
        <v>78</v>
      </c>
      <c r="C103" s="19" t="s">
        <v>22</v>
      </c>
      <c r="D103" s="19" t="s">
        <v>79</v>
      </c>
      <c r="E103" s="19" t="s">
        <v>21</v>
      </c>
      <c r="F103" s="20">
        <v>601</v>
      </c>
      <c r="G103" s="20">
        <v>600</v>
      </c>
      <c r="H103" s="20"/>
    </row>
    <row r="104" spans="1:8" x14ac:dyDescent="0.3">
      <c r="A104" s="19" t="s">
        <v>219</v>
      </c>
      <c r="B104" s="19" t="s">
        <v>78</v>
      </c>
      <c r="C104" s="19" t="s">
        <v>67</v>
      </c>
      <c r="D104" s="19" t="s">
        <v>79</v>
      </c>
      <c r="E104" s="19" t="s">
        <v>21</v>
      </c>
      <c r="F104" s="20">
        <v>379</v>
      </c>
      <c r="G104" s="20">
        <v>380</v>
      </c>
      <c r="H104" s="20"/>
    </row>
    <row r="105" spans="1:8" x14ac:dyDescent="0.3">
      <c r="A105" s="19" t="s">
        <v>219</v>
      </c>
      <c r="B105" s="19" t="s">
        <v>78</v>
      </c>
      <c r="C105" s="19" t="s">
        <v>220</v>
      </c>
      <c r="D105" s="19" t="s">
        <v>79</v>
      </c>
      <c r="E105" s="19" t="s">
        <v>21</v>
      </c>
      <c r="F105" s="20">
        <v>1300</v>
      </c>
      <c r="G105" s="20">
        <v>1300</v>
      </c>
      <c r="H105" s="20"/>
    </row>
    <row r="106" spans="1:8" x14ac:dyDescent="0.3">
      <c r="A106" s="19" t="s">
        <v>219</v>
      </c>
      <c r="B106" s="19" t="s">
        <v>78</v>
      </c>
      <c r="C106" s="19" t="s">
        <v>25</v>
      </c>
      <c r="D106" s="19" t="s">
        <v>79</v>
      </c>
      <c r="E106" s="19" t="s">
        <v>21</v>
      </c>
      <c r="F106" s="20">
        <v>8900</v>
      </c>
      <c r="G106" s="20">
        <v>9500</v>
      </c>
      <c r="H106" s="20"/>
    </row>
    <row r="107" spans="1:8" x14ac:dyDescent="0.3">
      <c r="A107" s="19" t="s">
        <v>219</v>
      </c>
      <c r="B107" s="19" t="s">
        <v>78</v>
      </c>
      <c r="C107" s="19" t="s">
        <v>52</v>
      </c>
      <c r="D107" s="19" t="s">
        <v>79</v>
      </c>
      <c r="E107" s="19" t="s">
        <v>21</v>
      </c>
      <c r="F107" s="20">
        <v>130</v>
      </c>
      <c r="G107" s="20">
        <v>220</v>
      </c>
      <c r="H107" s="20"/>
    </row>
    <row r="108" spans="1:8" x14ac:dyDescent="0.3">
      <c r="A108" s="19" t="s">
        <v>219</v>
      </c>
      <c r="B108" s="19" t="s">
        <v>78</v>
      </c>
      <c r="C108" s="19" t="s">
        <v>39</v>
      </c>
      <c r="D108" s="19" t="s">
        <v>79</v>
      </c>
      <c r="E108" s="19" t="s">
        <v>21</v>
      </c>
      <c r="F108" s="20">
        <v>1580</v>
      </c>
      <c r="G108" s="20">
        <v>1300</v>
      </c>
      <c r="H108" s="20"/>
    </row>
    <row r="109" spans="1:8" x14ac:dyDescent="0.3">
      <c r="A109" s="19" t="s">
        <v>219</v>
      </c>
      <c r="B109" s="19" t="s">
        <v>78</v>
      </c>
      <c r="C109" s="19" t="s">
        <v>28</v>
      </c>
      <c r="D109" s="19" t="s">
        <v>79</v>
      </c>
      <c r="E109" s="19" t="s">
        <v>21</v>
      </c>
      <c r="F109" s="20">
        <v>1100</v>
      </c>
      <c r="G109" s="20">
        <v>1100</v>
      </c>
      <c r="H109" s="20"/>
    </row>
    <row r="110" spans="1:8" x14ac:dyDescent="0.3">
      <c r="A110" s="19" t="s">
        <v>219</v>
      </c>
      <c r="B110" s="19" t="s">
        <v>78</v>
      </c>
      <c r="C110" s="19" t="s">
        <v>30</v>
      </c>
      <c r="D110" s="19" t="s">
        <v>79</v>
      </c>
      <c r="E110" s="19" t="s">
        <v>21</v>
      </c>
      <c r="F110" s="20">
        <v>1190</v>
      </c>
      <c r="G110" s="20">
        <v>1000</v>
      </c>
      <c r="H110" s="20"/>
    </row>
    <row r="111" spans="1:8" x14ac:dyDescent="0.3">
      <c r="A111" s="19" t="s">
        <v>219</v>
      </c>
      <c r="B111" s="19" t="s">
        <v>78</v>
      </c>
      <c r="C111" s="19" t="s">
        <v>80</v>
      </c>
      <c r="D111" s="19" t="s">
        <v>79</v>
      </c>
      <c r="E111" s="19" t="s">
        <v>21</v>
      </c>
      <c r="F111" s="20">
        <v>592</v>
      </c>
      <c r="G111" s="20">
        <v>600</v>
      </c>
      <c r="H111" s="20"/>
    </row>
    <row r="112" spans="1:8" x14ac:dyDescent="0.3">
      <c r="A112" s="19" t="s">
        <v>219</v>
      </c>
      <c r="B112" s="19" t="s">
        <v>78</v>
      </c>
      <c r="C112" s="19" t="s">
        <v>81</v>
      </c>
      <c r="D112" s="19" t="s">
        <v>79</v>
      </c>
      <c r="E112" s="19" t="s">
        <v>21</v>
      </c>
      <c r="F112" s="20">
        <v>350</v>
      </c>
      <c r="G112" s="20">
        <v>430</v>
      </c>
      <c r="H112" s="20"/>
    </row>
    <row r="113" spans="1:8" x14ac:dyDescent="0.3">
      <c r="A113" s="19" t="s">
        <v>219</v>
      </c>
      <c r="B113" s="19" t="s">
        <v>78</v>
      </c>
      <c r="C113" s="19" t="s">
        <v>41</v>
      </c>
      <c r="D113" s="19" t="s">
        <v>79</v>
      </c>
      <c r="E113" s="19" t="s">
        <v>21</v>
      </c>
      <c r="F113" s="20">
        <v>664</v>
      </c>
      <c r="G113" s="20">
        <v>600</v>
      </c>
      <c r="H113" s="20"/>
    </row>
    <row r="114" spans="1:8" x14ac:dyDescent="0.3">
      <c r="A114" s="19" t="s">
        <v>219</v>
      </c>
      <c r="B114" s="19" t="s">
        <v>78</v>
      </c>
      <c r="C114" s="19" t="s">
        <v>82</v>
      </c>
      <c r="D114" s="19" t="s">
        <v>79</v>
      </c>
      <c r="E114" s="19" t="s">
        <v>21</v>
      </c>
      <c r="F114" s="20">
        <v>382</v>
      </c>
      <c r="G114" s="20">
        <v>400</v>
      </c>
      <c r="H114" s="20"/>
    </row>
    <row r="115" spans="1:8" x14ac:dyDescent="0.3">
      <c r="A115" s="19" t="s">
        <v>219</v>
      </c>
      <c r="B115" s="19" t="s">
        <v>78</v>
      </c>
      <c r="C115" s="19" t="s">
        <v>32</v>
      </c>
      <c r="D115" s="19" t="s">
        <v>79</v>
      </c>
      <c r="E115" s="19" t="s">
        <v>21</v>
      </c>
      <c r="F115" s="20">
        <v>1000</v>
      </c>
      <c r="G115" s="20">
        <v>1000</v>
      </c>
      <c r="H115" s="20"/>
    </row>
    <row r="116" spans="1:8" x14ac:dyDescent="0.3">
      <c r="A116" s="19" t="s">
        <v>219</v>
      </c>
      <c r="B116" s="19" t="s">
        <v>78</v>
      </c>
      <c r="C116" s="19" t="s">
        <v>235</v>
      </c>
      <c r="D116" s="19" t="s">
        <v>79</v>
      </c>
      <c r="E116" s="19" t="s">
        <v>21</v>
      </c>
      <c r="F116" s="20">
        <v>4300</v>
      </c>
      <c r="G116" s="20">
        <v>4300</v>
      </c>
      <c r="H116" s="20"/>
    </row>
    <row r="117" spans="1:8" x14ac:dyDescent="0.3">
      <c r="A117" s="19" t="s">
        <v>219</v>
      </c>
      <c r="B117" s="19" t="s">
        <v>78</v>
      </c>
      <c r="C117" s="19" t="s">
        <v>230</v>
      </c>
      <c r="D117" s="19" t="s">
        <v>79</v>
      </c>
      <c r="E117" s="19" t="s">
        <v>21</v>
      </c>
      <c r="F117" s="20">
        <v>180</v>
      </c>
      <c r="G117" s="20">
        <v>200</v>
      </c>
      <c r="H117" s="20"/>
    </row>
    <row r="118" spans="1:8" x14ac:dyDescent="0.3">
      <c r="A118" s="19" t="s">
        <v>219</v>
      </c>
      <c r="B118" s="19" t="s">
        <v>78</v>
      </c>
      <c r="C118" s="19" t="s">
        <v>83</v>
      </c>
      <c r="D118" s="19" t="s">
        <v>79</v>
      </c>
      <c r="E118" s="19" t="s">
        <v>21</v>
      </c>
      <c r="F118" s="20">
        <v>170</v>
      </c>
      <c r="G118" s="20">
        <v>230</v>
      </c>
      <c r="H118" s="20"/>
    </row>
    <row r="119" spans="1:8" x14ac:dyDescent="0.3">
      <c r="A119" s="19" t="s">
        <v>219</v>
      </c>
      <c r="B119" s="19" t="s">
        <v>78</v>
      </c>
      <c r="C119" s="19" t="s">
        <v>35</v>
      </c>
      <c r="D119" s="19" t="s">
        <v>79</v>
      </c>
      <c r="E119" s="19" t="s">
        <v>21</v>
      </c>
      <c r="F119" s="20">
        <v>22800</v>
      </c>
      <c r="G119" s="20">
        <v>23000</v>
      </c>
      <c r="H119" s="20"/>
    </row>
    <row r="120" spans="1:8" x14ac:dyDescent="0.3">
      <c r="A120" s="19" t="s">
        <v>219</v>
      </c>
      <c r="B120" s="19" t="s">
        <v>84</v>
      </c>
      <c r="C120" s="19" t="s">
        <v>44</v>
      </c>
      <c r="D120" s="19" t="s">
        <v>85</v>
      </c>
      <c r="E120" s="19" t="s">
        <v>47</v>
      </c>
      <c r="F120" s="20">
        <v>1400</v>
      </c>
      <c r="G120" s="20">
        <v>2000</v>
      </c>
      <c r="H120" s="20">
        <v>1000</v>
      </c>
    </row>
    <row r="121" spans="1:8" x14ac:dyDescent="0.3">
      <c r="A121" s="19" t="s">
        <v>219</v>
      </c>
      <c r="B121" s="19" t="s">
        <v>84</v>
      </c>
      <c r="C121" s="19" t="s">
        <v>86</v>
      </c>
      <c r="D121" s="19" t="s">
        <v>85</v>
      </c>
      <c r="E121" s="19" t="s">
        <v>47</v>
      </c>
      <c r="F121" s="20">
        <v>1940</v>
      </c>
      <c r="G121" s="20">
        <v>1900</v>
      </c>
      <c r="H121" s="20">
        <v>16000</v>
      </c>
    </row>
    <row r="122" spans="1:8" x14ac:dyDescent="0.3">
      <c r="A122" s="19" t="s">
        <v>219</v>
      </c>
      <c r="B122" s="19" t="s">
        <v>84</v>
      </c>
      <c r="C122" s="19" t="s">
        <v>48</v>
      </c>
      <c r="D122" s="19" t="s">
        <v>85</v>
      </c>
      <c r="E122" s="19" t="s">
        <v>47</v>
      </c>
      <c r="F122" s="20">
        <v>3370</v>
      </c>
      <c r="G122" s="20">
        <v>3000</v>
      </c>
      <c r="H122" s="20">
        <v>27000</v>
      </c>
    </row>
    <row r="123" spans="1:8" x14ac:dyDescent="0.3">
      <c r="A123" s="19" t="s">
        <v>219</v>
      </c>
      <c r="B123" s="19" t="s">
        <v>84</v>
      </c>
      <c r="C123" s="19" t="s">
        <v>28</v>
      </c>
      <c r="D123" s="19" t="s">
        <v>85</v>
      </c>
      <c r="E123" s="19" t="s">
        <v>47</v>
      </c>
      <c r="F123" s="20">
        <v>6100</v>
      </c>
      <c r="G123" s="20">
        <v>7000</v>
      </c>
      <c r="H123" s="20">
        <v>100000</v>
      </c>
    </row>
    <row r="124" spans="1:8" x14ac:dyDescent="0.3">
      <c r="A124" s="19" t="s">
        <v>219</v>
      </c>
      <c r="B124" s="19" t="s">
        <v>84</v>
      </c>
      <c r="C124" s="19" t="s">
        <v>49</v>
      </c>
      <c r="D124" s="19" t="s">
        <v>85</v>
      </c>
      <c r="E124" s="19" t="s">
        <v>47</v>
      </c>
      <c r="F124" s="20">
        <v>3000</v>
      </c>
      <c r="G124" s="20">
        <v>3000</v>
      </c>
      <c r="H124" s="20"/>
    </row>
    <row r="125" spans="1:8" x14ac:dyDescent="0.3">
      <c r="A125" s="19" t="s">
        <v>219</v>
      </c>
      <c r="B125" s="19" t="s">
        <v>84</v>
      </c>
      <c r="C125" s="19" t="s">
        <v>229</v>
      </c>
      <c r="D125" s="19" t="s">
        <v>85</v>
      </c>
      <c r="E125" s="19" t="s">
        <v>47</v>
      </c>
      <c r="F125" s="20">
        <v>9300</v>
      </c>
      <c r="G125" s="20">
        <v>9000</v>
      </c>
      <c r="H125" s="20">
        <v>5700</v>
      </c>
    </row>
    <row r="126" spans="1:8" x14ac:dyDescent="0.3">
      <c r="A126" s="19" t="s">
        <v>219</v>
      </c>
      <c r="B126" s="19" t="s">
        <v>84</v>
      </c>
      <c r="C126" s="19" t="s">
        <v>87</v>
      </c>
      <c r="D126" s="19" t="s">
        <v>85</v>
      </c>
      <c r="E126" s="19" t="s">
        <v>47</v>
      </c>
      <c r="F126" s="20">
        <v>22900</v>
      </c>
      <c r="G126" s="20">
        <v>23000</v>
      </c>
      <c r="H126" s="20">
        <v>110000</v>
      </c>
    </row>
    <row r="127" spans="1:8" x14ac:dyDescent="0.3">
      <c r="A127" s="19" t="s">
        <v>219</v>
      </c>
      <c r="B127" s="19" t="s">
        <v>84</v>
      </c>
      <c r="C127" s="19" t="s">
        <v>230</v>
      </c>
      <c r="D127" s="19" t="s">
        <v>85</v>
      </c>
      <c r="E127" s="19" t="s">
        <v>47</v>
      </c>
      <c r="F127" s="20"/>
      <c r="G127" s="20"/>
      <c r="H127" s="20">
        <v>630</v>
      </c>
    </row>
    <row r="128" spans="1:8" x14ac:dyDescent="0.3">
      <c r="A128" s="19" t="s">
        <v>219</v>
      </c>
      <c r="B128" s="19" t="s">
        <v>84</v>
      </c>
      <c r="C128" s="19" t="s">
        <v>35</v>
      </c>
      <c r="D128" s="19" t="s">
        <v>85</v>
      </c>
      <c r="E128" s="19" t="s">
        <v>47</v>
      </c>
      <c r="F128" s="20">
        <v>49600</v>
      </c>
      <c r="G128" s="20">
        <v>51000</v>
      </c>
      <c r="H128" s="20">
        <v>540000</v>
      </c>
    </row>
    <row r="129" spans="1:8" x14ac:dyDescent="0.3">
      <c r="A129" s="19" t="s">
        <v>219</v>
      </c>
      <c r="B129" s="19" t="s">
        <v>84</v>
      </c>
      <c r="C129" s="19" t="s">
        <v>88</v>
      </c>
      <c r="D129" s="19" t="s">
        <v>85</v>
      </c>
      <c r="E129" s="19" t="s">
        <v>47</v>
      </c>
      <c r="F129" s="20">
        <v>1600</v>
      </c>
      <c r="G129" s="20">
        <v>2000</v>
      </c>
      <c r="H129" s="20">
        <v>78000</v>
      </c>
    </row>
    <row r="130" spans="1:8" x14ac:dyDescent="0.3">
      <c r="A130" s="19" t="s">
        <v>219</v>
      </c>
      <c r="B130" s="19" t="s">
        <v>89</v>
      </c>
      <c r="C130" s="19" t="s">
        <v>22</v>
      </c>
      <c r="D130" s="19" t="s">
        <v>91</v>
      </c>
      <c r="E130" s="19" t="s">
        <v>21</v>
      </c>
      <c r="F130" s="20">
        <v>4780</v>
      </c>
      <c r="G130" s="20">
        <v>3700</v>
      </c>
      <c r="H130" s="20">
        <v>1700000</v>
      </c>
    </row>
    <row r="131" spans="1:8" x14ac:dyDescent="0.3">
      <c r="A131" s="19" t="s">
        <v>219</v>
      </c>
      <c r="B131" s="19" t="s">
        <v>89</v>
      </c>
      <c r="C131" s="19" t="s">
        <v>220</v>
      </c>
      <c r="D131" s="19" t="s">
        <v>91</v>
      </c>
      <c r="E131" s="19" t="s">
        <v>21</v>
      </c>
      <c r="F131" s="20">
        <v>3350</v>
      </c>
      <c r="G131" s="20">
        <v>3500</v>
      </c>
      <c r="H131" s="20">
        <v>220000</v>
      </c>
    </row>
    <row r="132" spans="1:8" x14ac:dyDescent="0.3">
      <c r="A132" s="19" t="s">
        <v>219</v>
      </c>
      <c r="B132" s="19" t="s">
        <v>89</v>
      </c>
      <c r="C132" s="19" t="s">
        <v>25</v>
      </c>
      <c r="D132" s="19" t="s">
        <v>91</v>
      </c>
      <c r="E132" s="19" t="s">
        <v>21</v>
      </c>
      <c r="F132" s="20">
        <v>2000</v>
      </c>
      <c r="G132" s="20">
        <v>2000</v>
      </c>
      <c r="H132" s="20">
        <v>160000</v>
      </c>
    </row>
    <row r="133" spans="1:8" x14ac:dyDescent="0.3">
      <c r="A133" s="19" t="s">
        <v>219</v>
      </c>
      <c r="B133" s="19" t="s">
        <v>89</v>
      </c>
      <c r="C133" s="19" t="s">
        <v>92</v>
      </c>
      <c r="D133" s="19" t="s">
        <v>91</v>
      </c>
      <c r="E133" s="19" t="s">
        <v>21</v>
      </c>
      <c r="F133" s="20">
        <v>3450</v>
      </c>
      <c r="G133" s="20">
        <v>2000</v>
      </c>
      <c r="H133" s="20">
        <v>500000</v>
      </c>
    </row>
    <row r="134" spans="1:8" x14ac:dyDescent="0.3">
      <c r="A134" s="19" t="s">
        <v>219</v>
      </c>
      <c r="B134" s="19" t="s">
        <v>89</v>
      </c>
      <c r="C134" s="19" t="s">
        <v>288</v>
      </c>
      <c r="D134" s="19" t="s">
        <v>91</v>
      </c>
      <c r="E134" s="19" t="s">
        <v>21</v>
      </c>
      <c r="F134" s="20">
        <v>226000</v>
      </c>
      <c r="G134" s="20">
        <v>230000</v>
      </c>
      <c r="H134" s="20">
        <v>6000000</v>
      </c>
    </row>
    <row r="135" spans="1:8" x14ac:dyDescent="0.3">
      <c r="A135" s="19" t="s">
        <v>219</v>
      </c>
      <c r="B135" s="19" t="s">
        <v>89</v>
      </c>
      <c r="C135" s="19" t="s">
        <v>55</v>
      </c>
      <c r="D135" s="19" t="s">
        <v>91</v>
      </c>
      <c r="E135" s="19" t="s">
        <v>21</v>
      </c>
      <c r="F135" s="20">
        <v>35000</v>
      </c>
      <c r="G135" s="20">
        <v>44000</v>
      </c>
      <c r="H135" s="20">
        <v>760000</v>
      </c>
    </row>
    <row r="136" spans="1:8" x14ac:dyDescent="0.3">
      <c r="A136" s="19" t="s">
        <v>219</v>
      </c>
      <c r="B136" s="19" t="s">
        <v>89</v>
      </c>
      <c r="C136" s="19" t="s">
        <v>61</v>
      </c>
      <c r="D136" s="19" t="s">
        <v>91</v>
      </c>
      <c r="E136" s="19" t="s">
        <v>21</v>
      </c>
      <c r="F136" s="20">
        <v>3100</v>
      </c>
      <c r="G136" s="20">
        <v>3900</v>
      </c>
      <c r="H136" s="20">
        <v>100000</v>
      </c>
    </row>
    <row r="137" spans="1:8" x14ac:dyDescent="0.3">
      <c r="A137" s="19" t="s">
        <v>219</v>
      </c>
      <c r="B137" s="19" t="s">
        <v>89</v>
      </c>
      <c r="C137" s="19" t="s">
        <v>49</v>
      </c>
      <c r="D137" s="19" t="s">
        <v>91</v>
      </c>
      <c r="E137" s="19" t="s">
        <v>21</v>
      </c>
      <c r="F137" s="20">
        <v>7780</v>
      </c>
      <c r="G137" s="20">
        <v>9100</v>
      </c>
      <c r="H137" s="20">
        <v>780000</v>
      </c>
    </row>
    <row r="138" spans="1:8" x14ac:dyDescent="0.3">
      <c r="A138" s="19" t="s">
        <v>219</v>
      </c>
      <c r="B138" s="19" t="s">
        <v>89</v>
      </c>
      <c r="C138" s="19" t="s">
        <v>236</v>
      </c>
      <c r="D138" s="19" t="s">
        <v>91</v>
      </c>
      <c r="E138" s="19" t="s">
        <v>21</v>
      </c>
      <c r="F138" s="20">
        <v>2630</v>
      </c>
      <c r="G138" s="20">
        <v>2800</v>
      </c>
      <c r="H138" s="20">
        <v>84000</v>
      </c>
    </row>
    <row r="139" spans="1:8" x14ac:dyDescent="0.3">
      <c r="A139" s="19" t="s">
        <v>219</v>
      </c>
      <c r="B139" s="19" t="s">
        <v>89</v>
      </c>
      <c r="C139" s="19" t="s">
        <v>94</v>
      </c>
      <c r="D139" s="19" t="s">
        <v>91</v>
      </c>
      <c r="E139" s="19" t="s">
        <v>21</v>
      </c>
      <c r="F139" s="20">
        <v>3100</v>
      </c>
      <c r="G139" s="20">
        <v>3700</v>
      </c>
      <c r="H139" s="20">
        <v>260000</v>
      </c>
    </row>
    <row r="140" spans="1:8" x14ac:dyDescent="0.3">
      <c r="A140" s="19" t="s">
        <v>219</v>
      </c>
      <c r="B140" s="19" t="s">
        <v>89</v>
      </c>
      <c r="C140" s="19" t="s">
        <v>229</v>
      </c>
      <c r="D140" s="19" t="s">
        <v>91</v>
      </c>
      <c r="E140" s="19" t="s">
        <v>21</v>
      </c>
      <c r="F140" s="20">
        <v>2200</v>
      </c>
      <c r="G140" s="20">
        <v>1900</v>
      </c>
      <c r="H140" s="20">
        <v>91000</v>
      </c>
    </row>
    <row r="141" spans="1:8" x14ac:dyDescent="0.3">
      <c r="A141" s="19" t="s">
        <v>219</v>
      </c>
      <c r="B141" s="19" t="s">
        <v>89</v>
      </c>
      <c r="C141" s="19" t="s">
        <v>32</v>
      </c>
      <c r="D141" s="19" t="s">
        <v>91</v>
      </c>
      <c r="E141" s="19" t="s">
        <v>21</v>
      </c>
      <c r="F141" s="20">
        <v>8000</v>
      </c>
      <c r="G141" s="20">
        <v>7700</v>
      </c>
      <c r="H141" s="20">
        <v>800000</v>
      </c>
    </row>
    <row r="142" spans="1:8" x14ac:dyDescent="0.3">
      <c r="A142" s="19" t="s">
        <v>219</v>
      </c>
      <c r="B142" s="19" t="s">
        <v>89</v>
      </c>
      <c r="C142" s="19" t="s">
        <v>230</v>
      </c>
      <c r="D142" s="19" t="s">
        <v>90</v>
      </c>
      <c r="E142" s="19" t="s">
        <v>21</v>
      </c>
      <c r="F142" s="20">
        <v>200</v>
      </c>
      <c r="G142" s="20">
        <v>300</v>
      </c>
      <c r="H142" s="20">
        <v>70000</v>
      </c>
    </row>
    <row r="143" spans="1:8" x14ac:dyDescent="0.3">
      <c r="A143" s="19" t="s">
        <v>219</v>
      </c>
      <c r="B143" s="19" t="s">
        <v>89</v>
      </c>
      <c r="C143" s="19" t="s">
        <v>35</v>
      </c>
      <c r="D143" s="19" t="s">
        <v>91</v>
      </c>
      <c r="E143" s="19" t="s">
        <v>21</v>
      </c>
      <c r="F143" s="20">
        <v>302000</v>
      </c>
      <c r="G143" s="20">
        <v>310000</v>
      </c>
      <c r="H143" s="20">
        <v>12000000</v>
      </c>
    </row>
    <row r="144" spans="1:8" x14ac:dyDescent="0.3">
      <c r="A144" s="19" t="s">
        <v>219</v>
      </c>
      <c r="B144" s="19" t="s">
        <v>95</v>
      </c>
      <c r="C144" s="19" t="s">
        <v>22</v>
      </c>
      <c r="D144" s="19" t="s">
        <v>96</v>
      </c>
      <c r="E144" s="19" t="s">
        <v>47</v>
      </c>
      <c r="F144" s="20">
        <v>765</v>
      </c>
      <c r="G144" s="20">
        <v>730</v>
      </c>
      <c r="H144" s="20">
        <v>100000</v>
      </c>
    </row>
    <row r="145" spans="1:8" x14ac:dyDescent="0.3">
      <c r="A145" s="19" t="s">
        <v>219</v>
      </c>
      <c r="B145" s="19" t="s">
        <v>95</v>
      </c>
      <c r="C145" s="19" t="s">
        <v>220</v>
      </c>
      <c r="D145" s="19" t="s">
        <v>96</v>
      </c>
      <c r="E145" s="19" t="s">
        <v>47</v>
      </c>
      <c r="F145" s="20">
        <v>515</v>
      </c>
      <c r="G145" s="20">
        <v>500</v>
      </c>
      <c r="H145" s="20">
        <v>7000</v>
      </c>
    </row>
    <row r="146" spans="1:8" x14ac:dyDescent="0.3">
      <c r="A146" s="19" t="s">
        <v>219</v>
      </c>
      <c r="B146" s="19" t="s">
        <v>237</v>
      </c>
      <c r="C146" s="19" t="s">
        <v>71</v>
      </c>
      <c r="D146" s="19" t="s">
        <v>96</v>
      </c>
      <c r="E146" s="19" t="s">
        <v>47</v>
      </c>
      <c r="F146" s="20">
        <v>5510</v>
      </c>
      <c r="G146" s="20">
        <v>5300</v>
      </c>
      <c r="H146" s="20">
        <v>180000</v>
      </c>
    </row>
    <row r="147" spans="1:8" x14ac:dyDescent="0.3">
      <c r="A147" s="19" t="s">
        <v>219</v>
      </c>
      <c r="B147" s="19" t="s">
        <v>95</v>
      </c>
      <c r="C147" s="19" t="s">
        <v>25</v>
      </c>
      <c r="D147" s="19" t="s">
        <v>96</v>
      </c>
      <c r="E147" s="19" t="s">
        <v>47</v>
      </c>
      <c r="F147" s="20">
        <v>1840</v>
      </c>
      <c r="G147" s="20">
        <v>1800</v>
      </c>
      <c r="H147" s="20">
        <v>41000</v>
      </c>
    </row>
    <row r="148" spans="1:8" x14ac:dyDescent="0.3">
      <c r="A148" s="19" t="s">
        <v>219</v>
      </c>
      <c r="B148" s="19" t="s">
        <v>95</v>
      </c>
      <c r="C148" s="19" t="s">
        <v>288</v>
      </c>
      <c r="D148" s="19" t="s">
        <v>96</v>
      </c>
      <c r="E148" s="19" t="s">
        <v>47</v>
      </c>
      <c r="F148" s="20">
        <v>2990</v>
      </c>
      <c r="G148" s="20">
        <v>3200</v>
      </c>
      <c r="H148" s="20">
        <v>80000</v>
      </c>
    </row>
    <row r="149" spans="1:8" x14ac:dyDescent="0.3">
      <c r="A149" s="19" t="s">
        <v>219</v>
      </c>
      <c r="B149" s="19" t="s">
        <v>95</v>
      </c>
      <c r="C149" s="19" t="s">
        <v>52</v>
      </c>
      <c r="D149" s="19" t="s">
        <v>96</v>
      </c>
      <c r="E149" s="19" t="s">
        <v>47</v>
      </c>
      <c r="F149" s="20"/>
      <c r="G149" s="20"/>
      <c r="H149" s="20"/>
    </row>
    <row r="150" spans="1:8" x14ac:dyDescent="0.3">
      <c r="A150" s="19" t="s">
        <v>219</v>
      </c>
      <c r="B150" s="19" t="s">
        <v>95</v>
      </c>
      <c r="C150" s="19" t="s">
        <v>48</v>
      </c>
      <c r="D150" s="19" t="s">
        <v>96</v>
      </c>
      <c r="E150" s="19" t="s">
        <v>47</v>
      </c>
      <c r="F150" s="20">
        <v>27</v>
      </c>
      <c r="G150" s="20">
        <v>23</v>
      </c>
      <c r="H150" s="20">
        <v>2200</v>
      </c>
    </row>
    <row r="151" spans="1:8" x14ac:dyDescent="0.3">
      <c r="A151" s="19" t="s">
        <v>219</v>
      </c>
      <c r="B151" s="19" t="s">
        <v>95</v>
      </c>
      <c r="C151" s="19" t="s">
        <v>55</v>
      </c>
      <c r="D151" s="19" t="s">
        <v>96</v>
      </c>
      <c r="E151" s="19" t="s">
        <v>47</v>
      </c>
      <c r="F151" s="20">
        <v>1010</v>
      </c>
      <c r="G151" s="20">
        <v>710</v>
      </c>
      <c r="H151" s="20">
        <v>21000</v>
      </c>
    </row>
    <row r="152" spans="1:8" x14ac:dyDescent="0.3">
      <c r="A152" s="19" t="s">
        <v>219</v>
      </c>
      <c r="B152" s="19" t="s">
        <v>95</v>
      </c>
      <c r="C152" s="19" t="s">
        <v>39</v>
      </c>
      <c r="D152" s="19" t="s">
        <v>96</v>
      </c>
      <c r="E152" s="19" t="s">
        <v>47</v>
      </c>
      <c r="F152" s="20"/>
      <c r="G152" s="20"/>
      <c r="H152" s="20"/>
    </row>
    <row r="153" spans="1:8" x14ac:dyDescent="0.3">
      <c r="A153" s="19" t="s">
        <v>219</v>
      </c>
      <c r="B153" s="19" t="s">
        <v>95</v>
      </c>
      <c r="C153" s="19" t="s">
        <v>28</v>
      </c>
      <c r="D153" s="19" t="s">
        <v>96</v>
      </c>
      <c r="E153" s="19" t="s">
        <v>47</v>
      </c>
      <c r="F153" s="20">
        <v>724</v>
      </c>
      <c r="G153" s="20">
        <v>710</v>
      </c>
      <c r="H153" s="20">
        <v>20000</v>
      </c>
    </row>
    <row r="154" spans="1:8" x14ac:dyDescent="0.3">
      <c r="A154" s="19" t="s">
        <v>219</v>
      </c>
      <c r="B154" s="19" t="s">
        <v>95</v>
      </c>
      <c r="C154" s="19" t="s">
        <v>30</v>
      </c>
      <c r="D154" s="19" t="s">
        <v>96</v>
      </c>
      <c r="E154" s="19" t="s">
        <v>47</v>
      </c>
      <c r="F154" s="20">
        <v>717</v>
      </c>
      <c r="G154" s="20">
        <v>690</v>
      </c>
      <c r="H154" s="20">
        <v>53000</v>
      </c>
    </row>
    <row r="155" spans="1:8" x14ac:dyDescent="0.3">
      <c r="A155" s="19" t="s">
        <v>219</v>
      </c>
      <c r="B155" s="19" t="s">
        <v>95</v>
      </c>
      <c r="C155" s="19" t="s">
        <v>49</v>
      </c>
      <c r="D155" s="19" t="s">
        <v>96</v>
      </c>
      <c r="E155" s="19" t="s">
        <v>47</v>
      </c>
      <c r="F155" s="20">
        <v>2850</v>
      </c>
      <c r="G155" s="20">
        <v>3000</v>
      </c>
      <c r="H155" s="20">
        <v>210000</v>
      </c>
    </row>
    <row r="156" spans="1:8" x14ac:dyDescent="0.3">
      <c r="A156" s="19" t="s">
        <v>219</v>
      </c>
      <c r="B156" s="19" t="s">
        <v>95</v>
      </c>
      <c r="C156" s="19" t="s">
        <v>41</v>
      </c>
      <c r="D156" s="19" t="s">
        <v>96</v>
      </c>
      <c r="E156" s="19" t="s">
        <v>47</v>
      </c>
      <c r="F156" s="20">
        <v>2740</v>
      </c>
      <c r="G156" s="20">
        <v>2700</v>
      </c>
      <c r="H156" s="20">
        <v>85000</v>
      </c>
    </row>
    <row r="157" spans="1:8" x14ac:dyDescent="0.3">
      <c r="A157" s="19" t="s">
        <v>219</v>
      </c>
      <c r="B157" s="19" t="s">
        <v>95</v>
      </c>
      <c r="C157" s="19" t="s">
        <v>82</v>
      </c>
      <c r="D157" s="19" t="s">
        <v>96</v>
      </c>
      <c r="E157" s="19" t="s">
        <v>47</v>
      </c>
      <c r="F157" s="20">
        <v>400</v>
      </c>
      <c r="G157" s="20">
        <v>410</v>
      </c>
      <c r="H157" s="20">
        <v>33000</v>
      </c>
    </row>
    <row r="158" spans="1:8" x14ac:dyDescent="0.3">
      <c r="A158" s="19" t="s">
        <v>219</v>
      </c>
      <c r="B158" s="19" t="s">
        <v>95</v>
      </c>
      <c r="C158" s="19" t="s">
        <v>32</v>
      </c>
      <c r="D158" s="19" t="s">
        <v>96</v>
      </c>
      <c r="E158" s="19" t="s">
        <v>47</v>
      </c>
      <c r="F158" s="20">
        <v>1020</v>
      </c>
      <c r="G158" s="20">
        <v>1300</v>
      </c>
      <c r="H158" s="20">
        <v>80000</v>
      </c>
    </row>
    <row r="159" spans="1:8" x14ac:dyDescent="0.3">
      <c r="A159" s="19" t="s">
        <v>219</v>
      </c>
      <c r="B159" s="19" t="s">
        <v>95</v>
      </c>
      <c r="C159" s="19" t="s">
        <v>235</v>
      </c>
      <c r="D159" s="19" t="s">
        <v>96</v>
      </c>
      <c r="E159" s="19" t="s">
        <v>47</v>
      </c>
      <c r="F159" s="20"/>
      <c r="G159" s="20"/>
      <c r="H159" s="20"/>
    </row>
    <row r="160" spans="1:8" x14ac:dyDescent="0.3">
      <c r="A160" s="19" t="s">
        <v>219</v>
      </c>
      <c r="B160" s="19" t="s">
        <v>95</v>
      </c>
      <c r="C160" s="19" t="s">
        <v>230</v>
      </c>
      <c r="D160" s="19" t="s">
        <v>96</v>
      </c>
      <c r="E160" s="19" t="s">
        <v>47</v>
      </c>
      <c r="F160" s="20">
        <v>1050</v>
      </c>
      <c r="G160" s="20">
        <v>1000</v>
      </c>
      <c r="H160" s="20">
        <v>47000</v>
      </c>
    </row>
    <row r="161" spans="1:8" x14ac:dyDescent="0.3">
      <c r="A161" s="19" t="s">
        <v>219</v>
      </c>
      <c r="B161" s="19" t="s">
        <v>95</v>
      </c>
      <c r="C161" s="19" t="s">
        <v>35</v>
      </c>
      <c r="D161" s="19" t="s">
        <v>96</v>
      </c>
      <c r="E161" s="19" t="s">
        <v>47</v>
      </c>
      <c r="F161" s="20">
        <v>23000</v>
      </c>
      <c r="G161" s="20">
        <v>23000</v>
      </c>
      <c r="H161" s="20">
        <v>980000</v>
      </c>
    </row>
    <row r="162" spans="1:8" x14ac:dyDescent="0.3">
      <c r="A162" s="19" t="s">
        <v>219</v>
      </c>
      <c r="B162" s="19" t="s">
        <v>95</v>
      </c>
      <c r="C162" s="19" t="s">
        <v>97</v>
      </c>
      <c r="D162" s="19" t="s">
        <v>96</v>
      </c>
      <c r="E162" s="19" t="s">
        <v>47</v>
      </c>
      <c r="F162" s="20">
        <v>823</v>
      </c>
      <c r="G162" s="20">
        <v>940</v>
      </c>
      <c r="H162" s="20">
        <v>21000</v>
      </c>
    </row>
    <row r="163" spans="1:8" x14ac:dyDescent="0.3">
      <c r="A163" s="19" t="s">
        <v>219</v>
      </c>
      <c r="B163" s="19" t="s">
        <v>98</v>
      </c>
      <c r="C163" s="19" t="s">
        <v>70</v>
      </c>
      <c r="D163" s="19" t="s">
        <v>90</v>
      </c>
      <c r="E163" s="19" t="s">
        <v>47</v>
      </c>
      <c r="F163" s="20">
        <v>185</v>
      </c>
      <c r="G163" s="20">
        <v>190</v>
      </c>
      <c r="H163" s="20"/>
    </row>
    <row r="164" spans="1:8" x14ac:dyDescent="0.3">
      <c r="A164" s="19" t="s">
        <v>219</v>
      </c>
      <c r="B164" s="19" t="s">
        <v>98</v>
      </c>
      <c r="C164" s="19" t="s">
        <v>25</v>
      </c>
      <c r="D164" s="19" t="s">
        <v>90</v>
      </c>
      <c r="E164" s="19" t="s">
        <v>47</v>
      </c>
      <c r="F164" s="20">
        <v>140</v>
      </c>
      <c r="G164" s="20">
        <v>140</v>
      </c>
      <c r="H164" s="20">
        <v>120000</v>
      </c>
    </row>
    <row r="165" spans="1:8" x14ac:dyDescent="0.3">
      <c r="A165" s="19" t="s">
        <v>219</v>
      </c>
      <c r="B165" s="19" t="s">
        <v>98</v>
      </c>
      <c r="C165" s="19" t="s">
        <v>100</v>
      </c>
      <c r="D165" s="19" t="s">
        <v>90</v>
      </c>
      <c r="E165" s="19" t="s">
        <v>47</v>
      </c>
      <c r="F165" s="20">
        <v>380</v>
      </c>
      <c r="G165" s="20">
        <v>380</v>
      </c>
      <c r="H165" s="20"/>
    </row>
    <row r="166" spans="1:8" x14ac:dyDescent="0.3">
      <c r="A166" s="19" t="s">
        <v>219</v>
      </c>
      <c r="B166" s="19" t="s">
        <v>98</v>
      </c>
      <c r="C166" s="19" t="s">
        <v>101</v>
      </c>
      <c r="D166" s="19" t="s">
        <v>90</v>
      </c>
      <c r="E166" s="19" t="s">
        <v>47</v>
      </c>
      <c r="F166" s="20">
        <v>250</v>
      </c>
      <c r="G166" s="20">
        <v>250</v>
      </c>
      <c r="H166" s="20"/>
    </row>
    <row r="167" spans="1:8" x14ac:dyDescent="0.3">
      <c r="A167" s="19" t="s">
        <v>219</v>
      </c>
      <c r="B167" s="19" t="s">
        <v>98</v>
      </c>
      <c r="C167" s="19" t="s">
        <v>52</v>
      </c>
      <c r="D167" s="19" t="s">
        <v>90</v>
      </c>
      <c r="E167" s="19" t="s">
        <v>47</v>
      </c>
      <c r="F167" s="20">
        <v>50</v>
      </c>
      <c r="G167" s="20">
        <v>50</v>
      </c>
      <c r="H167" s="20"/>
    </row>
    <row r="168" spans="1:8" x14ac:dyDescent="0.3">
      <c r="A168" s="19" t="s">
        <v>219</v>
      </c>
      <c r="B168" s="19" t="s">
        <v>98</v>
      </c>
      <c r="C168" s="19" t="s">
        <v>238</v>
      </c>
      <c r="D168" s="19" t="s">
        <v>90</v>
      </c>
      <c r="E168" s="19" t="s">
        <v>47</v>
      </c>
      <c r="F168" s="20">
        <v>40</v>
      </c>
      <c r="G168" s="20">
        <v>40</v>
      </c>
      <c r="H168" s="20"/>
    </row>
    <row r="169" spans="1:8" x14ac:dyDescent="0.3">
      <c r="A169" s="19" t="s">
        <v>219</v>
      </c>
      <c r="B169" s="19" t="s">
        <v>98</v>
      </c>
      <c r="C169" s="19" t="s">
        <v>30</v>
      </c>
      <c r="D169" s="19" t="s">
        <v>90</v>
      </c>
      <c r="E169" s="19" t="s">
        <v>47</v>
      </c>
      <c r="F169" s="20">
        <v>100</v>
      </c>
      <c r="G169" s="20">
        <v>100</v>
      </c>
      <c r="H169" s="20"/>
    </row>
    <row r="170" spans="1:8" x14ac:dyDescent="0.3">
      <c r="A170" s="19" t="s">
        <v>219</v>
      </c>
      <c r="B170" s="19" t="s">
        <v>98</v>
      </c>
      <c r="C170" s="19" t="s">
        <v>163</v>
      </c>
      <c r="D170" s="19" t="s">
        <v>90</v>
      </c>
      <c r="E170" s="19" t="s">
        <v>47</v>
      </c>
      <c r="F170" s="20">
        <v>40</v>
      </c>
      <c r="G170" s="20">
        <v>40</v>
      </c>
      <c r="H170" s="20"/>
    </row>
    <row r="171" spans="1:8" x14ac:dyDescent="0.3">
      <c r="A171" s="19" t="s">
        <v>219</v>
      </c>
      <c r="B171" s="19" t="s">
        <v>98</v>
      </c>
      <c r="C171" s="19" t="s">
        <v>49</v>
      </c>
      <c r="D171" s="19" t="s">
        <v>90</v>
      </c>
      <c r="E171" s="19" t="s">
        <v>47</v>
      </c>
      <c r="F171" s="20">
        <v>152</v>
      </c>
      <c r="G171" s="20">
        <v>160</v>
      </c>
      <c r="H171" s="20"/>
    </row>
    <row r="172" spans="1:8" x14ac:dyDescent="0.3">
      <c r="A172" s="19" t="s">
        <v>219</v>
      </c>
      <c r="B172" s="19" t="s">
        <v>98</v>
      </c>
      <c r="C172" s="19" t="s">
        <v>41</v>
      </c>
      <c r="D172" s="19" t="s">
        <v>90</v>
      </c>
      <c r="E172" s="19" t="s">
        <v>47</v>
      </c>
      <c r="F172" s="20">
        <v>99</v>
      </c>
      <c r="G172" s="20">
        <v>99</v>
      </c>
      <c r="H172" s="20"/>
    </row>
    <row r="173" spans="1:8" x14ac:dyDescent="0.3">
      <c r="A173" s="19" t="s">
        <v>219</v>
      </c>
      <c r="B173" s="19" t="s">
        <v>98</v>
      </c>
      <c r="C173" s="19" t="s">
        <v>229</v>
      </c>
      <c r="D173" s="19" t="s">
        <v>90</v>
      </c>
      <c r="E173" s="19" t="s">
        <v>47</v>
      </c>
      <c r="F173" s="20">
        <v>150</v>
      </c>
      <c r="G173" s="20">
        <v>150</v>
      </c>
      <c r="H173" s="20">
        <v>44000</v>
      </c>
    </row>
    <row r="174" spans="1:8" x14ac:dyDescent="0.3">
      <c r="A174" s="19" t="s">
        <v>219</v>
      </c>
      <c r="B174" s="19" t="s">
        <v>98</v>
      </c>
      <c r="C174" s="19" t="s">
        <v>32</v>
      </c>
      <c r="D174" s="19" t="s">
        <v>90</v>
      </c>
      <c r="E174" s="19" t="s">
        <v>47</v>
      </c>
      <c r="F174" s="20">
        <v>50</v>
      </c>
      <c r="G174" s="20">
        <v>50</v>
      </c>
      <c r="H174" s="20"/>
    </row>
    <row r="175" spans="1:8" x14ac:dyDescent="0.3">
      <c r="A175" s="19" t="s">
        <v>219</v>
      </c>
      <c r="B175" s="19" t="s">
        <v>98</v>
      </c>
      <c r="C175" s="19" t="s">
        <v>235</v>
      </c>
      <c r="D175" s="19" t="s">
        <v>90</v>
      </c>
      <c r="E175" s="19" t="s">
        <v>47</v>
      </c>
      <c r="F175" s="20">
        <v>120</v>
      </c>
      <c r="G175" s="20">
        <v>120</v>
      </c>
      <c r="H175" s="20">
        <v>2200</v>
      </c>
    </row>
    <row r="176" spans="1:8" x14ac:dyDescent="0.3">
      <c r="A176" s="19" t="s">
        <v>219</v>
      </c>
      <c r="B176" s="19" t="s">
        <v>98</v>
      </c>
      <c r="C176" s="19" t="s">
        <v>58</v>
      </c>
      <c r="D176" s="19" t="s">
        <v>90</v>
      </c>
      <c r="E176" s="19" t="s">
        <v>47</v>
      </c>
      <c r="F176" s="20">
        <v>50</v>
      </c>
      <c r="G176" s="20">
        <v>50</v>
      </c>
      <c r="H176" s="20">
        <v>57000</v>
      </c>
    </row>
    <row r="177" spans="1:8" x14ac:dyDescent="0.3">
      <c r="A177" s="19" t="s">
        <v>219</v>
      </c>
      <c r="B177" s="19" t="s">
        <v>98</v>
      </c>
      <c r="C177" s="19" t="s">
        <v>230</v>
      </c>
      <c r="D177" s="19" t="s">
        <v>90</v>
      </c>
      <c r="E177" s="19" t="s">
        <v>47</v>
      </c>
      <c r="F177" s="20">
        <v>721</v>
      </c>
      <c r="G177" s="20">
        <v>720</v>
      </c>
      <c r="H177" s="20">
        <v>250000</v>
      </c>
    </row>
    <row r="178" spans="1:8" x14ac:dyDescent="0.3">
      <c r="A178" s="19" t="s">
        <v>219</v>
      </c>
      <c r="B178" s="19" t="s">
        <v>98</v>
      </c>
      <c r="C178" s="19" t="s">
        <v>35</v>
      </c>
      <c r="D178" s="19" t="s">
        <v>90</v>
      </c>
      <c r="E178" s="19" t="s">
        <v>47</v>
      </c>
      <c r="F178" s="20">
        <v>2530</v>
      </c>
      <c r="G178" s="20">
        <v>2500</v>
      </c>
      <c r="H178" s="20"/>
    </row>
    <row r="179" spans="1:8" x14ac:dyDescent="0.3">
      <c r="A179" s="19" t="s">
        <v>219</v>
      </c>
      <c r="B179" s="19" t="s">
        <v>102</v>
      </c>
      <c r="C179" s="19" t="s">
        <v>44</v>
      </c>
      <c r="D179" s="19" t="s">
        <v>90</v>
      </c>
      <c r="E179" s="19" t="s">
        <v>47</v>
      </c>
      <c r="F179" s="20">
        <v>620</v>
      </c>
      <c r="G179" s="20">
        <v>620</v>
      </c>
      <c r="H179" s="20">
        <v>150000</v>
      </c>
    </row>
    <row r="180" spans="1:8" x14ac:dyDescent="0.3">
      <c r="A180" s="19" t="s">
        <v>219</v>
      </c>
      <c r="B180" s="19" t="s">
        <v>102</v>
      </c>
      <c r="C180" s="19" t="s">
        <v>25</v>
      </c>
      <c r="D180" s="19" t="s">
        <v>90</v>
      </c>
      <c r="E180" s="19" t="s">
        <v>47</v>
      </c>
      <c r="F180" s="20">
        <v>3700</v>
      </c>
      <c r="G180" s="20">
        <v>3700</v>
      </c>
      <c r="H180" s="20">
        <v>730000</v>
      </c>
    </row>
    <row r="181" spans="1:8" x14ac:dyDescent="0.3">
      <c r="A181" s="19" t="s">
        <v>219</v>
      </c>
      <c r="B181" s="19" t="s">
        <v>102</v>
      </c>
      <c r="C181" s="19" t="s">
        <v>48</v>
      </c>
      <c r="D181" s="19" t="s">
        <v>90</v>
      </c>
      <c r="E181" s="19" t="s">
        <v>47</v>
      </c>
      <c r="F181" s="20">
        <v>6000</v>
      </c>
      <c r="G181" s="20">
        <v>6000</v>
      </c>
      <c r="H181" s="20">
        <v>320000</v>
      </c>
    </row>
    <row r="182" spans="1:8" x14ac:dyDescent="0.3">
      <c r="A182" s="19" t="s">
        <v>219</v>
      </c>
      <c r="B182" s="19" t="s">
        <v>102</v>
      </c>
      <c r="C182" s="19" t="s">
        <v>27</v>
      </c>
      <c r="D182" s="19" t="s">
        <v>90</v>
      </c>
      <c r="E182" s="19" t="s">
        <v>47</v>
      </c>
      <c r="F182" s="20">
        <v>3900</v>
      </c>
      <c r="G182" s="20">
        <v>3900</v>
      </c>
      <c r="H182" s="20">
        <v>130000</v>
      </c>
    </row>
    <row r="183" spans="1:8" x14ac:dyDescent="0.3">
      <c r="A183" s="19" t="s">
        <v>219</v>
      </c>
      <c r="B183" s="19" t="s">
        <v>102</v>
      </c>
      <c r="C183" s="19" t="s">
        <v>103</v>
      </c>
      <c r="D183" s="19" t="s">
        <v>90</v>
      </c>
      <c r="E183" s="19" t="s">
        <v>47</v>
      </c>
      <c r="F183" s="20">
        <v>2200</v>
      </c>
      <c r="G183" s="20">
        <v>2200</v>
      </c>
      <c r="H183" s="20"/>
    </row>
    <row r="184" spans="1:8" x14ac:dyDescent="0.3">
      <c r="A184" s="19" t="s">
        <v>219</v>
      </c>
      <c r="B184" s="19" t="s">
        <v>102</v>
      </c>
      <c r="C184" s="19" t="s">
        <v>40</v>
      </c>
      <c r="D184" s="19" t="s">
        <v>90</v>
      </c>
      <c r="E184" s="19" t="s">
        <v>47</v>
      </c>
      <c r="F184" s="20">
        <v>720</v>
      </c>
      <c r="G184" s="20">
        <v>720</v>
      </c>
      <c r="H184" s="20"/>
    </row>
    <row r="185" spans="1:8" x14ac:dyDescent="0.3">
      <c r="A185" s="19" t="s">
        <v>219</v>
      </c>
      <c r="B185" s="19" t="s">
        <v>102</v>
      </c>
      <c r="C185" s="19" t="s">
        <v>49</v>
      </c>
      <c r="D185" s="19" t="s">
        <v>90</v>
      </c>
      <c r="E185" s="19" t="s">
        <v>47</v>
      </c>
      <c r="F185" s="20">
        <v>3400</v>
      </c>
      <c r="G185" s="20">
        <v>3400</v>
      </c>
      <c r="H185" s="20"/>
    </row>
    <row r="186" spans="1:8" x14ac:dyDescent="0.3">
      <c r="A186" s="19" t="s">
        <v>219</v>
      </c>
      <c r="B186" s="19" t="s">
        <v>102</v>
      </c>
      <c r="C186" s="19" t="s">
        <v>229</v>
      </c>
      <c r="D186" s="19" t="s">
        <v>90</v>
      </c>
      <c r="E186" s="19" t="s">
        <v>47</v>
      </c>
      <c r="F186" s="20">
        <v>5274</v>
      </c>
      <c r="G186" s="20">
        <v>5300</v>
      </c>
      <c r="H186" s="20">
        <v>720000</v>
      </c>
    </row>
    <row r="187" spans="1:8" x14ac:dyDescent="0.3">
      <c r="A187" s="19" t="s">
        <v>219</v>
      </c>
      <c r="B187" s="19" t="s">
        <v>102</v>
      </c>
      <c r="C187" s="19" t="s">
        <v>32</v>
      </c>
      <c r="D187" s="19" t="s">
        <v>90</v>
      </c>
      <c r="E187" s="19" t="s">
        <v>47</v>
      </c>
      <c r="F187" s="20">
        <v>650</v>
      </c>
      <c r="G187" s="20">
        <v>650</v>
      </c>
      <c r="H187" s="20"/>
    </row>
    <row r="188" spans="1:8" x14ac:dyDescent="0.3">
      <c r="A188" s="19" t="s">
        <v>219</v>
      </c>
      <c r="B188" s="19" t="s">
        <v>102</v>
      </c>
      <c r="C188" s="19" t="s">
        <v>57</v>
      </c>
      <c r="D188" s="19" t="s">
        <v>90</v>
      </c>
      <c r="E188" s="19" t="s">
        <v>47</v>
      </c>
      <c r="F188" s="20">
        <v>650</v>
      </c>
      <c r="G188" s="20">
        <v>650</v>
      </c>
      <c r="H188" s="20"/>
    </row>
    <row r="189" spans="1:8" x14ac:dyDescent="0.3">
      <c r="A189" s="19" t="s">
        <v>219</v>
      </c>
      <c r="B189" s="19" t="s">
        <v>102</v>
      </c>
      <c r="C189" s="19" t="s">
        <v>235</v>
      </c>
      <c r="D189" s="19" t="s">
        <v>90</v>
      </c>
      <c r="E189" s="19" t="s">
        <v>47</v>
      </c>
      <c r="F189" s="20">
        <v>990</v>
      </c>
      <c r="G189" s="20">
        <v>1000</v>
      </c>
      <c r="H189" s="20">
        <v>200000</v>
      </c>
    </row>
    <row r="190" spans="1:8" x14ac:dyDescent="0.3">
      <c r="A190" s="19" t="s">
        <v>219</v>
      </c>
      <c r="B190" s="19" t="s">
        <v>102</v>
      </c>
      <c r="C190" s="19" t="s">
        <v>239</v>
      </c>
      <c r="D190" s="19" t="s">
        <v>90</v>
      </c>
      <c r="E190" s="19" t="s">
        <v>47</v>
      </c>
      <c r="F190" s="20">
        <v>620</v>
      </c>
      <c r="G190" s="20">
        <v>620</v>
      </c>
      <c r="H190" s="20"/>
    </row>
    <row r="191" spans="1:8" x14ac:dyDescent="0.3">
      <c r="A191" s="19" t="s">
        <v>219</v>
      </c>
      <c r="B191" s="19" t="s">
        <v>102</v>
      </c>
      <c r="C191" s="19" t="s">
        <v>104</v>
      </c>
      <c r="D191" s="19" t="s">
        <v>90</v>
      </c>
      <c r="E191" s="19" t="s">
        <v>47</v>
      </c>
      <c r="F191" s="20">
        <v>1900</v>
      </c>
      <c r="G191" s="20">
        <v>1900</v>
      </c>
      <c r="H191" s="20">
        <v>45000</v>
      </c>
    </row>
    <row r="192" spans="1:8" x14ac:dyDescent="0.3">
      <c r="A192" s="19" t="s">
        <v>219</v>
      </c>
      <c r="B192" s="19" t="s">
        <v>102</v>
      </c>
      <c r="C192" s="19" t="s">
        <v>230</v>
      </c>
      <c r="D192" s="19" t="s">
        <v>90</v>
      </c>
      <c r="E192" s="19" t="s">
        <v>47</v>
      </c>
      <c r="F192" s="20">
        <v>450</v>
      </c>
      <c r="G192" s="20">
        <v>440</v>
      </c>
      <c r="H192" s="20"/>
    </row>
    <row r="193" spans="1:8" x14ac:dyDescent="0.3">
      <c r="A193" s="19" t="s">
        <v>219</v>
      </c>
      <c r="B193" s="19" t="s">
        <v>102</v>
      </c>
      <c r="C193" s="19" t="s">
        <v>35</v>
      </c>
      <c r="D193" s="19" t="s">
        <v>90</v>
      </c>
      <c r="E193" s="19" t="s">
        <v>47</v>
      </c>
      <c r="F193" s="20">
        <v>31100</v>
      </c>
      <c r="G193" s="20">
        <v>31000</v>
      </c>
      <c r="H193" s="20"/>
    </row>
    <row r="194" spans="1:8" x14ac:dyDescent="0.3">
      <c r="A194" s="19" t="s">
        <v>219</v>
      </c>
      <c r="B194" s="19" t="s">
        <v>105</v>
      </c>
      <c r="C194" s="19" t="s">
        <v>240</v>
      </c>
      <c r="D194" s="19" t="s">
        <v>90</v>
      </c>
      <c r="E194" s="19" t="s">
        <v>47</v>
      </c>
      <c r="F194" s="20">
        <v>85</v>
      </c>
      <c r="G194" s="20">
        <v>100</v>
      </c>
      <c r="H194" s="20">
        <v>2500</v>
      </c>
    </row>
    <row r="195" spans="1:8" x14ac:dyDescent="0.3">
      <c r="A195" s="19" t="s">
        <v>219</v>
      </c>
      <c r="B195" s="19" t="s">
        <v>105</v>
      </c>
      <c r="C195" s="19" t="s">
        <v>25</v>
      </c>
      <c r="D195" s="19" t="s">
        <v>90</v>
      </c>
      <c r="E195" s="19" t="s">
        <v>47</v>
      </c>
      <c r="F195" s="20">
        <v>6000</v>
      </c>
      <c r="G195" s="20">
        <v>6000</v>
      </c>
      <c r="H195" s="20">
        <v>110000</v>
      </c>
    </row>
    <row r="196" spans="1:8" x14ac:dyDescent="0.3">
      <c r="A196" s="19" t="s">
        <v>219</v>
      </c>
      <c r="B196" s="19" t="s">
        <v>105</v>
      </c>
      <c r="C196" s="19" t="s">
        <v>52</v>
      </c>
      <c r="D196" s="19" t="s">
        <v>90</v>
      </c>
      <c r="E196" s="19" t="s">
        <v>47</v>
      </c>
      <c r="F196" s="20">
        <v>35</v>
      </c>
      <c r="G196" s="20">
        <v>35</v>
      </c>
      <c r="H196" s="20"/>
    </row>
    <row r="197" spans="1:8" x14ac:dyDescent="0.3">
      <c r="A197" s="19" t="s">
        <v>219</v>
      </c>
      <c r="B197" s="19" t="s">
        <v>105</v>
      </c>
      <c r="C197" s="19" t="s">
        <v>27</v>
      </c>
      <c r="D197" s="19" t="s">
        <v>90</v>
      </c>
      <c r="E197" s="19" t="s">
        <v>47</v>
      </c>
      <c r="F197" s="20">
        <v>53</v>
      </c>
      <c r="G197" s="20">
        <v>70</v>
      </c>
      <c r="H197" s="20">
        <v>7600</v>
      </c>
    </row>
    <row r="198" spans="1:8" x14ac:dyDescent="0.3">
      <c r="A198" s="19" t="s">
        <v>219</v>
      </c>
      <c r="B198" s="19" t="s">
        <v>105</v>
      </c>
      <c r="C198" s="19" t="s">
        <v>30</v>
      </c>
      <c r="D198" s="19" t="s">
        <v>90</v>
      </c>
      <c r="E198" s="19" t="s">
        <v>47</v>
      </c>
      <c r="F198" s="20">
        <v>1510</v>
      </c>
      <c r="G198" s="20">
        <v>1500</v>
      </c>
      <c r="H198" s="20">
        <v>68000</v>
      </c>
    </row>
    <row r="199" spans="1:8" x14ac:dyDescent="0.3">
      <c r="A199" s="19" t="s">
        <v>219</v>
      </c>
      <c r="B199" s="19" t="s">
        <v>105</v>
      </c>
      <c r="C199" s="19" t="s">
        <v>106</v>
      </c>
      <c r="D199" s="19" t="s">
        <v>90</v>
      </c>
      <c r="E199" s="19" t="s">
        <v>47</v>
      </c>
      <c r="F199" s="20">
        <v>1430</v>
      </c>
      <c r="G199" s="20">
        <v>1500</v>
      </c>
      <c r="H199" s="20">
        <v>34000</v>
      </c>
    </row>
    <row r="200" spans="1:8" x14ac:dyDescent="0.3">
      <c r="A200" s="19" t="s">
        <v>219</v>
      </c>
      <c r="B200" s="19" t="s">
        <v>105</v>
      </c>
      <c r="C200" s="19" t="s">
        <v>49</v>
      </c>
      <c r="D200" s="19" t="s">
        <v>90</v>
      </c>
      <c r="E200" s="19" t="s">
        <v>47</v>
      </c>
      <c r="F200" s="20">
        <v>316</v>
      </c>
      <c r="G200" s="20">
        <v>200</v>
      </c>
      <c r="H200" s="20">
        <v>32000</v>
      </c>
    </row>
    <row r="201" spans="1:8" x14ac:dyDescent="0.3">
      <c r="A201" s="19" t="s">
        <v>219</v>
      </c>
      <c r="B201" s="19" t="s">
        <v>105</v>
      </c>
      <c r="C201" s="19" t="s">
        <v>31</v>
      </c>
      <c r="D201" s="19" t="s">
        <v>90</v>
      </c>
      <c r="E201" s="19" t="s">
        <v>47</v>
      </c>
      <c r="F201" s="20">
        <v>60</v>
      </c>
      <c r="G201" s="20">
        <v>50</v>
      </c>
      <c r="H201" s="20"/>
    </row>
    <row r="202" spans="1:8" x14ac:dyDescent="0.3">
      <c r="A202" s="19" t="s">
        <v>219</v>
      </c>
      <c r="B202" s="19" t="s">
        <v>105</v>
      </c>
      <c r="C202" s="19" t="s">
        <v>87</v>
      </c>
      <c r="D202" s="19" t="s">
        <v>90</v>
      </c>
      <c r="E202" s="19" t="s">
        <v>47</v>
      </c>
      <c r="F202" s="20">
        <v>447</v>
      </c>
      <c r="G202" s="20">
        <v>410</v>
      </c>
      <c r="H202" s="20">
        <v>41000</v>
      </c>
    </row>
    <row r="203" spans="1:8" x14ac:dyDescent="0.3">
      <c r="A203" s="19" t="s">
        <v>219</v>
      </c>
      <c r="B203" s="19" t="s">
        <v>105</v>
      </c>
      <c r="C203" s="19" t="s">
        <v>58</v>
      </c>
      <c r="D203" s="19" t="s">
        <v>90</v>
      </c>
      <c r="E203" s="19" t="s">
        <v>47</v>
      </c>
      <c r="F203" s="20">
        <v>138</v>
      </c>
      <c r="G203" s="20">
        <v>140</v>
      </c>
      <c r="H203" s="20">
        <v>15000</v>
      </c>
    </row>
    <row r="204" spans="1:8" x14ac:dyDescent="0.3">
      <c r="A204" s="19" t="s">
        <v>219</v>
      </c>
      <c r="B204" s="19" t="s">
        <v>105</v>
      </c>
      <c r="C204" s="19" t="s">
        <v>33</v>
      </c>
      <c r="D204" s="19" t="s">
        <v>90</v>
      </c>
      <c r="E204" s="19" t="s">
        <v>47</v>
      </c>
      <c r="F204" s="20">
        <v>15</v>
      </c>
      <c r="G204" s="20">
        <v>15</v>
      </c>
      <c r="H204" s="20"/>
    </row>
    <row r="205" spans="1:8" x14ac:dyDescent="0.3">
      <c r="A205" s="19" t="s">
        <v>219</v>
      </c>
      <c r="B205" s="19" t="s">
        <v>105</v>
      </c>
      <c r="C205" s="19" t="s">
        <v>104</v>
      </c>
      <c r="D205" s="19" t="s">
        <v>90</v>
      </c>
      <c r="E205" s="19" t="s">
        <v>47</v>
      </c>
      <c r="F205" s="20">
        <v>75</v>
      </c>
      <c r="G205" s="20">
        <v>55</v>
      </c>
      <c r="H205" s="20">
        <v>3600</v>
      </c>
    </row>
    <row r="206" spans="1:8" x14ac:dyDescent="0.3">
      <c r="A206" s="19" t="s">
        <v>219</v>
      </c>
      <c r="B206" s="19" t="s">
        <v>105</v>
      </c>
      <c r="C206" s="19" t="s">
        <v>230</v>
      </c>
      <c r="D206" s="19" t="s">
        <v>90</v>
      </c>
      <c r="E206" s="19" t="s">
        <v>47</v>
      </c>
      <c r="F206" s="20"/>
      <c r="G206" s="20"/>
      <c r="H206" s="20"/>
    </row>
    <row r="207" spans="1:8" x14ac:dyDescent="0.3">
      <c r="A207" s="19" t="s">
        <v>219</v>
      </c>
      <c r="B207" s="19" t="s">
        <v>105</v>
      </c>
      <c r="C207" s="19" t="s">
        <v>34</v>
      </c>
      <c r="D207" s="19" t="s">
        <v>90</v>
      </c>
      <c r="E207" s="19" t="s">
        <v>47</v>
      </c>
      <c r="F207" s="20">
        <v>146</v>
      </c>
      <c r="G207" s="20">
        <v>160</v>
      </c>
      <c r="H207" s="20">
        <v>16000</v>
      </c>
    </row>
    <row r="208" spans="1:8" x14ac:dyDescent="0.3">
      <c r="A208" s="19" t="s">
        <v>219</v>
      </c>
      <c r="B208" s="19" t="s">
        <v>105</v>
      </c>
      <c r="C208" s="19" t="s">
        <v>35</v>
      </c>
      <c r="D208" s="19" t="s">
        <v>90</v>
      </c>
      <c r="E208" s="19" t="s">
        <v>47</v>
      </c>
      <c r="F208" s="20">
        <v>10300</v>
      </c>
      <c r="G208" s="20">
        <v>10000</v>
      </c>
      <c r="H208" s="20">
        <v>330000</v>
      </c>
    </row>
    <row r="209" spans="1:8" x14ac:dyDescent="0.3">
      <c r="A209" s="19" t="s">
        <v>219</v>
      </c>
      <c r="B209" s="19" t="s">
        <v>107</v>
      </c>
      <c r="C209" s="19" t="s">
        <v>25</v>
      </c>
      <c r="D209" s="19" t="s">
        <v>108</v>
      </c>
      <c r="E209" s="19" t="s">
        <v>109</v>
      </c>
      <c r="F209" s="20">
        <v>839000</v>
      </c>
      <c r="G209" s="20">
        <v>900000</v>
      </c>
      <c r="H209" s="20"/>
    </row>
    <row r="210" spans="1:8" x14ac:dyDescent="0.3">
      <c r="A210" s="19" t="s">
        <v>219</v>
      </c>
      <c r="B210" s="19" t="s">
        <v>107</v>
      </c>
      <c r="C210" s="19" t="s">
        <v>39</v>
      </c>
      <c r="D210" s="19" t="s">
        <v>108</v>
      </c>
      <c r="E210" s="19" t="s">
        <v>109</v>
      </c>
      <c r="F210" s="20">
        <v>3000</v>
      </c>
      <c r="G210" s="20">
        <v>3000</v>
      </c>
      <c r="H210" s="20"/>
    </row>
    <row r="211" spans="1:8" x14ac:dyDescent="0.3">
      <c r="A211" s="19" t="s">
        <v>219</v>
      </c>
      <c r="B211" s="19" t="s">
        <v>107</v>
      </c>
      <c r="C211" s="19" t="s">
        <v>49</v>
      </c>
      <c r="D211" s="19" t="s">
        <v>108</v>
      </c>
      <c r="E211" s="19" t="s">
        <v>109</v>
      </c>
      <c r="F211" s="20"/>
      <c r="G211" s="20"/>
      <c r="H211" s="20"/>
    </row>
    <row r="212" spans="1:8" x14ac:dyDescent="0.3">
      <c r="A212" s="19" t="s">
        <v>219</v>
      </c>
      <c r="B212" s="19" t="s">
        <v>107</v>
      </c>
      <c r="C212" s="19" t="s">
        <v>32</v>
      </c>
      <c r="D212" s="19" t="s">
        <v>108</v>
      </c>
      <c r="E212" s="19" t="s">
        <v>109</v>
      </c>
      <c r="F212" s="20">
        <v>6000</v>
      </c>
      <c r="G212" s="20">
        <v>6000</v>
      </c>
      <c r="H212" s="20"/>
    </row>
    <row r="213" spans="1:8" x14ac:dyDescent="0.3">
      <c r="A213" s="19" t="s">
        <v>219</v>
      </c>
      <c r="B213" s="19" t="s">
        <v>107</v>
      </c>
      <c r="C213" s="19" t="s">
        <v>230</v>
      </c>
      <c r="D213" s="19" t="s">
        <v>108</v>
      </c>
      <c r="E213" s="19" t="s">
        <v>109</v>
      </c>
      <c r="F213" s="20"/>
      <c r="G213" s="20"/>
      <c r="H213" s="20"/>
    </row>
    <row r="214" spans="1:8" x14ac:dyDescent="0.3">
      <c r="A214" s="19" t="s">
        <v>219</v>
      </c>
      <c r="B214" s="19" t="s">
        <v>107</v>
      </c>
      <c r="C214" s="19" t="s">
        <v>35</v>
      </c>
      <c r="D214" s="19" t="s">
        <v>108</v>
      </c>
      <c r="E214" s="19" t="s">
        <v>109</v>
      </c>
      <c r="F214" s="20">
        <v>848000</v>
      </c>
      <c r="G214" s="20">
        <v>900000</v>
      </c>
      <c r="H214" s="20"/>
    </row>
    <row r="215" spans="1:8" x14ac:dyDescent="0.3">
      <c r="A215" s="19" t="s">
        <v>219</v>
      </c>
      <c r="B215" s="19" t="s">
        <v>241</v>
      </c>
      <c r="C215" s="19" t="s">
        <v>22</v>
      </c>
      <c r="D215" s="19" t="s">
        <v>90</v>
      </c>
      <c r="E215" s="19" t="s">
        <v>21</v>
      </c>
      <c r="F215" s="20">
        <v>348000</v>
      </c>
      <c r="G215" s="20">
        <v>350000</v>
      </c>
      <c r="H215" s="20"/>
    </row>
    <row r="216" spans="1:8" x14ac:dyDescent="0.3">
      <c r="A216" s="19" t="s">
        <v>219</v>
      </c>
      <c r="B216" s="19" t="s">
        <v>241</v>
      </c>
      <c r="C216" s="19" t="s">
        <v>25</v>
      </c>
      <c r="D216" s="19" t="s">
        <v>90</v>
      </c>
      <c r="E216" s="19" t="s">
        <v>21</v>
      </c>
      <c r="F216" s="20">
        <v>250000</v>
      </c>
      <c r="G216" s="20">
        <v>280000</v>
      </c>
      <c r="H216" s="20">
        <v>37000000</v>
      </c>
    </row>
    <row r="217" spans="1:8" x14ac:dyDescent="0.3">
      <c r="A217" s="19" t="s">
        <v>219</v>
      </c>
      <c r="B217" s="19" t="s">
        <v>241</v>
      </c>
      <c r="C217" s="19" t="s">
        <v>99</v>
      </c>
      <c r="D217" s="19" t="s">
        <v>90</v>
      </c>
      <c r="E217" s="19" t="s">
        <v>21</v>
      </c>
      <c r="F217" s="20">
        <v>4000</v>
      </c>
      <c r="G217" s="20">
        <v>4000</v>
      </c>
      <c r="H217" s="20"/>
    </row>
    <row r="218" spans="1:8" x14ac:dyDescent="0.3">
      <c r="A218" s="19" t="s">
        <v>219</v>
      </c>
      <c r="B218" s="19" t="s">
        <v>241</v>
      </c>
      <c r="C218" s="19" t="s">
        <v>48</v>
      </c>
      <c r="D218" s="19" t="s">
        <v>90</v>
      </c>
      <c r="E218" s="19" t="s">
        <v>21</v>
      </c>
      <c r="F218" s="20">
        <v>15000</v>
      </c>
      <c r="G218" s="20">
        <v>15000</v>
      </c>
      <c r="H218" s="20">
        <v>8600000</v>
      </c>
    </row>
    <row r="219" spans="1:8" x14ac:dyDescent="0.3">
      <c r="A219" s="19" t="s">
        <v>219</v>
      </c>
      <c r="B219" s="19" t="s">
        <v>241</v>
      </c>
      <c r="C219" s="19" t="s">
        <v>31</v>
      </c>
      <c r="D219" s="19" t="s">
        <v>90</v>
      </c>
      <c r="E219" s="19" t="s">
        <v>21</v>
      </c>
      <c r="F219" s="20">
        <v>1900</v>
      </c>
      <c r="G219" s="20">
        <v>1900</v>
      </c>
      <c r="H219" s="20"/>
    </row>
    <row r="220" spans="1:8" x14ac:dyDescent="0.3">
      <c r="A220" s="19" t="s">
        <v>219</v>
      </c>
      <c r="B220" s="19" t="s">
        <v>241</v>
      </c>
      <c r="C220" s="19" t="s">
        <v>87</v>
      </c>
      <c r="D220" s="19" t="s">
        <v>90</v>
      </c>
      <c r="E220" s="19" t="s">
        <v>21</v>
      </c>
      <c r="F220" s="20">
        <v>40000</v>
      </c>
      <c r="G220" s="20">
        <v>0</v>
      </c>
      <c r="H220" s="20">
        <v>1300000</v>
      </c>
    </row>
    <row r="221" spans="1:8" x14ac:dyDescent="0.3">
      <c r="A221" s="19" t="s">
        <v>219</v>
      </c>
      <c r="B221" s="19" t="s">
        <v>241</v>
      </c>
      <c r="C221" s="19" t="s">
        <v>230</v>
      </c>
      <c r="D221" s="19" t="s">
        <v>90</v>
      </c>
      <c r="E221" s="19" t="s">
        <v>21</v>
      </c>
      <c r="F221" s="20">
        <v>74200</v>
      </c>
      <c r="G221" s="20">
        <v>77000</v>
      </c>
      <c r="H221" s="20">
        <v>5000000</v>
      </c>
    </row>
    <row r="222" spans="1:8" x14ac:dyDescent="0.3">
      <c r="A222" s="19" t="s">
        <v>219</v>
      </c>
      <c r="B222" s="19" t="s">
        <v>241</v>
      </c>
      <c r="C222" s="19" t="s">
        <v>35</v>
      </c>
      <c r="D222" s="19" t="s">
        <v>90</v>
      </c>
      <c r="E222" s="19" t="s">
        <v>21</v>
      </c>
      <c r="F222" s="20">
        <v>734000</v>
      </c>
      <c r="G222" s="20">
        <v>730000</v>
      </c>
      <c r="H222" s="20"/>
    </row>
    <row r="223" spans="1:8" x14ac:dyDescent="0.3">
      <c r="A223" s="19" t="s">
        <v>219</v>
      </c>
      <c r="B223" s="19" t="s">
        <v>110</v>
      </c>
      <c r="C223" s="19" t="s">
        <v>38</v>
      </c>
      <c r="D223" s="19" t="s">
        <v>111</v>
      </c>
      <c r="E223" s="19" t="s">
        <v>109</v>
      </c>
      <c r="F223" s="20"/>
      <c r="G223" s="20"/>
      <c r="H223" s="20"/>
    </row>
    <row r="224" spans="1:8" x14ac:dyDescent="0.3">
      <c r="A224" s="19" t="s">
        <v>219</v>
      </c>
      <c r="B224" s="19" t="s">
        <v>110</v>
      </c>
      <c r="C224" s="19" t="s">
        <v>220</v>
      </c>
      <c r="D224" s="19" t="s">
        <v>111</v>
      </c>
      <c r="E224" s="19" t="s">
        <v>109</v>
      </c>
      <c r="F224" s="20"/>
      <c r="G224" s="20"/>
      <c r="H224" s="20"/>
    </row>
    <row r="225" spans="1:8" x14ac:dyDescent="0.3">
      <c r="A225" s="19" t="s">
        <v>219</v>
      </c>
      <c r="B225" s="19" t="s">
        <v>110</v>
      </c>
      <c r="C225" s="19" t="s">
        <v>25</v>
      </c>
      <c r="D225" s="19" t="s">
        <v>111</v>
      </c>
      <c r="E225" s="19" t="s">
        <v>109</v>
      </c>
      <c r="F225" s="20"/>
      <c r="G225" s="20"/>
      <c r="H225" s="20"/>
    </row>
    <row r="226" spans="1:8" x14ac:dyDescent="0.3">
      <c r="A226" s="19" t="s">
        <v>219</v>
      </c>
      <c r="B226" s="19" t="s">
        <v>110</v>
      </c>
      <c r="C226" s="19" t="s">
        <v>52</v>
      </c>
      <c r="D226" s="19" t="s">
        <v>111</v>
      </c>
      <c r="E226" s="19" t="s">
        <v>109</v>
      </c>
      <c r="F226" s="20"/>
      <c r="G226" s="20"/>
      <c r="H226" s="20"/>
    </row>
    <row r="227" spans="1:8" x14ac:dyDescent="0.3">
      <c r="A227" s="19" t="s">
        <v>219</v>
      </c>
      <c r="B227" s="19" t="s">
        <v>110</v>
      </c>
      <c r="C227" s="19" t="s">
        <v>49</v>
      </c>
      <c r="D227" s="19" t="s">
        <v>111</v>
      </c>
      <c r="E227" s="19" t="s">
        <v>109</v>
      </c>
      <c r="F227" s="20"/>
      <c r="G227" s="20"/>
      <c r="H227" s="20"/>
    </row>
    <row r="228" spans="1:8" x14ac:dyDescent="0.3">
      <c r="A228" s="19" t="s">
        <v>219</v>
      </c>
      <c r="B228" s="19" t="s">
        <v>110</v>
      </c>
      <c r="C228" s="19" t="s">
        <v>32</v>
      </c>
      <c r="D228" s="19" t="s">
        <v>111</v>
      </c>
      <c r="E228" s="19" t="s">
        <v>109</v>
      </c>
      <c r="F228" s="20"/>
      <c r="G228" s="20"/>
      <c r="H228" s="20"/>
    </row>
    <row r="229" spans="1:8" x14ac:dyDescent="0.3">
      <c r="A229" s="19" t="s">
        <v>219</v>
      </c>
      <c r="B229" s="19" t="s">
        <v>110</v>
      </c>
      <c r="C229" s="19" t="s">
        <v>230</v>
      </c>
      <c r="D229" s="19" t="s">
        <v>111</v>
      </c>
      <c r="E229" s="19" t="s">
        <v>109</v>
      </c>
      <c r="F229" s="20"/>
      <c r="G229" s="20"/>
      <c r="H229" s="20"/>
    </row>
    <row r="230" spans="1:8" x14ac:dyDescent="0.3">
      <c r="A230" s="19" t="s">
        <v>219</v>
      </c>
      <c r="B230" s="19" t="s">
        <v>110</v>
      </c>
      <c r="C230" s="19" t="s">
        <v>35</v>
      </c>
      <c r="D230" s="19" t="s">
        <v>111</v>
      </c>
      <c r="E230" s="19" t="s">
        <v>109</v>
      </c>
      <c r="F230" s="20"/>
      <c r="G230" s="20"/>
      <c r="H230" s="20"/>
    </row>
    <row r="231" spans="1:8" x14ac:dyDescent="0.3">
      <c r="A231" s="19" t="s">
        <v>219</v>
      </c>
      <c r="B231" s="19" t="s">
        <v>112</v>
      </c>
      <c r="C231" s="19" t="s">
        <v>22</v>
      </c>
      <c r="D231" s="19" t="s">
        <v>113</v>
      </c>
      <c r="E231" s="19" t="s">
        <v>21</v>
      </c>
      <c r="F231" s="20">
        <v>284</v>
      </c>
      <c r="G231" s="20">
        <v>280</v>
      </c>
      <c r="H231" s="20">
        <v>13000</v>
      </c>
    </row>
    <row r="232" spans="1:8" x14ac:dyDescent="0.3">
      <c r="A232" s="19" t="s">
        <v>219</v>
      </c>
      <c r="B232" s="19" t="s">
        <v>112</v>
      </c>
      <c r="C232" s="19" t="s">
        <v>44</v>
      </c>
      <c r="D232" s="19" t="s">
        <v>113</v>
      </c>
      <c r="E232" s="19" t="s">
        <v>21</v>
      </c>
      <c r="F232" s="20">
        <v>82</v>
      </c>
      <c r="G232" s="20">
        <v>80</v>
      </c>
      <c r="H232" s="20">
        <v>2500</v>
      </c>
    </row>
    <row r="233" spans="1:8" x14ac:dyDescent="0.3">
      <c r="A233" s="19" t="s">
        <v>219</v>
      </c>
      <c r="B233" s="19" t="s">
        <v>112</v>
      </c>
      <c r="C233" s="19" t="s">
        <v>220</v>
      </c>
      <c r="D233" s="19" t="s">
        <v>113</v>
      </c>
      <c r="E233" s="19" t="s">
        <v>21</v>
      </c>
      <c r="F233" s="20">
        <v>200</v>
      </c>
      <c r="G233" s="20">
        <v>200</v>
      </c>
      <c r="H233" s="20">
        <v>3200</v>
      </c>
    </row>
    <row r="234" spans="1:8" x14ac:dyDescent="0.3">
      <c r="A234" s="19" t="s">
        <v>219</v>
      </c>
      <c r="B234" s="19" t="s">
        <v>112</v>
      </c>
      <c r="C234" s="19" t="s">
        <v>25</v>
      </c>
      <c r="D234" s="19" t="s">
        <v>113</v>
      </c>
      <c r="E234" s="19" t="s">
        <v>21</v>
      </c>
      <c r="F234" s="20">
        <v>377</v>
      </c>
      <c r="G234" s="20">
        <v>380</v>
      </c>
      <c r="H234" s="20">
        <v>3200</v>
      </c>
    </row>
    <row r="235" spans="1:8" x14ac:dyDescent="0.3">
      <c r="A235" s="19" t="s">
        <v>219</v>
      </c>
      <c r="B235" s="19" t="s">
        <v>112</v>
      </c>
      <c r="C235" s="19" t="s">
        <v>114</v>
      </c>
      <c r="D235" s="19" t="s">
        <v>113</v>
      </c>
      <c r="E235" s="19" t="s">
        <v>21</v>
      </c>
      <c r="F235" s="20">
        <v>149</v>
      </c>
      <c r="G235" s="20">
        <v>150</v>
      </c>
      <c r="H235" s="20">
        <v>1000</v>
      </c>
    </row>
    <row r="236" spans="1:8" x14ac:dyDescent="0.3">
      <c r="A236" s="19" t="s">
        <v>219</v>
      </c>
      <c r="B236" s="19" t="s">
        <v>112</v>
      </c>
      <c r="C236" s="19" t="s">
        <v>55</v>
      </c>
      <c r="D236" s="19" t="s">
        <v>113</v>
      </c>
      <c r="E236" s="19" t="s">
        <v>21</v>
      </c>
      <c r="F236" s="20">
        <v>94</v>
      </c>
      <c r="G236" s="20">
        <v>90</v>
      </c>
      <c r="H236" s="20">
        <v>3600</v>
      </c>
    </row>
    <row r="237" spans="1:8" x14ac:dyDescent="0.3">
      <c r="A237" s="19" t="s">
        <v>219</v>
      </c>
      <c r="B237" s="19" t="s">
        <v>112</v>
      </c>
      <c r="C237" s="19" t="s">
        <v>28</v>
      </c>
      <c r="D237" s="19" t="s">
        <v>113</v>
      </c>
      <c r="E237" s="19" t="s">
        <v>21</v>
      </c>
      <c r="F237" s="20">
        <v>130</v>
      </c>
      <c r="G237" s="20">
        <v>130</v>
      </c>
      <c r="H237" s="20">
        <v>2300</v>
      </c>
    </row>
    <row r="238" spans="1:8" x14ac:dyDescent="0.3">
      <c r="A238" s="19" t="s">
        <v>219</v>
      </c>
      <c r="B238" s="19" t="s">
        <v>112</v>
      </c>
      <c r="C238" s="19" t="s">
        <v>30</v>
      </c>
      <c r="D238" s="19" t="s">
        <v>113</v>
      </c>
      <c r="E238" s="19" t="s">
        <v>21</v>
      </c>
      <c r="F238" s="20">
        <v>140</v>
      </c>
      <c r="G238" s="20">
        <v>140</v>
      </c>
      <c r="H238" s="20">
        <v>1400</v>
      </c>
    </row>
    <row r="239" spans="1:8" x14ac:dyDescent="0.3">
      <c r="A239" s="19" t="s">
        <v>219</v>
      </c>
      <c r="B239" s="19" t="s">
        <v>112</v>
      </c>
      <c r="C239" s="19" t="s">
        <v>49</v>
      </c>
      <c r="D239" s="19" t="s">
        <v>113</v>
      </c>
      <c r="E239" s="19" t="s">
        <v>21</v>
      </c>
      <c r="F239" s="20">
        <v>1020</v>
      </c>
      <c r="G239" s="20">
        <v>1000</v>
      </c>
      <c r="H239" s="20">
        <v>11000</v>
      </c>
    </row>
    <row r="240" spans="1:8" x14ac:dyDescent="0.3">
      <c r="A240" s="19" t="s">
        <v>219</v>
      </c>
      <c r="B240" s="19" t="s">
        <v>112</v>
      </c>
      <c r="C240" s="19" t="s">
        <v>41</v>
      </c>
      <c r="D240" s="19" t="s">
        <v>113</v>
      </c>
      <c r="E240" s="19" t="s">
        <v>21</v>
      </c>
      <c r="F240" s="20">
        <v>108</v>
      </c>
      <c r="G240" s="20">
        <v>110</v>
      </c>
      <c r="H240" s="20">
        <v>2200</v>
      </c>
    </row>
    <row r="241" spans="1:8" x14ac:dyDescent="0.3">
      <c r="A241" s="19" t="s">
        <v>219</v>
      </c>
      <c r="B241" s="19" t="s">
        <v>112</v>
      </c>
      <c r="C241" s="19" t="s">
        <v>32</v>
      </c>
      <c r="D241" s="19" t="s">
        <v>113</v>
      </c>
      <c r="E241" s="19" t="s">
        <v>21</v>
      </c>
      <c r="F241" s="20">
        <v>310</v>
      </c>
      <c r="G241" s="20">
        <v>310</v>
      </c>
      <c r="H241" s="20">
        <v>12000</v>
      </c>
    </row>
    <row r="242" spans="1:8" x14ac:dyDescent="0.3">
      <c r="A242" s="19" t="s">
        <v>219</v>
      </c>
      <c r="B242" s="19" t="s">
        <v>112</v>
      </c>
      <c r="C242" s="19" t="s">
        <v>87</v>
      </c>
      <c r="D242" s="19" t="s">
        <v>113</v>
      </c>
      <c r="E242" s="19" t="s">
        <v>21</v>
      </c>
      <c r="F242" s="20">
        <v>90</v>
      </c>
      <c r="G242" s="20">
        <v>90</v>
      </c>
      <c r="H242" s="20">
        <v>5000</v>
      </c>
    </row>
    <row r="243" spans="1:8" x14ac:dyDescent="0.3">
      <c r="A243" s="19" t="s">
        <v>219</v>
      </c>
      <c r="B243" s="19" t="s">
        <v>242</v>
      </c>
      <c r="C243" s="19" t="s">
        <v>230</v>
      </c>
      <c r="D243" s="19" t="s">
        <v>113</v>
      </c>
      <c r="E243" s="19" t="s">
        <v>21</v>
      </c>
      <c r="F243" s="20">
        <v>163</v>
      </c>
      <c r="G243" s="20">
        <v>160</v>
      </c>
      <c r="H243" s="20">
        <v>3000</v>
      </c>
    </row>
    <row r="244" spans="1:8" x14ac:dyDescent="0.3">
      <c r="A244" s="19" t="s">
        <v>219</v>
      </c>
      <c r="B244" s="19" t="s">
        <v>112</v>
      </c>
      <c r="C244" s="19" t="s">
        <v>83</v>
      </c>
      <c r="D244" s="19" t="s">
        <v>113</v>
      </c>
      <c r="E244" s="19" t="s">
        <v>21</v>
      </c>
      <c r="F244" s="20">
        <v>129</v>
      </c>
      <c r="G244" s="20">
        <v>130</v>
      </c>
      <c r="H244" s="20">
        <v>2200</v>
      </c>
    </row>
    <row r="245" spans="1:8" x14ac:dyDescent="0.3">
      <c r="A245" s="19" t="s">
        <v>219</v>
      </c>
      <c r="B245" s="19" t="s">
        <v>112</v>
      </c>
      <c r="C245" s="19" t="s">
        <v>35</v>
      </c>
      <c r="D245" s="19" t="s">
        <v>113</v>
      </c>
      <c r="E245" s="19" t="s">
        <v>21</v>
      </c>
      <c r="F245" s="20">
        <v>3280</v>
      </c>
      <c r="G245" s="20">
        <v>3300</v>
      </c>
      <c r="H245" s="20">
        <v>66000</v>
      </c>
    </row>
    <row r="246" spans="1:8" x14ac:dyDescent="0.3">
      <c r="A246" s="19" t="s">
        <v>219</v>
      </c>
      <c r="B246" s="19" t="s">
        <v>117</v>
      </c>
      <c r="C246" s="19" t="s">
        <v>119</v>
      </c>
      <c r="D246" s="19" t="s">
        <v>118</v>
      </c>
      <c r="E246" s="19" t="s">
        <v>21</v>
      </c>
      <c r="F246" s="20">
        <v>100</v>
      </c>
      <c r="G246" s="20">
        <v>200</v>
      </c>
      <c r="H246" s="20"/>
    </row>
    <row r="247" spans="1:8" x14ac:dyDescent="0.3">
      <c r="A247" s="19" t="s">
        <v>219</v>
      </c>
      <c r="B247" s="19" t="s">
        <v>117</v>
      </c>
      <c r="C247" s="19" t="s">
        <v>44</v>
      </c>
      <c r="D247" s="19" t="s">
        <v>118</v>
      </c>
      <c r="E247" s="19" t="s">
        <v>21</v>
      </c>
      <c r="F247" s="20">
        <v>58000</v>
      </c>
      <c r="G247" s="20">
        <v>65000</v>
      </c>
      <c r="H247" s="20">
        <v>74000000</v>
      </c>
    </row>
    <row r="248" spans="1:8" x14ac:dyDescent="0.3">
      <c r="A248" s="19" t="s">
        <v>219</v>
      </c>
      <c r="B248" s="19" t="s">
        <v>117</v>
      </c>
      <c r="C248" s="19" t="s">
        <v>220</v>
      </c>
      <c r="D248" s="19" t="s">
        <v>118</v>
      </c>
      <c r="E248" s="19" t="s">
        <v>21</v>
      </c>
      <c r="F248" s="20">
        <v>11700</v>
      </c>
      <c r="G248" s="20">
        <v>8000</v>
      </c>
      <c r="H248" s="20">
        <v>5900000</v>
      </c>
    </row>
    <row r="249" spans="1:8" x14ac:dyDescent="0.3">
      <c r="A249" s="19" t="s">
        <v>219</v>
      </c>
      <c r="B249" s="19" t="s">
        <v>117</v>
      </c>
      <c r="C249" s="19" t="s">
        <v>25</v>
      </c>
      <c r="D249" s="19" t="s">
        <v>118</v>
      </c>
      <c r="E249" s="19" t="s">
        <v>21</v>
      </c>
      <c r="F249" s="20">
        <v>1270000</v>
      </c>
      <c r="G249" s="20">
        <v>1400000</v>
      </c>
      <c r="H249" s="20">
        <v>100000000</v>
      </c>
    </row>
    <row r="250" spans="1:8" x14ac:dyDescent="0.3">
      <c r="A250" s="19" t="s">
        <v>219</v>
      </c>
      <c r="B250" s="19" t="s">
        <v>117</v>
      </c>
      <c r="C250" s="19" t="s">
        <v>52</v>
      </c>
      <c r="D250" s="19" t="s">
        <v>118</v>
      </c>
      <c r="E250" s="19" t="s">
        <v>21</v>
      </c>
      <c r="F250" s="20">
        <v>140</v>
      </c>
      <c r="G250" s="20">
        <v>140</v>
      </c>
      <c r="H250" s="20"/>
    </row>
    <row r="251" spans="1:8" x14ac:dyDescent="0.3">
      <c r="A251" s="19" t="s">
        <v>219</v>
      </c>
      <c r="B251" s="19" t="s">
        <v>117</v>
      </c>
      <c r="C251" s="19" t="s">
        <v>48</v>
      </c>
      <c r="D251" s="19" t="s">
        <v>118</v>
      </c>
      <c r="E251" s="19" t="s">
        <v>21</v>
      </c>
      <c r="F251" s="20">
        <v>17600</v>
      </c>
      <c r="G251" s="20">
        <v>17000</v>
      </c>
      <c r="H251" s="20">
        <v>8600000</v>
      </c>
    </row>
    <row r="252" spans="1:8" x14ac:dyDescent="0.3">
      <c r="A252" s="19" t="s">
        <v>219</v>
      </c>
      <c r="B252" s="19" t="s">
        <v>117</v>
      </c>
      <c r="C252" s="19" t="s">
        <v>61</v>
      </c>
      <c r="D252" s="19" t="s">
        <v>118</v>
      </c>
      <c r="E252" s="19" t="s">
        <v>21</v>
      </c>
      <c r="F252" s="20">
        <v>85000</v>
      </c>
      <c r="G252" s="20">
        <v>80000</v>
      </c>
      <c r="H252" s="20">
        <v>27000000</v>
      </c>
    </row>
    <row r="253" spans="1:8" x14ac:dyDescent="0.3">
      <c r="A253" s="19" t="s">
        <v>219</v>
      </c>
      <c r="B253" s="19" t="s">
        <v>117</v>
      </c>
      <c r="C253" s="19" t="s">
        <v>30</v>
      </c>
      <c r="D253" s="19" t="s">
        <v>118</v>
      </c>
      <c r="E253" s="19" t="s">
        <v>21</v>
      </c>
      <c r="F253" s="20">
        <v>706</v>
      </c>
      <c r="G253" s="20">
        <v>740</v>
      </c>
      <c r="H253" s="20">
        <v>3100000</v>
      </c>
    </row>
    <row r="254" spans="1:8" x14ac:dyDescent="0.3">
      <c r="A254" s="19" t="s">
        <v>219</v>
      </c>
      <c r="B254" s="19" t="s">
        <v>117</v>
      </c>
      <c r="C254" s="19" t="s">
        <v>62</v>
      </c>
      <c r="D254" s="19" t="s">
        <v>118</v>
      </c>
      <c r="E254" s="19" t="s">
        <v>21</v>
      </c>
      <c r="F254" s="20">
        <v>39000</v>
      </c>
      <c r="G254" s="20">
        <v>60000</v>
      </c>
      <c r="H254" s="20">
        <v>25000000</v>
      </c>
    </row>
    <row r="255" spans="1:8" x14ac:dyDescent="0.3">
      <c r="A255" s="19" t="s">
        <v>219</v>
      </c>
      <c r="B255" s="19" t="s">
        <v>117</v>
      </c>
      <c r="C255" s="19" t="s">
        <v>120</v>
      </c>
      <c r="D255" s="19" t="s">
        <v>118</v>
      </c>
      <c r="E255" s="19" t="s">
        <v>21</v>
      </c>
      <c r="F255" s="20">
        <v>8100</v>
      </c>
      <c r="G255" s="20">
        <v>8000</v>
      </c>
      <c r="H255" s="20">
        <v>2000000</v>
      </c>
    </row>
    <row r="256" spans="1:8" x14ac:dyDescent="0.3">
      <c r="A256" s="19" t="s">
        <v>219</v>
      </c>
      <c r="B256" s="19" t="s">
        <v>117</v>
      </c>
      <c r="C256" s="19" t="s">
        <v>81</v>
      </c>
      <c r="D256" s="19" t="s">
        <v>118</v>
      </c>
      <c r="E256" s="19" t="s">
        <v>21</v>
      </c>
      <c r="F256" s="20">
        <v>5340</v>
      </c>
      <c r="G256" s="20">
        <v>6600</v>
      </c>
      <c r="H256" s="20">
        <v>600000</v>
      </c>
    </row>
    <row r="257" spans="1:8" x14ac:dyDescent="0.3">
      <c r="A257" s="19" t="s">
        <v>219</v>
      </c>
      <c r="B257" s="19" t="s">
        <v>117</v>
      </c>
      <c r="C257" s="19" t="s">
        <v>229</v>
      </c>
      <c r="D257" s="19" t="s">
        <v>118</v>
      </c>
      <c r="E257" s="19" t="s">
        <v>21</v>
      </c>
      <c r="F257" s="20">
        <v>2600</v>
      </c>
      <c r="G257" s="20">
        <v>2200</v>
      </c>
      <c r="H257" s="20">
        <v>6900000</v>
      </c>
    </row>
    <row r="258" spans="1:8" x14ac:dyDescent="0.3">
      <c r="A258" s="19" t="s">
        <v>219</v>
      </c>
      <c r="B258" s="19" t="s">
        <v>117</v>
      </c>
      <c r="C258" s="19" t="s">
        <v>32</v>
      </c>
      <c r="D258" s="19" t="s">
        <v>118</v>
      </c>
      <c r="E258" s="19" t="s">
        <v>21</v>
      </c>
      <c r="F258" s="20">
        <v>20000</v>
      </c>
      <c r="G258" s="20">
        <v>25000</v>
      </c>
      <c r="H258" s="20">
        <v>14000000</v>
      </c>
    </row>
    <row r="259" spans="1:8" x14ac:dyDescent="0.3">
      <c r="A259" s="19" t="s">
        <v>219</v>
      </c>
      <c r="B259" s="19" t="s">
        <v>117</v>
      </c>
      <c r="C259" s="19" t="s">
        <v>235</v>
      </c>
      <c r="D259" s="19" t="s">
        <v>118</v>
      </c>
      <c r="E259" s="19" t="s">
        <v>21</v>
      </c>
      <c r="F259" s="20">
        <v>1000</v>
      </c>
      <c r="G259" s="20">
        <v>500</v>
      </c>
      <c r="H259" s="20">
        <v>1800000</v>
      </c>
    </row>
    <row r="260" spans="1:8" x14ac:dyDescent="0.3">
      <c r="A260" s="19" t="s">
        <v>219</v>
      </c>
      <c r="B260" s="19" t="s">
        <v>117</v>
      </c>
      <c r="C260" s="19" t="s">
        <v>121</v>
      </c>
      <c r="D260" s="19" t="s">
        <v>118</v>
      </c>
      <c r="E260" s="19" t="s">
        <v>21</v>
      </c>
      <c r="F260" s="20">
        <v>3000</v>
      </c>
      <c r="G260" s="20">
        <v>3200</v>
      </c>
      <c r="H260" s="20">
        <v>1500000</v>
      </c>
    </row>
    <row r="261" spans="1:8" x14ac:dyDescent="0.3">
      <c r="A261" s="19" t="s">
        <v>219</v>
      </c>
      <c r="B261" s="19" t="s">
        <v>117</v>
      </c>
      <c r="C261" s="19" t="s">
        <v>116</v>
      </c>
      <c r="D261" s="19" t="s">
        <v>118</v>
      </c>
      <c r="E261" s="19" t="s">
        <v>21</v>
      </c>
      <c r="F261" s="20">
        <v>27000</v>
      </c>
      <c r="G261" s="20">
        <v>75000</v>
      </c>
      <c r="H261" s="20">
        <v>18000000</v>
      </c>
    </row>
    <row r="262" spans="1:8" x14ac:dyDescent="0.3">
      <c r="A262" s="19" t="s">
        <v>219</v>
      </c>
      <c r="B262" s="19" t="s">
        <v>117</v>
      </c>
      <c r="C262" s="19" t="s">
        <v>77</v>
      </c>
      <c r="D262" s="19" t="s">
        <v>118</v>
      </c>
      <c r="E262" s="19" t="s">
        <v>21</v>
      </c>
      <c r="F262" s="20">
        <v>900</v>
      </c>
      <c r="G262" s="20">
        <v>800</v>
      </c>
      <c r="H262" s="20"/>
    </row>
    <row r="263" spans="1:8" x14ac:dyDescent="0.3">
      <c r="A263" s="19" t="s">
        <v>219</v>
      </c>
      <c r="B263" s="19" t="s">
        <v>117</v>
      </c>
      <c r="C263" s="19" t="s">
        <v>230</v>
      </c>
      <c r="D263" s="19" t="s">
        <v>118</v>
      </c>
      <c r="E263" s="19" t="s">
        <v>21</v>
      </c>
      <c r="F263" s="20"/>
      <c r="G263" s="20"/>
      <c r="H263" s="20"/>
    </row>
    <row r="264" spans="1:8" x14ac:dyDescent="0.3">
      <c r="A264" s="19" t="s">
        <v>219</v>
      </c>
      <c r="B264" s="19" t="s">
        <v>117</v>
      </c>
      <c r="C264" s="19" t="s">
        <v>34</v>
      </c>
      <c r="D264" s="19" t="s">
        <v>118</v>
      </c>
      <c r="E264" s="19" t="s">
        <v>21</v>
      </c>
      <c r="F264" s="20">
        <v>500</v>
      </c>
      <c r="G264" s="20">
        <v>500</v>
      </c>
      <c r="H264" s="20">
        <v>9700000</v>
      </c>
    </row>
    <row r="265" spans="1:8" x14ac:dyDescent="0.3">
      <c r="A265" s="19" t="s">
        <v>219</v>
      </c>
      <c r="B265" s="19" t="s">
        <v>117</v>
      </c>
      <c r="C265" s="19" t="s">
        <v>35</v>
      </c>
      <c r="D265" s="19" t="s">
        <v>118</v>
      </c>
      <c r="E265" s="19" t="s">
        <v>21</v>
      </c>
      <c r="F265" s="20">
        <v>1550000</v>
      </c>
      <c r="G265" s="20">
        <v>1800000</v>
      </c>
      <c r="H265" s="20">
        <v>310000000</v>
      </c>
    </row>
    <row r="266" spans="1:8" x14ac:dyDescent="0.3">
      <c r="A266" s="19" t="s">
        <v>219</v>
      </c>
      <c r="B266" s="19" t="s">
        <v>122</v>
      </c>
      <c r="C266" s="19" t="s">
        <v>123</v>
      </c>
      <c r="D266" s="19" t="s">
        <v>90</v>
      </c>
      <c r="E266" s="19" t="s">
        <v>47</v>
      </c>
      <c r="F266" s="20">
        <v>2500</v>
      </c>
      <c r="G266" s="20">
        <v>2500</v>
      </c>
      <c r="H266" s="20"/>
    </row>
    <row r="267" spans="1:8" x14ac:dyDescent="0.3">
      <c r="A267" s="19" t="s">
        <v>219</v>
      </c>
      <c r="B267" s="19" t="s">
        <v>122</v>
      </c>
      <c r="C267" s="19" t="s">
        <v>22</v>
      </c>
      <c r="D267" s="19" t="s">
        <v>90</v>
      </c>
      <c r="E267" s="19" t="s">
        <v>47</v>
      </c>
      <c r="F267" s="20">
        <v>4200</v>
      </c>
      <c r="G267" s="20">
        <v>4200</v>
      </c>
      <c r="H267" s="20"/>
    </row>
    <row r="268" spans="1:8" x14ac:dyDescent="0.3">
      <c r="A268" s="19" t="s">
        <v>219</v>
      </c>
      <c r="B268" s="19" t="s">
        <v>122</v>
      </c>
      <c r="C268" s="19" t="s">
        <v>44</v>
      </c>
      <c r="D268" s="19" t="s">
        <v>90</v>
      </c>
      <c r="E268" s="19" t="s">
        <v>47</v>
      </c>
      <c r="F268" s="20">
        <v>5800</v>
      </c>
      <c r="G268" s="20">
        <v>5800</v>
      </c>
      <c r="H268" s="20">
        <v>450000</v>
      </c>
    </row>
    <row r="269" spans="1:8" x14ac:dyDescent="0.3">
      <c r="A269" s="19" t="s">
        <v>219</v>
      </c>
      <c r="B269" s="19" t="s">
        <v>122</v>
      </c>
      <c r="C269" s="19" t="s">
        <v>220</v>
      </c>
      <c r="D269" s="19" t="s">
        <v>90</v>
      </c>
      <c r="E269" s="19" t="s">
        <v>47</v>
      </c>
      <c r="F269" s="20">
        <v>3600</v>
      </c>
      <c r="G269" s="20">
        <v>3600</v>
      </c>
      <c r="H269" s="20">
        <v>450000</v>
      </c>
    </row>
    <row r="270" spans="1:8" x14ac:dyDescent="0.3">
      <c r="A270" s="19" t="s">
        <v>219</v>
      </c>
      <c r="B270" s="19" t="s">
        <v>122</v>
      </c>
      <c r="C270" s="19" t="s">
        <v>25</v>
      </c>
      <c r="D270" s="19" t="s">
        <v>90</v>
      </c>
      <c r="E270" s="19" t="s">
        <v>47</v>
      </c>
      <c r="F270" s="20">
        <v>12000</v>
      </c>
      <c r="G270" s="20">
        <v>12000</v>
      </c>
      <c r="H270" s="20">
        <v>1800000</v>
      </c>
    </row>
    <row r="271" spans="1:8" x14ac:dyDescent="0.3">
      <c r="A271" s="19" t="s">
        <v>219</v>
      </c>
      <c r="B271" s="19" t="s">
        <v>122</v>
      </c>
      <c r="C271" s="19" t="s">
        <v>101</v>
      </c>
      <c r="D271" s="19" t="s">
        <v>90</v>
      </c>
      <c r="E271" s="19" t="s">
        <v>47</v>
      </c>
      <c r="F271" s="20">
        <v>2400</v>
      </c>
      <c r="G271" s="20">
        <v>2400</v>
      </c>
      <c r="H271" s="20">
        <v>300000</v>
      </c>
    </row>
    <row r="272" spans="1:8" x14ac:dyDescent="0.3">
      <c r="A272" s="19" t="s">
        <v>219</v>
      </c>
      <c r="B272" s="19" t="s">
        <v>122</v>
      </c>
      <c r="C272" s="19" t="s">
        <v>52</v>
      </c>
      <c r="D272" s="19" t="s">
        <v>90</v>
      </c>
      <c r="E272" s="19" t="s">
        <v>47</v>
      </c>
      <c r="F272" s="20">
        <v>4700</v>
      </c>
      <c r="G272" s="20">
        <v>4700</v>
      </c>
      <c r="H272" s="20"/>
    </row>
    <row r="273" spans="1:8" x14ac:dyDescent="0.3">
      <c r="A273" s="19" t="s">
        <v>219</v>
      </c>
      <c r="B273" s="19" t="s">
        <v>122</v>
      </c>
      <c r="C273" s="19" t="s">
        <v>48</v>
      </c>
      <c r="D273" s="19" t="s">
        <v>90</v>
      </c>
      <c r="E273" s="19" t="s">
        <v>47</v>
      </c>
      <c r="F273" s="20">
        <v>4300</v>
      </c>
      <c r="G273" s="20">
        <v>4300</v>
      </c>
      <c r="H273" s="20">
        <v>37000</v>
      </c>
    </row>
    <row r="274" spans="1:8" x14ac:dyDescent="0.3">
      <c r="A274" s="19" t="s">
        <v>219</v>
      </c>
      <c r="B274" s="19" t="s">
        <v>122</v>
      </c>
      <c r="C274" s="19" t="s">
        <v>27</v>
      </c>
      <c r="D274" s="19" t="s">
        <v>90</v>
      </c>
      <c r="E274" s="19" t="s">
        <v>47</v>
      </c>
      <c r="F274" s="20">
        <v>16000</v>
      </c>
      <c r="G274" s="20">
        <v>16000</v>
      </c>
      <c r="H274" s="20">
        <v>750000</v>
      </c>
    </row>
    <row r="275" spans="1:8" x14ac:dyDescent="0.3">
      <c r="A275" s="19" t="s">
        <v>219</v>
      </c>
      <c r="B275" s="19" t="s">
        <v>122</v>
      </c>
      <c r="C275" s="19" t="s">
        <v>39</v>
      </c>
      <c r="D275" s="19" t="s">
        <v>90</v>
      </c>
      <c r="E275" s="19" t="s">
        <v>47</v>
      </c>
      <c r="F275" s="20">
        <v>4300</v>
      </c>
      <c r="G275" s="20">
        <v>4300</v>
      </c>
      <c r="H275" s="20"/>
    </row>
    <row r="276" spans="1:8" x14ac:dyDescent="0.3">
      <c r="A276" s="19" t="s">
        <v>219</v>
      </c>
      <c r="B276" s="19" t="s">
        <v>122</v>
      </c>
      <c r="C276" s="19" t="s">
        <v>30</v>
      </c>
      <c r="D276" s="19" t="s">
        <v>90</v>
      </c>
      <c r="E276" s="19" t="s">
        <v>47</v>
      </c>
      <c r="F276" s="20">
        <v>5400</v>
      </c>
      <c r="G276" s="20">
        <v>5400</v>
      </c>
      <c r="H276" s="20"/>
    </row>
    <row r="277" spans="1:8" x14ac:dyDescent="0.3">
      <c r="A277" s="19" t="s">
        <v>219</v>
      </c>
      <c r="B277" s="19" t="s">
        <v>122</v>
      </c>
      <c r="C277" s="19" t="s">
        <v>124</v>
      </c>
      <c r="D277" s="19" t="s">
        <v>90</v>
      </c>
      <c r="E277" s="19" t="s">
        <v>47</v>
      </c>
      <c r="F277" s="20">
        <v>14000</v>
      </c>
      <c r="G277" s="20">
        <v>14000</v>
      </c>
      <c r="H277" s="20"/>
    </row>
    <row r="278" spans="1:8" x14ac:dyDescent="0.3">
      <c r="A278" s="19" t="s">
        <v>219</v>
      </c>
      <c r="B278" s="19" t="s">
        <v>122</v>
      </c>
      <c r="C278" s="19" t="s">
        <v>49</v>
      </c>
      <c r="D278" s="19" t="s">
        <v>90</v>
      </c>
      <c r="E278" s="19" t="s">
        <v>47</v>
      </c>
      <c r="F278" s="20">
        <v>22000</v>
      </c>
      <c r="G278" s="20">
        <v>23000</v>
      </c>
      <c r="H278" s="20"/>
    </row>
    <row r="279" spans="1:8" x14ac:dyDescent="0.3">
      <c r="A279" s="19" t="s">
        <v>219</v>
      </c>
      <c r="B279" s="19" t="s">
        <v>122</v>
      </c>
      <c r="C279" s="19" t="s">
        <v>229</v>
      </c>
      <c r="D279" s="19" t="s">
        <v>90</v>
      </c>
      <c r="E279" s="19" t="s">
        <v>47</v>
      </c>
      <c r="F279" s="20">
        <v>10000</v>
      </c>
      <c r="G279" s="20">
        <v>10000</v>
      </c>
      <c r="H279" s="20">
        <v>200000</v>
      </c>
    </row>
    <row r="280" spans="1:8" x14ac:dyDescent="0.3">
      <c r="A280" s="19" t="s">
        <v>219</v>
      </c>
      <c r="B280" s="19" t="s">
        <v>122</v>
      </c>
      <c r="C280" s="19" t="s">
        <v>32</v>
      </c>
      <c r="D280" s="19" t="s">
        <v>90</v>
      </c>
      <c r="E280" s="19" t="s">
        <v>47</v>
      </c>
      <c r="F280" s="20">
        <v>4300</v>
      </c>
      <c r="G280" s="20">
        <v>4300</v>
      </c>
      <c r="H280" s="20"/>
    </row>
    <row r="281" spans="1:8" x14ac:dyDescent="0.3">
      <c r="A281" s="19" t="s">
        <v>219</v>
      </c>
      <c r="B281" s="19" t="s">
        <v>122</v>
      </c>
      <c r="C281" s="19" t="s">
        <v>57</v>
      </c>
      <c r="D281" s="19" t="s">
        <v>90</v>
      </c>
      <c r="E281" s="19" t="s">
        <v>47</v>
      </c>
      <c r="F281" s="20">
        <v>3800</v>
      </c>
      <c r="G281" s="20">
        <v>3800</v>
      </c>
      <c r="H281" s="20"/>
    </row>
    <row r="282" spans="1:8" x14ac:dyDescent="0.3">
      <c r="A282" s="19" t="s">
        <v>219</v>
      </c>
      <c r="B282" s="19" t="s">
        <v>122</v>
      </c>
      <c r="C282" s="19" t="s">
        <v>58</v>
      </c>
      <c r="D282" s="19" t="s">
        <v>90</v>
      </c>
      <c r="E282" s="19" t="s">
        <v>47</v>
      </c>
      <c r="F282" s="20">
        <v>11000</v>
      </c>
      <c r="G282" s="20">
        <v>11000</v>
      </c>
      <c r="H282" s="20"/>
    </row>
    <row r="283" spans="1:8" x14ac:dyDescent="0.3">
      <c r="A283" s="19" t="s">
        <v>219</v>
      </c>
      <c r="B283" s="19" t="s">
        <v>122</v>
      </c>
      <c r="C283" s="19" t="s">
        <v>104</v>
      </c>
      <c r="D283" s="19" t="s">
        <v>90</v>
      </c>
      <c r="E283" s="19" t="s">
        <v>47</v>
      </c>
      <c r="F283" s="20">
        <v>8700</v>
      </c>
      <c r="G283" s="20">
        <v>8700</v>
      </c>
      <c r="H283" s="20">
        <v>910000</v>
      </c>
    </row>
    <row r="284" spans="1:8" x14ac:dyDescent="0.3">
      <c r="A284" s="19" t="s">
        <v>219</v>
      </c>
      <c r="B284" s="19" t="s">
        <v>122</v>
      </c>
      <c r="C284" s="19" t="s">
        <v>230</v>
      </c>
      <c r="D284" s="19" t="s">
        <v>90</v>
      </c>
      <c r="E284" s="19" t="s">
        <v>47</v>
      </c>
      <c r="F284" s="20">
        <v>20800</v>
      </c>
      <c r="G284" s="20">
        <v>20000</v>
      </c>
      <c r="H284" s="20">
        <v>700000</v>
      </c>
    </row>
    <row r="285" spans="1:8" x14ac:dyDescent="0.3">
      <c r="A285" s="19" t="s">
        <v>219</v>
      </c>
      <c r="B285" s="19" t="s">
        <v>122</v>
      </c>
      <c r="C285" s="19" t="s">
        <v>83</v>
      </c>
      <c r="D285" s="19" t="s">
        <v>90</v>
      </c>
      <c r="E285" s="19" t="s">
        <v>47</v>
      </c>
      <c r="F285" s="20">
        <v>2500</v>
      </c>
      <c r="G285" s="20">
        <v>2500</v>
      </c>
      <c r="H285" s="20"/>
    </row>
    <row r="286" spans="1:8" x14ac:dyDescent="0.3">
      <c r="A286" s="19" t="s">
        <v>219</v>
      </c>
      <c r="B286" s="19" t="s">
        <v>122</v>
      </c>
      <c r="C286" s="19" t="s">
        <v>35</v>
      </c>
      <c r="D286" s="19" t="s">
        <v>90</v>
      </c>
      <c r="E286" s="19" t="s">
        <v>47</v>
      </c>
      <c r="F286" s="20">
        <v>162000</v>
      </c>
      <c r="G286" s="20">
        <v>160000</v>
      </c>
      <c r="H286" s="20"/>
    </row>
    <row r="287" spans="1:8" x14ac:dyDescent="0.3">
      <c r="A287" s="19" t="s">
        <v>219</v>
      </c>
      <c r="B287" s="19" t="s">
        <v>125</v>
      </c>
      <c r="C287" s="19" t="s">
        <v>38</v>
      </c>
      <c r="D287" s="19" t="s">
        <v>66</v>
      </c>
      <c r="E287" s="19" t="s">
        <v>21</v>
      </c>
      <c r="F287" s="20">
        <v>19</v>
      </c>
      <c r="G287" s="20">
        <v>10</v>
      </c>
      <c r="H287" s="20"/>
    </row>
    <row r="288" spans="1:8" x14ac:dyDescent="0.3">
      <c r="A288" s="19" t="s">
        <v>219</v>
      </c>
      <c r="B288" s="19" t="s">
        <v>125</v>
      </c>
      <c r="C288" s="19" t="s">
        <v>220</v>
      </c>
      <c r="D288" s="19" t="s">
        <v>66</v>
      </c>
      <c r="E288" s="19" t="s">
        <v>21</v>
      </c>
      <c r="F288" s="20">
        <v>40</v>
      </c>
      <c r="G288" s="20">
        <v>40</v>
      </c>
      <c r="H288" s="20"/>
    </row>
    <row r="289" spans="1:8" x14ac:dyDescent="0.3">
      <c r="A289" s="19" t="s">
        <v>219</v>
      </c>
      <c r="B289" s="19" t="s">
        <v>125</v>
      </c>
      <c r="C289" s="19" t="s">
        <v>25</v>
      </c>
      <c r="D289" s="19" t="s">
        <v>66</v>
      </c>
      <c r="E289" s="19" t="s">
        <v>21</v>
      </c>
      <c r="F289" s="20">
        <v>760</v>
      </c>
      <c r="G289" s="20">
        <v>760</v>
      </c>
      <c r="H289" s="20"/>
    </row>
    <row r="290" spans="1:8" x14ac:dyDescent="0.3">
      <c r="A290" s="19" t="s">
        <v>219</v>
      </c>
      <c r="B290" s="19" t="s">
        <v>125</v>
      </c>
      <c r="C290" s="19" t="s">
        <v>101</v>
      </c>
      <c r="D290" s="19" t="s">
        <v>66</v>
      </c>
      <c r="E290" s="19" t="s">
        <v>21</v>
      </c>
      <c r="F290" s="20">
        <v>21</v>
      </c>
      <c r="G290" s="20">
        <v>21</v>
      </c>
      <c r="H290" s="20"/>
    </row>
    <row r="291" spans="1:8" x14ac:dyDescent="0.3">
      <c r="A291" s="19" t="s">
        <v>219</v>
      </c>
      <c r="B291" s="19" t="s">
        <v>125</v>
      </c>
      <c r="C291" s="19" t="s">
        <v>39</v>
      </c>
      <c r="D291" s="19" t="s">
        <v>66</v>
      </c>
      <c r="E291" s="19" t="s">
        <v>21</v>
      </c>
      <c r="F291" s="20">
        <v>65</v>
      </c>
      <c r="G291" s="20">
        <v>65</v>
      </c>
      <c r="H291" s="20"/>
    </row>
    <row r="292" spans="1:8" x14ac:dyDescent="0.3">
      <c r="A292" s="19" t="s">
        <v>219</v>
      </c>
      <c r="B292" s="19" t="s">
        <v>125</v>
      </c>
      <c r="C292" s="19" t="s">
        <v>32</v>
      </c>
      <c r="D292" s="19" t="s">
        <v>66</v>
      </c>
      <c r="E292" s="19" t="s">
        <v>21</v>
      </c>
      <c r="F292" s="20">
        <v>5</v>
      </c>
      <c r="G292" s="20">
        <v>5</v>
      </c>
      <c r="H292" s="20"/>
    </row>
    <row r="293" spans="1:8" x14ac:dyDescent="0.3">
      <c r="A293" s="19" t="s">
        <v>219</v>
      </c>
      <c r="B293" s="19" t="s">
        <v>125</v>
      </c>
      <c r="C293" s="19" t="s">
        <v>235</v>
      </c>
      <c r="D293" s="19" t="s">
        <v>66</v>
      </c>
      <c r="E293" s="19" t="s">
        <v>21</v>
      </c>
      <c r="F293" s="20">
        <v>180</v>
      </c>
      <c r="G293" s="20">
        <v>180</v>
      </c>
      <c r="H293" s="20"/>
    </row>
    <row r="294" spans="1:8" x14ac:dyDescent="0.3">
      <c r="A294" s="19" t="s">
        <v>219</v>
      </c>
      <c r="B294" s="19" t="s">
        <v>125</v>
      </c>
      <c r="C294" s="19" t="s">
        <v>230</v>
      </c>
      <c r="D294" s="19" t="s">
        <v>66</v>
      </c>
      <c r="E294" s="19" t="s">
        <v>21</v>
      </c>
      <c r="F294" s="20"/>
      <c r="G294" s="20"/>
      <c r="H294" s="20"/>
    </row>
    <row r="295" spans="1:8" x14ac:dyDescent="0.3">
      <c r="A295" s="19" t="s">
        <v>219</v>
      </c>
      <c r="B295" s="19" t="s">
        <v>125</v>
      </c>
      <c r="C295" s="19" t="s">
        <v>83</v>
      </c>
      <c r="D295" s="19" t="s">
        <v>66</v>
      </c>
      <c r="E295" s="19" t="s">
        <v>21</v>
      </c>
      <c r="F295" s="20">
        <v>1</v>
      </c>
      <c r="G295" s="20">
        <v>1</v>
      </c>
      <c r="H295" s="20"/>
    </row>
    <row r="296" spans="1:8" x14ac:dyDescent="0.3">
      <c r="A296" s="19" t="s">
        <v>219</v>
      </c>
      <c r="B296" s="19" t="s">
        <v>125</v>
      </c>
      <c r="C296" s="19" t="s">
        <v>35</v>
      </c>
      <c r="D296" s="19" t="s">
        <v>66</v>
      </c>
      <c r="E296" s="19" t="s">
        <v>21</v>
      </c>
      <c r="F296" s="20">
        <v>1090</v>
      </c>
      <c r="G296" s="20">
        <v>1100</v>
      </c>
      <c r="H296" s="20"/>
    </row>
    <row r="297" spans="1:8" x14ac:dyDescent="0.3">
      <c r="A297" s="19" t="s">
        <v>219</v>
      </c>
      <c r="B297" s="19" t="s">
        <v>126</v>
      </c>
      <c r="C297" s="19" t="s">
        <v>128</v>
      </c>
      <c r="D297" s="19" t="s">
        <v>127</v>
      </c>
      <c r="E297" s="19" t="s">
        <v>21</v>
      </c>
      <c r="F297" s="20">
        <v>210</v>
      </c>
      <c r="G297" s="20">
        <v>210</v>
      </c>
      <c r="H297" s="20">
        <v>170000</v>
      </c>
    </row>
    <row r="298" spans="1:8" x14ac:dyDescent="0.3">
      <c r="A298" s="19" t="s">
        <v>219</v>
      </c>
      <c r="B298" s="19" t="s">
        <v>126</v>
      </c>
      <c r="C298" s="19" t="s">
        <v>71</v>
      </c>
      <c r="D298" s="19" t="s">
        <v>127</v>
      </c>
      <c r="E298" s="19" t="s">
        <v>21</v>
      </c>
      <c r="F298" s="20">
        <v>22000</v>
      </c>
      <c r="G298" s="20">
        <v>23000</v>
      </c>
      <c r="H298" s="20">
        <v>750000</v>
      </c>
    </row>
    <row r="299" spans="1:8" x14ac:dyDescent="0.3">
      <c r="A299" s="19" t="s">
        <v>219</v>
      </c>
      <c r="B299" s="19" t="s">
        <v>126</v>
      </c>
      <c r="C299" s="19" t="s">
        <v>55</v>
      </c>
      <c r="D299" s="19" t="s">
        <v>127</v>
      </c>
      <c r="E299" s="19" t="s">
        <v>21</v>
      </c>
      <c r="F299" s="20">
        <v>30</v>
      </c>
      <c r="G299" s="20">
        <v>50</v>
      </c>
      <c r="H299" s="20"/>
    </row>
    <row r="300" spans="1:8" x14ac:dyDescent="0.3">
      <c r="A300" s="19" t="s">
        <v>219</v>
      </c>
      <c r="B300" s="19" t="s">
        <v>126</v>
      </c>
      <c r="C300" s="19" t="s">
        <v>27</v>
      </c>
      <c r="D300" s="19" t="s">
        <v>127</v>
      </c>
      <c r="E300" s="19" t="s">
        <v>21</v>
      </c>
      <c r="F300" s="20">
        <v>700</v>
      </c>
      <c r="G300" s="20">
        <v>700</v>
      </c>
      <c r="H300" s="20">
        <v>40000</v>
      </c>
    </row>
    <row r="301" spans="1:8" x14ac:dyDescent="0.3">
      <c r="A301" s="19" t="s">
        <v>219</v>
      </c>
      <c r="B301" s="19" t="s">
        <v>126</v>
      </c>
      <c r="C301" s="19" t="s">
        <v>39</v>
      </c>
      <c r="D301" s="19" t="s">
        <v>127</v>
      </c>
      <c r="E301" s="19" t="s">
        <v>21</v>
      </c>
      <c r="F301" s="20">
        <v>9300</v>
      </c>
      <c r="G301" s="20">
        <v>9000</v>
      </c>
      <c r="H301" s="20">
        <v>4900000</v>
      </c>
    </row>
    <row r="302" spans="1:8" x14ac:dyDescent="0.3">
      <c r="A302" s="19" t="s">
        <v>219</v>
      </c>
      <c r="B302" s="19" t="s">
        <v>126</v>
      </c>
      <c r="C302" s="19" t="s">
        <v>32</v>
      </c>
      <c r="D302" s="19" t="s">
        <v>127</v>
      </c>
      <c r="E302" s="19" t="s">
        <v>21</v>
      </c>
      <c r="F302" s="20">
        <v>5</v>
      </c>
      <c r="G302" s="20">
        <v>8</v>
      </c>
      <c r="H302" s="20">
        <v>120000</v>
      </c>
    </row>
    <row r="303" spans="1:8" x14ac:dyDescent="0.3">
      <c r="A303" s="19" t="s">
        <v>219</v>
      </c>
      <c r="B303" s="19" t="s">
        <v>126</v>
      </c>
      <c r="C303" s="19" t="s">
        <v>129</v>
      </c>
      <c r="D303" s="19" t="s">
        <v>127</v>
      </c>
      <c r="E303" s="19" t="s">
        <v>21</v>
      </c>
      <c r="F303" s="20">
        <v>800</v>
      </c>
      <c r="G303" s="20">
        <v>800</v>
      </c>
      <c r="H303" s="20">
        <v>70000</v>
      </c>
    </row>
    <row r="304" spans="1:8" x14ac:dyDescent="0.3">
      <c r="A304" s="19" t="s">
        <v>219</v>
      </c>
      <c r="B304" s="19" t="s">
        <v>126</v>
      </c>
      <c r="C304" s="19" t="s">
        <v>230</v>
      </c>
      <c r="D304" s="19" t="s">
        <v>127</v>
      </c>
      <c r="E304" s="19" t="s">
        <v>21</v>
      </c>
      <c r="F304" s="20"/>
      <c r="G304" s="20"/>
      <c r="H304" s="20">
        <v>250000</v>
      </c>
    </row>
    <row r="305" spans="1:8" x14ac:dyDescent="0.3">
      <c r="A305" s="19" t="s">
        <v>219</v>
      </c>
      <c r="B305" s="19" t="s">
        <v>126</v>
      </c>
      <c r="C305" s="19" t="s">
        <v>35</v>
      </c>
      <c r="D305" s="19" t="s">
        <v>127</v>
      </c>
      <c r="E305" s="19" t="s">
        <v>21</v>
      </c>
      <c r="F305" s="20">
        <v>33000</v>
      </c>
      <c r="G305" s="20">
        <v>34000</v>
      </c>
      <c r="H305" s="20">
        <v>6300000</v>
      </c>
    </row>
    <row r="306" spans="1:8" x14ac:dyDescent="0.3">
      <c r="A306" s="19" t="s">
        <v>219</v>
      </c>
      <c r="B306" s="19" t="s">
        <v>243</v>
      </c>
      <c r="C306" s="19" t="s">
        <v>22</v>
      </c>
      <c r="D306" s="19" t="s">
        <v>131</v>
      </c>
      <c r="E306" s="19" t="s">
        <v>47</v>
      </c>
      <c r="F306" s="20">
        <v>607000</v>
      </c>
      <c r="G306" s="20">
        <v>600000</v>
      </c>
      <c r="H306" s="20">
        <v>27000000</v>
      </c>
    </row>
    <row r="307" spans="1:8" x14ac:dyDescent="0.3">
      <c r="A307" s="19" t="s">
        <v>219</v>
      </c>
      <c r="B307" s="19" t="s">
        <v>243</v>
      </c>
      <c r="C307" s="19" t="s">
        <v>44</v>
      </c>
      <c r="D307" s="19" t="s">
        <v>131</v>
      </c>
      <c r="E307" s="19" t="s">
        <v>47</v>
      </c>
      <c r="F307" s="20">
        <v>268000</v>
      </c>
      <c r="G307" s="20">
        <v>260000</v>
      </c>
      <c r="H307" s="20">
        <v>15000000</v>
      </c>
    </row>
    <row r="308" spans="1:8" x14ac:dyDescent="0.3">
      <c r="A308" s="19" t="s">
        <v>219</v>
      </c>
      <c r="B308" s="19" t="s">
        <v>243</v>
      </c>
      <c r="C308" s="19" t="s">
        <v>220</v>
      </c>
      <c r="D308" s="19" t="s">
        <v>131</v>
      </c>
      <c r="E308" s="19" t="s">
        <v>47</v>
      </c>
      <c r="F308" s="20">
        <v>42000</v>
      </c>
      <c r="G308" s="20">
        <v>41000</v>
      </c>
      <c r="H308" s="20">
        <v>2300000</v>
      </c>
    </row>
    <row r="309" spans="1:8" x14ac:dyDescent="0.3">
      <c r="A309" s="19" t="s">
        <v>219</v>
      </c>
      <c r="B309" s="19" t="s">
        <v>243</v>
      </c>
      <c r="C309" s="19" t="s">
        <v>71</v>
      </c>
      <c r="D309" s="19" t="s">
        <v>131</v>
      </c>
      <c r="E309" s="19" t="s">
        <v>47</v>
      </c>
      <c r="F309" s="20">
        <v>11000</v>
      </c>
      <c r="G309" s="20">
        <v>12000</v>
      </c>
      <c r="H309" s="20">
        <v>740000</v>
      </c>
    </row>
    <row r="310" spans="1:8" x14ac:dyDescent="0.3">
      <c r="A310" s="19" t="s">
        <v>219</v>
      </c>
      <c r="B310" s="19" t="s">
        <v>243</v>
      </c>
      <c r="C310" s="19" t="s">
        <v>25</v>
      </c>
      <c r="D310" s="19" t="s">
        <v>131</v>
      </c>
      <c r="E310" s="19" t="s">
        <v>47</v>
      </c>
      <c r="F310" s="20">
        <v>183000</v>
      </c>
      <c r="G310" s="20">
        <v>180000</v>
      </c>
      <c r="H310" s="20">
        <v>3000000</v>
      </c>
    </row>
    <row r="311" spans="1:8" x14ac:dyDescent="0.3">
      <c r="A311" s="19" t="s">
        <v>219</v>
      </c>
      <c r="B311" s="19" t="s">
        <v>243</v>
      </c>
      <c r="C311" s="19" t="s">
        <v>48</v>
      </c>
      <c r="D311" s="19" t="s">
        <v>131</v>
      </c>
      <c r="E311" s="19" t="s">
        <v>47</v>
      </c>
      <c r="F311" s="20">
        <v>175000</v>
      </c>
      <c r="G311" s="20">
        <v>190000</v>
      </c>
      <c r="H311" s="20">
        <v>3400000</v>
      </c>
    </row>
    <row r="312" spans="1:8" x14ac:dyDescent="0.3">
      <c r="A312" s="19" t="s">
        <v>219</v>
      </c>
      <c r="B312" s="19" t="s">
        <v>243</v>
      </c>
      <c r="C312" s="19" t="s">
        <v>27</v>
      </c>
      <c r="D312" s="19" t="s">
        <v>131</v>
      </c>
      <c r="E312" s="19" t="s">
        <v>47</v>
      </c>
      <c r="F312" s="20">
        <v>59000</v>
      </c>
      <c r="G312" s="20">
        <v>61000</v>
      </c>
      <c r="H312" s="20">
        <v>1500000</v>
      </c>
    </row>
    <row r="313" spans="1:8" x14ac:dyDescent="0.3">
      <c r="A313" s="19" t="s">
        <v>219</v>
      </c>
      <c r="B313" s="19" t="s">
        <v>243</v>
      </c>
      <c r="C313" s="19" t="s">
        <v>28</v>
      </c>
      <c r="D313" s="19" t="s">
        <v>131</v>
      </c>
      <c r="E313" s="19" t="s">
        <v>47</v>
      </c>
      <c r="F313" s="20">
        <v>11100</v>
      </c>
      <c r="G313" s="20">
        <v>11000</v>
      </c>
      <c r="H313" s="20">
        <v>1500000</v>
      </c>
    </row>
    <row r="314" spans="1:8" x14ac:dyDescent="0.3">
      <c r="A314" s="19" t="s">
        <v>219</v>
      </c>
      <c r="B314" s="19" t="s">
        <v>243</v>
      </c>
      <c r="C314" s="19" t="s">
        <v>132</v>
      </c>
      <c r="D314" s="19" t="s">
        <v>131</v>
      </c>
      <c r="E314" s="19" t="s">
        <v>47</v>
      </c>
      <c r="F314" s="20">
        <v>8940</v>
      </c>
      <c r="G314" s="20">
        <v>9300</v>
      </c>
      <c r="H314" s="20">
        <v>4400000</v>
      </c>
    </row>
    <row r="315" spans="1:8" x14ac:dyDescent="0.3">
      <c r="A315" s="19" t="s">
        <v>219</v>
      </c>
      <c r="B315" s="19" t="s">
        <v>243</v>
      </c>
      <c r="C315" s="19" t="s">
        <v>30</v>
      </c>
      <c r="D315" s="19" t="s">
        <v>131</v>
      </c>
      <c r="E315" s="19" t="s">
        <v>47</v>
      </c>
      <c r="F315" s="20">
        <v>4900</v>
      </c>
      <c r="G315" s="20">
        <v>4800</v>
      </c>
      <c r="H315" s="20">
        <v>520000</v>
      </c>
    </row>
    <row r="316" spans="1:8" x14ac:dyDescent="0.3">
      <c r="A316" s="19" t="s">
        <v>219</v>
      </c>
      <c r="B316" s="19" t="s">
        <v>243</v>
      </c>
      <c r="C316" s="19" t="s">
        <v>49</v>
      </c>
      <c r="D316" s="19" t="s">
        <v>131</v>
      </c>
      <c r="E316" s="19" t="s">
        <v>47</v>
      </c>
      <c r="F316" s="20">
        <v>34700</v>
      </c>
      <c r="G316" s="20">
        <v>36000</v>
      </c>
      <c r="H316" s="20">
        <v>6000000</v>
      </c>
    </row>
    <row r="317" spans="1:8" x14ac:dyDescent="0.3">
      <c r="A317" s="19" t="s">
        <v>219</v>
      </c>
      <c r="B317" s="19" t="s">
        <v>243</v>
      </c>
      <c r="C317" s="19" t="s">
        <v>41</v>
      </c>
      <c r="D317" s="19" t="s">
        <v>131</v>
      </c>
      <c r="E317" s="19" t="s">
        <v>47</v>
      </c>
      <c r="F317" s="20">
        <v>13300</v>
      </c>
      <c r="G317" s="20">
        <v>14000</v>
      </c>
      <c r="H317" s="20">
        <v>1000000</v>
      </c>
    </row>
    <row r="318" spans="1:8" x14ac:dyDescent="0.3">
      <c r="A318" s="19" t="s">
        <v>219</v>
      </c>
      <c r="B318" s="19" t="s">
        <v>243</v>
      </c>
      <c r="C318" s="19" t="s">
        <v>229</v>
      </c>
      <c r="D318" s="19" t="s">
        <v>131</v>
      </c>
      <c r="E318" s="19" t="s">
        <v>47</v>
      </c>
      <c r="F318" s="20">
        <v>11000</v>
      </c>
      <c r="G318" s="20">
        <v>11000</v>
      </c>
      <c r="H318" s="20">
        <v>99000</v>
      </c>
    </row>
    <row r="319" spans="1:8" x14ac:dyDescent="0.3">
      <c r="A319" s="19" t="s">
        <v>219</v>
      </c>
      <c r="B319" s="19" t="s">
        <v>243</v>
      </c>
      <c r="C319" s="19" t="s">
        <v>32</v>
      </c>
      <c r="D319" s="19" t="s">
        <v>131</v>
      </c>
      <c r="E319" s="19" t="s">
        <v>47</v>
      </c>
      <c r="F319" s="20">
        <v>53000</v>
      </c>
      <c r="G319" s="20">
        <v>50000</v>
      </c>
      <c r="H319" s="20">
        <v>14000000</v>
      </c>
    </row>
    <row r="320" spans="1:8" x14ac:dyDescent="0.3">
      <c r="A320" s="19" t="s">
        <v>219</v>
      </c>
      <c r="B320" s="19" t="s">
        <v>243</v>
      </c>
      <c r="C320" s="19" t="s">
        <v>87</v>
      </c>
      <c r="D320" s="19" t="s">
        <v>131</v>
      </c>
      <c r="E320" s="19" t="s">
        <v>47</v>
      </c>
      <c r="F320" s="20">
        <v>41000</v>
      </c>
      <c r="G320" s="20">
        <v>42000</v>
      </c>
      <c r="H320" s="20">
        <v>680000</v>
      </c>
    </row>
    <row r="321" spans="1:8" x14ac:dyDescent="0.3">
      <c r="A321" s="19" t="s">
        <v>219</v>
      </c>
      <c r="B321" s="19" t="s">
        <v>243</v>
      </c>
      <c r="C321" s="19" t="s">
        <v>133</v>
      </c>
      <c r="D321" s="19" t="s">
        <v>131</v>
      </c>
      <c r="E321" s="19" t="s">
        <v>47</v>
      </c>
      <c r="F321" s="20">
        <v>18000</v>
      </c>
      <c r="G321" s="20">
        <v>18000</v>
      </c>
      <c r="H321" s="20">
        <v>600000</v>
      </c>
    </row>
    <row r="322" spans="1:8" x14ac:dyDescent="0.3">
      <c r="A322" s="19" t="s">
        <v>219</v>
      </c>
      <c r="B322" s="19" t="s">
        <v>243</v>
      </c>
      <c r="C322" s="19" t="s">
        <v>77</v>
      </c>
      <c r="D322" s="19" t="s">
        <v>131</v>
      </c>
      <c r="E322" s="19" t="s">
        <v>47</v>
      </c>
      <c r="F322" s="20">
        <v>34000</v>
      </c>
      <c r="G322" s="20">
        <v>32000</v>
      </c>
      <c r="H322" s="20">
        <v>2300000</v>
      </c>
    </row>
    <row r="323" spans="1:8" x14ac:dyDescent="0.3">
      <c r="A323" s="19" t="s">
        <v>219</v>
      </c>
      <c r="B323" s="19" t="s">
        <v>243</v>
      </c>
      <c r="C323" s="19" t="s">
        <v>230</v>
      </c>
      <c r="D323" s="19" t="s">
        <v>131</v>
      </c>
      <c r="E323" s="19" t="s">
        <v>47</v>
      </c>
      <c r="F323" s="20">
        <v>28600</v>
      </c>
      <c r="G323" s="20">
        <v>24000</v>
      </c>
      <c r="H323" s="20">
        <v>2700000</v>
      </c>
    </row>
    <row r="324" spans="1:8" x14ac:dyDescent="0.3">
      <c r="A324" s="19" t="s">
        <v>219</v>
      </c>
      <c r="B324" s="19" t="s">
        <v>243</v>
      </c>
      <c r="C324" s="19" t="s">
        <v>35</v>
      </c>
      <c r="D324" s="19" t="s">
        <v>131</v>
      </c>
      <c r="E324" s="19" t="s">
        <v>47</v>
      </c>
      <c r="F324" s="20">
        <v>1600000</v>
      </c>
      <c r="G324" s="20">
        <v>1600000</v>
      </c>
      <c r="H324" s="20">
        <v>87000000</v>
      </c>
    </row>
    <row r="325" spans="1:8" x14ac:dyDescent="0.3">
      <c r="A325" s="19" t="s">
        <v>219</v>
      </c>
      <c r="B325" s="19" t="s">
        <v>244</v>
      </c>
      <c r="C325" s="19" t="s">
        <v>25</v>
      </c>
      <c r="D325" s="19" t="s">
        <v>118</v>
      </c>
      <c r="E325" s="19" t="s">
        <v>21</v>
      </c>
      <c r="F325" s="20">
        <v>50000</v>
      </c>
      <c r="G325" s="20">
        <v>50000</v>
      </c>
      <c r="H325" s="20">
        <v>5000000</v>
      </c>
    </row>
    <row r="326" spans="1:8" x14ac:dyDescent="0.3">
      <c r="A326" s="19" t="s">
        <v>219</v>
      </c>
      <c r="B326" s="19" t="s">
        <v>244</v>
      </c>
      <c r="C326" s="19" t="s">
        <v>245</v>
      </c>
      <c r="D326" s="19" t="s">
        <v>118</v>
      </c>
      <c r="E326" s="19" t="s">
        <v>21</v>
      </c>
      <c r="F326" s="20">
        <v>60000</v>
      </c>
      <c r="G326" s="20">
        <v>60000</v>
      </c>
      <c r="H326" s="20"/>
    </row>
    <row r="327" spans="1:8" x14ac:dyDescent="0.3">
      <c r="A327" s="19" t="s">
        <v>219</v>
      </c>
      <c r="B327" s="19" t="s">
        <v>244</v>
      </c>
      <c r="C327" s="19" t="s">
        <v>246</v>
      </c>
      <c r="D327" s="19" t="s">
        <v>118</v>
      </c>
      <c r="E327" s="19" t="s">
        <v>21</v>
      </c>
      <c r="F327" s="20">
        <v>2710</v>
      </c>
      <c r="G327" s="20">
        <v>2500</v>
      </c>
      <c r="H327" s="20">
        <v>9100000</v>
      </c>
    </row>
    <row r="328" spans="1:8" x14ac:dyDescent="0.3">
      <c r="A328" s="19" t="s">
        <v>219</v>
      </c>
      <c r="B328" s="19" t="s">
        <v>244</v>
      </c>
      <c r="C328" s="19" t="s">
        <v>247</v>
      </c>
      <c r="D328" s="19" t="s">
        <v>118</v>
      </c>
      <c r="E328" s="19" t="s">
        <v>21</v>
      </c>
      <c r="F328" s="20">
        <v>40000</v>
      </c>
      <c r="G328" s="20">
        <v>40000</v>
      </c>
      <c r="H328" s="20"/>
    </row>
    <row r="329" spans="1:8" x14ac:dyDescent="0.3">
      <c r="A329" s="19" t="s">
        <v>219</v>
      </c>
      <c r="B329" s="19" t="s">
        <v>244</v>
      </c>
      <c r="C329" s="19" t="s">
        <v>87</v>
      </c>
      <c r="D329" s="19" t="s">
        <v>118</v>
      </c>
      <c r="E329" s="19" t="s">
        <v>21</v>
      </c>
      <c r="F329" s="20">
        <v>130000</v>
      </c>
      <c r="G329" s="20">
        <v>120000</v>
      </c>
      <c r="H329" s="20"/>
    </row>
    <row r="330" spans="1:8" x14ac:dyDescent="0.3">
      <c r="A330" s="19" t="s">
        <v>219</v>
      </c>
      <c r="B330" s="19" t="s">
        <v>244</v>
      </c>
      <c r="C330" s="19" t="s">
        <v>230</v>
      </c>
      <c r="D330" s="19" t="s">
        <v>118</v>
      </c>
      <c r="E330" s="19" t="s">
        <v>21</v>
      </c>
      <c r="F330" s="20">
        <v>78600</v>
      </c>
      <c r="G330" s="20">
        <v>80000</v>
      </c>
      <c r="H330" s="20"/>
    </row>
    <row r="331" spans="1:8" x14ac:dyDescent="0.3">
      <c r="A331" s="19" t="s">
        <v>219</v>
      </c>
      <c r="B331" s="19" t="s">
        <v>244</v>
      </c>
      <c r="C331" s="19" t="s">
        <v>35</v>
      </c>
      <c r="D331" s="19" t="s">
        <v>118</v>
      </c>
      <c r="E331" s="19" t="s">
        <v>21</v>
      </c>
      <c r="F331" s="20"/>
      <c r="G331" s="20"/>
      <c r="H331" s="20"/>
    </row>
    <row r="332" spans="1:8" x14ac:dyDescent="0.3">
      <c r="A332" s="19" t="s">
        <v>219</v>
      </c>
      <c r="B332" s="19" t="s">
        <v>134</v>
      </c>
      <c r="C332" s="19" t="s">
        <v>22</v>
      </c>
      <c r="D332" s="19" t="s">
        <v>135</v>
      </c>
      <c r="E332" s="19" t="s">
        <v>47</v>
      </c>
      <c r="F332" s="20">
        <v>481</v>
      </c>
      <c r="G332" s="20">
        <v>480</v>
      </c>
      <c r="H332" s="20">
        <v>34000</v>
      </c>
    </row>
    <row r="333" spans="1:8" x14ac:dyDescent="0.3">
      <c r="A333" s="19" t="s">
        <v>219</v>
      </c>
      <c r="B333" s="19" t="s">
        <v>134</v>
      </c>
      <c r="C333" s="19" t="s">
        <v>23</v>
      </c>
      <c r="D333" s="19" t="s">
        <v>135</v>
      </c>
      <c r="E333" s="19" t="s">
        <v>47</v>
      </c>
      <c r="F333" s="20">
        <v>110</v>
      </c>
      <c r="G333" s="20">
        <v>100</v>
      </c>
      <c r="H333" s="20">
        <v>1600</v>
      </c>
    </row>
    <row r="334" spans="1:8" x14ac:dyDescent="0.3">
      <c r="A334" s="19" t="s">
        <v>219</v>
      </c>
      <c r="B334" s="19" t="s">
        <v>134</v>
      </c>
      <c r="C334" s="19" t="s">
        <v>25</v>
      </c>
      <c r="D334" s="19" t="s">
        <v>135</v>
      </c>
      <c r="E334" s="19" t="s">
        <v>47</v>
      </c>
      <c r="F334" s="20">
        <v>1940</v>
      </c>
      <c r="G334" s="20">
        <v>1900</v>
      </c>
      <c r="H334" s="20">
        <v>22000</v>
      </c>
    </row>
    <row r="335" spans="1:8" x14ac:dyDescent="0.3">
      <c r="A335" s="19" t="s">
        <v>219</v>
      </c>
      <c r="B335" s="19" t="s">
        <v>134</v>
      </c>
      <c r="C335" s="19" t="s">
        <v>48</v>
      </c>
      <c r="D335" s="19" t="s">
        <v>135</v>
      </c>
      <c r="E335" s="19" t="s">
        <v>47</v>
      </c>
      <c r="F335" s="20">
        <v>226</v>
      </c>
      <c r="G335" s="20">
        <v>220</v>
      </c>
      <c r="H335" s="20">
        <v>1900</v>
      </c>
    </row>
    <row r="336" spans="1:8" x14ac:dyDescent="0.3">
      <c r="A336" s="19" t="s">
        <v>219</v>
      </c>
      <c r="B336" s="19" t="s">
        <v>134</v>
      </c>
      <c r="C336" s="19" t="s">
        <v>27</v>
      </c>
      <c r="D336" s="19" t="s">
        <v>135</v>
      </c>
      <c r="E336" s="19" t="s">
        <v>47</v>
      </c>
      <c r="F336" s="20">
        <v>70</v>
      </c>
      <c r="G336" s="20">
        <v>70</v>
      </c>
      <c r="H336" s="20">
        <v>2000</v>
      </c>
    </row>
    <row r="337" spans="1:8" x14ac:dyDescent="0.3">
      <c r="A337" s="19" t="s">
        <v>219</v>
      </c>
      <c r="B337" s="19" t="s">
        <v>134</v>
      </c>
      <c r="C337" s="19" t="s">
        <v>30</v>
      </c>
      <c r="D337" s="19" t="s">
        <v>135</v>
      </c>
      <c r="E337" s="19" t="s">
        <v>47</v>
      </c>
      <c r="F337" s="20">
        <v>240</v>
      </c>
      <c r="G337" s="20">
        <v>200</v>
      </c>
      <c r="H337" s="20">
        <v>5600</v>
      </c>
    </row>
    <row r="338" spans="1:8" x14ac:dyDescent="0.3">
      <c r="A338" s="19" t="s">
        <v>219</v>
      </c>
      <c r="B338" s="19" t="s">
        <v>134</v>
      </c>
      <c r="C338" s="19" t="s">
        <v>49</v>
      </c>
      <c r="D338" s="19" t="s">
        <v>135</v>
      </c>
      <c r="E338" s="19" t="s">
        <v>47</v>
      </c>
      <c r="F338" s="20">
        <v>498</v>
      </c>
      <c r="G338" s="20">
        <v>500</v>
      </c>
      <c r="H338" s="20">
        <v>5900</v>
      </c>
    </row>
    <row r="339" spans="1:8" x14ac:dyDescent="0.3">
      <c r="A339" s="19" t="s">
        <v>219</v>
      </c>
      <c r="B339" s="19" t="s">
        <v>134</v>
      </c>
      <c r="C339" s="19" t="s">
        <v>41</v>
      </c>
      <c r="D339" s="19" t="s">
        <v>135</v>
      </c>
      <c r="E339" s="19" t="s">
        <v>47</v>
      </c>
      <c r="F339" s="20">
        <v>291</v>
      </c>
      <c r="G339" s="20">
        <v>290</v>
      </c>
      <c r="H339" s="20">
        <v>5000</v>
      </c>
    </row>
    <row r="340" spans="1:8" x14ac:dyDescent="0.3">
      <c r="A340" s="19" t="s">
        <v>219</v>
      </c>
      <c r="B340" s="19" t="s">
        <v>134</v>
      </c>
      <c r="C340" s="19" t="s">
        <v>229</v>
      </c>
      <c r="D340" s="19" t="s">
        <v>135</v>
      </c>
      <c r="E340" s="19" t="s">
        <v>47</v>
      </c>
      <c r="F340" s="20">
        <v>66</v>
      </c>
      <c r="G340" s="20">
        <v>70</v>
      </c>
      <c r="H340" s="20">
        <v>1600</v>
      </c>
    </row>
    <row r="341" spans="1:8" x14ac:dyDescent="0.3">
      <c r="A341" s="19" t="s">
        <v>219</v>
      </c>
      <c r="B341" s="19" t="s">
        <v>134</v>
      </c>
      <c r="C341" s="19" t="s">
        <v>32</v>
      </c>
      <c r="D341" s="19" t="s">
        <v>135</v>
      </c>
      <c r="E341" s="19" t="s">
        <v>47</v>
      </c>
      <c r="F341" s="20">
        <v>260</v>
      </c>
      <c r="G341" s="20">
        <v>260</v>
      </c>
      <c r="H341" s="20">
        <v>8900</v>
      </c>
    </row>
    <row r="342" spans="1:8" x14ac:dyDescent="0.3">
      <c r="A342" s="19" t="s">
        <v>219</v>
      </c>
      <c r="B342" s="19" t="s">
        <v>134</v>
      </c>
      <c r="C342" s="19" t="s">
        <v>133</v>
      </c>
      <c r="D342" s="19" t="s">
        <v>135</v>
      </c>
      <c r="E342" s="19" t="s">
        <v>47</v>
      </c>
      <c r="F342" s="20">
        <v>75</v>
      </c>
      <c r="G342" s="20">
        <v>70</v>
      </c>
      <c r="H342" s="20">
        <v>1700</v>
      </c>
    </row>
    <row r="343" spans="1:8" x14ac:dyDescent="0.3">
      <c r="A343" s="19" t="s">
        <v>219</v>
      </c>
      <c r="B343" s="19" t="s">
        <v>134</v>
      </c>
      <c r="C343" s="19" t="s">
        <v>33</v>
      </c>
      <c r="D343" s="19" t="s">
        <v>135</v>
      </c>
      <c r="E343" s="19" t="s">
        <v>47</v>
      </c>
      <c r="F343" s="20">
        <v>39</v>
      </c>
      <c r="G343" s="20">
        <v>40</v>
      </c>
      <c r="H343" s="20"/>
    </row>
    <row r="344" spans="1:8" x14ac:dyDescent="0.3">
      <c r="A344" s="19" t="s">
        <v>219</v>
      </c>
      <c r="B344" s="19" t="s">
        <v>134</v>
      </c>
      <c r="C344" s="19" t="s">
        <v>230</v>
      </c>
      <c r="D344" s="19" t="s">
        <v>135</v>
      </c>
      <c r="E344" s="19" t="s">
        <v>47</v>
      </c>
      <c r="F344" s="20">
        <v>304</v>
      </c>
      <c r="G344" s="20">
        <v>280</v>
      </c>
      <c r="H344" s="20">
        <v>4600</v>
      </c>
    </row>
    <row r="345" spans="1:8" x14ac:dyDescent="0.3">
      <c r="A345" s="19" t="s">
        <v>219</v>
      </c>
      <c r="B345" s="19" t="s">
        <v>134</v>
      </c>
      <c r="C345" s="19" t="s">
        <v>35</v>
      </c>
      <c r="D345" s="19" t="s">
        <v>135</v>
      </c>
      <c r="E345" s="19" t="s">
        <v>47</v>
      </c>
      <c r="F345" s="20">
        <v>4600</v>
      </c>
      <c r="G345" s="20">
        <v>4500</v>
      </c>
      <c r="H345" s="20">
        <v>95000</v>
      </c>
    </row>
    <row r="346" spans="1:8" x14ac:dyDescent="0.3">
      <c r="A346" s="19" t="s">
        <v>219</v>
      </c>
      <c r="B346" s="19" t="s">
        <v>248</v>
      </c>
      <c r="C346" s="19" t="s">
        <v>22</v>
      </c>
      <c r="D346" s="19" t="s">
        <v>136</v>
      </c>
      <c r="E346" s="19" t="s">
        <v>47</v>
      </c>
      <c r="F346" s="20">
        <v>1890</v>
      </c>
      <c r="G346" s="20">
        <v>1900</v>
      </c>
      <c r="H346" s="20"/>
    </row>
    <row r="347" spans="1:8" x14ac:dyDescent="0.3">
      <c r="A347" s="19" t="s">
        <v>219</v>
      </c>
      <c r="B347" s="19" t="s">
        <v>248</v>
      </c>
      <c r="C347" s="19" t="s">
        <v>38</v>
      </c>
      <c r="D347" s="19" t="s">
        <v>136</v>
      </c>
      <c r="E347" s="19" t="s">
        <v>47</v>
      </c>
      <c r="F347" s="20">
        <v>1100</v>
      </c>
      <c r="G347" s="20">
        <v>1100</v>
      </c>
      <c r="H347" s="20"/>
    </row>
    <row r="348" spans="1:8" x14ac:dyDescent="0.3">
      <c r="A348" s="19" t="s">
        <v>219</v>
      </c>
      <c r="B348" s="19" t="s">
        <v>248</v>
      </c>
      <c r="C348" s="19" t="s">
        <v>44</v>
      </c>
      <c r="D348" s="19" t="s">
        <v>136</v>
      </c>
      <c r="E348" s="19" t="s">
        <v>47</v>
      </c>
      <c r="F348" s="20">
        <v>8200</v>
      </c>
      <c r="G348" s="20">
        <v>8200</v>
      </c>
      <c r="H348" s="20"/>
    </row>
    <row r="349" spans="1:8" x14ac:dyDescent="0.3">
      <c r="A349" s="19" t="s">
        <v>219</v>
      </c>
      <c r="B349" s="19" t="s">
        <v>248</v>
      </c>
      <c r="C349" s="19" t="s">
        <v>67</v>
      </c>
      <c r="D349" s="19" t="s">
        <v>136</v>
      </c>
      <c r="E349" s="19" t="s">
        <v>47</v>
      </c>
      <c r="F349" s="20">
        <v>1300</v>
      </c>
      <c r="G349" s="20">
        <v>1300</v>
      </c>
      <c r="H349" s="20"/>
    </row>
    <row r="350" spans="1:8" x14ac:dyDescent="0.3">
      <c r="A350" s="19" t="s">
        <v>219</v>
      </c>
      <c r="B350" s="19" t="s">
        <v>248</v>
      </c>
      <c r="C350" s="19" t="s">
        <v>220</v>
      </c>
      <c r="D350" s="19" t="s">
        <v>136</v>
      </c>
      <c r="E350" s="19" t="s">
        <v>47</v>
      </c>
      <c r="F350" s="20">
        <v>1550</v>
      </c>
      <c r="G350" s="20">
        <v>1600</v>
      </c>
      <c r="H350" s="20"/>
    </row>
    <row r="351" spans="1:8" x14ac:dyDescent="0.3">
      <c r="A351" s="19" t="s">
        <v>219</v>
      </c>
      <c r="B351" s="19" t="s">
        <v>248</v>
      </c>
      <c r="C351" s="19" t="s">
        <v>25</v>
      </c>
      <c r="D351" s="19" t="s">
        <v>136</v>
      </c>
      <c r="E351" s="19" t="s">
        <v>47</v>
      </c>
      <c r="F351" s="20">
        <v>310000</v>
      </c>
      <c r="G351" s="20">
        <v>310000</v>
      </c>
      <c r="H351" s="20"/>
    </row>
    <row r="352" spans="1:8" x14ac:dyDescent="0.3">
      <c r="A352" s="19" t="s">
        <v>219</v>
      </c>
      <c r="B352" s="19" t="s">
        <v>248</v>
      </c>
      <c r="C352" s="19" t="s">
        <v>101</v>
      </c>
      <c r="D352" s="19" t="s">
        <v>136</v>
      </c>
      <c r="E352" s="19" t="s">
        <v>47</v>
      </c>
      <c r="F352" s="20">
        <v>3500</v>
      </c>
      <c r="G352" s="20">
        <v>3500</v>
      </c>
      <c r="H352" s="20"/>
    </row>
    <row r="353" spans="1:8" x14ac:dyDescent="0.3">
      <c r="A353" s="19" t="s">
        <v>219</v>
      </c>
      <c r="B353" s="19" t="s">
        <v>248</v>
      </c>
      <c r="C353" s="19" t="s">
        <v>52</v>
      </c>
      <c r="D353" s="19" t="s">
        <v>136</v>
      </c>
      <c r="E353" s="19" t="s">
        <v>47</v>
      </c>
      <c r="F353" s="20">
        <v>4800</v>
      </c>
      <c r="G353" s="20">
        <v>4800</v>
      </c>
      <c r="H353" s="20"/>
    </row>
    <row r="354" spans="1:8" x14ac:dyDescent="0.3">
      <c r="A354" s="19" t="s">
        <v>219</v>
      </c>
      <c r="B354" s="19" t="s">
        <v>248</v>
      </c>
      <c r="C354" s="19" t="s">
        <v>48</v>
      </c>
      <c r="D354" s="19" t="s">
        <v>136</v>
      </c>
      <c r="E354" s="19" t="s">
        <v>47</v>
      </c>
      <c r="F354" s="20">
        <v>17000</v>
      </c>
      <c r="G354" s="20">
        <v>17000</v>
      </c>
      <c r="H354" s="20"/>
    </row>
    <row r="355" spans="1:8" x14ac:dyDescent="0.3">
      <c r="A355" s="19" t="s">
        <v>219</v>
      </c>
      <c r="B355" s="19" t="s">
        <v>248</v>
      </c>
      <c r="C355" s="19" t="s">
        <v>27</v>
      </c>
      <c r="D355" s="19" t="s">
        <v>136</v>
      </c>
      <c r="E355" s="19" t="s">
        <v>47</v>
      </c>
      <c r="F355" s="20">
        <v>4000</v>
      </c>
      <c r="G355" s="20">
        <v>4000</v>
      </c>
      <c r="H355" s="20"/>
    </row>
    <row r="356" spans="1:8" x14ac:dyDescent="0.3">
      <c r="A356" s="19" t="s">
        <v>219</v>
      </c>
      <c r="B356" s="19" t="s">
        <v>248</v>
      </c>
      <c r="C356" s="19" t="s">
        <v>103</v>
      </c>
      <c r="D356" s="19" t="s">
        <v>136</v>
      </c>
      <c r="E356" s="19" t="s">
        <v>47</v>
      </c>
      <c r="F356" s="20">
        <v>2500</v>
      </c>
      <c r="G356" s="20">
        <v>2500</v>
      </c>
      <c r="H356" s="20"/>
    </row>
    <row r="357" spans="1:8" x14ac:dyDescent="0.3">
      <c r="A357" s="19" t="s">
        <v>219</v>
      </c>
      <c r="B357" s="19" t="s">
        <v>248</v>
      </c>
      <c r="C357" s="19" t="s">
        <v>238</v>
      </c>
      <c r="D357" s="19" t="s">
        <v>136</v>
      </c>
      <c r="E357" s="19" t="s">
        <v>47</v>
      </c>
      <c r="F357" s="20">
        <v>5870</v>
      </c>
      <c r="G357" s="20">
        <v>5900</v>
      </c>
      <c r="H357" s="20"/>
    </row>
    <row r="358" spans="1:8" x14ac:dyDescent="0.3">
      <c r="A358" s="19" t="s">
        <v>219</v>
      </c>
      <c r="B358" s="19" t="s">
        <v>248</v>
      </c>
      <c r="C358" s="19" t="s">
        <v>137</v>
      </c>
      <c r="D358" s="19" t="s">
        <v>136</v>
      </c>
      <c r="E358" s="19" t="s">
        <v>47</v>
      </c>
      <c r="F358" s="20">
        <v>1400</v>
      </c>
      <c r="G358" s="20">
        <v>1400</v>
      </c>
      <c r="H358" s="20"/>
    </row>
    <row r="359" spans="1:8" x14ac:dyDescent="0.3">
      <c r="A359" s="19" t="s">
        <v>219</v>
      </c>
      <c r="B359" s="19" t="s">
        <v>248</v>
      </c>
      <c r="C359" s="19" t="s">
        <v>49</v>
      </c>
      <c r="D359" s="19" t="s">
        <v>136</v>
      </c>
      <c r="E359" s="19" t="s">
        <v>47</v>
      </c>
      <c r="F359" s="20">
        <v>16200</v>
      </c>
      <c r="G359" s="20">
        <v>16000</v>
      </c>
      <c r="H359" s="20"/>
    </row>
    <row r="360" spans="1:8" x14ac:dyDescent="0.3">
      <c r="A360" s="19" t="s">
        <v>219</v>
      </c>
      <c r="B360" s="19" t="s">
        <v>248</v>
      </c>
      <c r="C360" s="19" t="s">
        <v>249</v>
      </c>
      <c r="D360" s="19" t="s">
        <v>136</v>
      </c>
      <c r="E360" s="19" t="s">
        <v>47</v>
      </c>
      <c r="F360" s="20">
        <v>1290</v>
      </c>
      <c r="G360" s="20">
        <v>1300</v>
      </c>
      <c r="H360" s="20"/>
    </row>
    <row r="361" spans="1:8" x14ac:dyDescent="0.3">
      <c r="A361" s="19" t="s">
        <v>219</v>
      </c>
      <c r="B361" s="19" t="s">
        <v>248</v>
      </c>
      <c r="C361" s="19" t="s">
        <v>229</v>
      </c>
      <c r="D361" s="19" t="s">
        <v>136</v>
      </c>
      <c r="E361" s="19" t="s">
        <v>47</v>
      </c>
      <c r="F361" s="20">
        <v>4000</v>
      </c>
      <c r="G361" s="20">
        <v>4000</v>
      </c>
      <c r="H361" s="20"/>
    </row>
    <row r="362" spans="1:8" x14ac:dyDescent="0.3">
      <c r="A362" s="19" t="s">
        <v>219</v>
      </c>
      <c r="B362" s="19" t="s">
        <v>248</v>
      </c>
      <c r="C362" s="19" t="s">
        <v>32</v>
      </c>
      <c r="D362" s="19" t="s">
        <v>136</v>
      </c>
      <c r="E362" s="19" t="s">
        <v>47</v>
      </c>
      <c r="F362" s="20">
        <v>11800</v>
      </c>
      <c r="G362" s="20">
        <v>12000</v>
      </c>
      <c r="H362" s="20"/>
    </row>
    <row r="363" spans="1:8" x14ac:dyDescent="0.3">
      <c r="A363" s="19" t="s">
        <v>219</v>
      </c>
      <c r="B363" s="19" t="s">
        <v>248</v>
      </c>
      <c r="C363" s="19" t="s">
        <v>87</v>
      </c>
      <c r="D363" s="19" t="s">
        <v>136</v>
      </c>
      <c r="E363" s="19" t="s">
        <v>47</v>
      </c>
      <c r="F363" s="20">
        <v>1000</v>
      </c>
      <c r="G363" s="20">
        <v>1000</v>
      </c>
      <c r="H363" s="20"/>
    </row>
    <row r="364" spans="1:8" x14ac:dyDescent="0.3">
      <c r="A364" s="19" t="s">
        <v>219</v>
      </c>
      <c r="B364" s="19" t="s">
        <v>248</v>
      </c>
      <c r="C364" s="19" t="s">
        <v>235</v>
      </c>
      <c r="D364" s="19" t="s">
        <v>136</v>
      </c>
      <c r="E364" s="19" t="s">
        <v>47</v>
      </c>
      <c r="F364" s="20">
        <v>5000</v>
      </c>
      <c r="G364" s="20">
        <v>5000</v>
      </c>
      <c r="H364" s="20"/>
    </row>
    <row r="365" spans="1:8" x14ac:dyDescent="0.3">
      <c r="A365" s="19" t="s">
        <v>219</v>
      </c>
      <c r="B365" s="19" t="s">
        <v>248</v>
      </c>
      <c r="C365" s="19" t="s">
        <v>58</v>
      </c>
      <c r="D365" s="19" t="s">
        <v>136</v>
      </c>
      <c r="E365" s="19" t="s">
        <v>47</v>
      </c>
      <c r="F365" s="20">
        <v>1700</v>
      </c>
      <c r="G365" s="20">
        <v>1700</v>
      </c>
      <c r="H365" s="20"/>
    </row>
    <row r="366" spans="1:8" x14ac:dyDescent="0.3">
      <c r="A366" s="19" t="s">
        <v>219</v>
      </c>
      <c r="B366" s="19" t="s">
        <v>248</v>
      </c>
      <c r="C366" s="19" t="s">
        <v>77</v>
      </c>
      <c r="D366" s="19" t="s">
        <v>136</v>
      </c>
      <c r="E366" s="19" t="s">
        <v>47</v>
      </c>
      <c r="F366" s="20">
        <v>1100</v>
      </c>
      <c r="G366" s="20">
        <v>1100</v>
      </c>
      <c r="H366" s="20"/>
    </row>
    <row r="367" spans="1:8" x14ac:dyDescent="0.3">
      <c r="A367" s="19" t="s">
        <v>219</v>
      </c>
      <c r="B367" s="19" t="s">
        <v>248</v>
      </c>
      <c r="C367" s="19" t="s">
        <v>138</v>
      </c>
      <c r="D367" s="19" t="s">
        <v>136</v>
      </c>
      <c r="E367" s="19" t="s">
        <v>47</v>
      </c>
      <c r="F367" s="20">
        <v>1300</v>
      </c>
      <c r="G367" s="20">
        <v>1300</v>
      </c>
      <c r="H367" s="20"/>
    </row>
    <row r="368" spans="1:8" x14ac:dyDescent="0.3">
      <c r="A368" s="19" t="s">
        <v>219</v>
      </c>
      <c r="B368" s="19" t="s">
        <v>248</v>
      </c>
      <c r="C368" s="19" t="s">
        <v>230</v>
      </c>
      <c r="D368" s="19" t="s">
        <v>136</v>
      </c>
      <c r="E368" s="19" t="s">
        <v>47</v>
      </c>
      <c r="F368" s="20">
        <v>15000</v>
      </c>
      <c r="G368" s="20">
        <v>15000</v>
      </c>
      <c r="H368" s="20"/>
    </row>
    <row r="369" spans="1:8" x14ac:dyDescent="0.3">
      <c r="A369" s="19" t="s">
        <v>219</v>
      </c>
      <c r="B369" s="19" t="s">
        <v>248</v>
      </c>
      <c r="C369" s="19" t="s">
        <v>35</v>
      </c>
      <c r="D369" s="19" t="s">
        <v>136</v>
      </c>
      <c r="E369" s="19" t="s">
        <v>47</v>
      </c>
      <c r="F369" s="20">
        <v>421000</v>
      </c>
      <c r="G369" s="20">
        <v>420000</v>
      </c>
      <c r="H369" s="20"/>
    </row>
    <row r="370" spans="1:8" x14ac:dyDescent="0.3">
      <c r="A370" s="19" t="s">
        <v>219</v>
      </c>
      <c r="B370" s="19" t="s">
        <v>139</v>
      </c>
      <c r="C370" s="19" t="s">
        <v>70</v>
      </c>
      <c r="D370" s="19" t="s">
        <v>140</v>
      </c>
      <c r="E370" s="19" t="s">
        <v>21</v>
      </c>
      <c r="F370" s="20">
        <v>13800</v>
      </c>
      <c r="G370" s="20">
        <v>23000</v>
      </c>
      <c r="H370" s="20">
        <v>4400000</v>
      </c>
    </row>
    <row r="371" spans="1:8" x14ac:dyDescent="0.3">
      <c r="A371" s="19" t="s">
        <v>219</v>
      </c>
      <c r="B371" s="19" t="s">
        <v>139</v>
      </c>
      <c r="C371" s="19" t="s">
        <v>22</v>
      </c>
      <c r="D371" s="19" t="s">
        <v>140</v>
      </c>
      <c r="E371" s="19" t="s">
        <v>21</v>
      </c>
      <c r="F371" s="20">
        <v>82700</v>
      </c>
      <c r="G371" s="20">
        <v>92000</v>
      </c>
      <c r="H371" s="20">
        <v>8400000</v>
      </c>
    </row>
    <row r="372" spans="1:8" x14ac:dyDescent="0.3">
      <c r="A372" s="19" t="s">
        <v>219</v>
      </c>
      <c r="B372" s="19" t="s">
        <v>139</v>
      </c>
      <c r="C372" s="19" t="s">
        <v>44</v>
      </c>
      <c r="D372" s="19" t="s">
        <v>140</v>
      </c>
      <c r="E372" s="19" t="s">
        <v>21</v>
      </c>
      <c r="F372" s="20">
        <v>10200</v>
      </c>
      <c r="G372" s="20">
        <v>12000</v>
      </c>
      <c r="H372" s="20">
        <v>540000</v>
      </c>
    </row>
    <row r="373" spans="1:8" x14ac:dyDescent="0.3">
      <c r="A373" s="19" t="s">
        <v>219</v>
      </c>
      <c r="B373" s="19" t="s">
        <v>139</v>
      </c>
      <c r="C373" s="19" t="s">
        <v>220</v>
      </c>
      <c r="D373" s="19" t="s">
        <v>140</v>
      </c>
      <c r="E373" s="19" t="s">
        <v>21</v>
      </c>
      <c r="F373" s="20">
        <v>4820</v>
      </c>
      <c r="G373" s="20">
        <v>5600</v>
      </c>
      <c r="H373" s="20">
        <v>1600000</v>
      </c>
    </row>
    <row r="374" spans="1:8" x14ac:dyDescent="0.3">
      <c r="A374" s="19" t="s">
        <v>219</v>
      </c>
      <c r="B374" s="19" t="s">
        <v>139</v>
      </c>
      <c r="C374" s="19" t="s">
        <v>71</v>
      </c>
      <c r="D374" s="19" t="s">
        <v>140</v>
      </c>
      <c r="E374" s="19" t="s">
        <v>21</v>
      </c>
      <c r="F374" s="20">
        <v>48900</v>
      </c>
      <c r="G374" s="20">
        <v>56000</v>
      </c>
      <c r="H374" s="20">
        <v>9200000</v>
      </c>
    </row>
    <row r="375" spans="1:8" x14ac:dyDescent="0.3">
      <c r="A375" s="19" t="s">
        <v>219</v>
      </c>
      <c r="B375" s="19" t="s">
        <v>139</v>
      </c>
      <c r="C375" s="19" t="s">
        <v>25</v>
      </c>
      <c r="D375" s="19" t="s">
        <v>140</v>
      </c>
      <c r="E375" s="19" t="s">
        <v>21</v>
      </c>
      <c r="F375" s="20">
        <v>41400</v>
      </c>
      <c r="G375" s="20">
        <v>62000</v>
      </c>
      <c r="H375" s="20">
        <v>4600000</v>
      </c>
    </row>
    <row r="376" spans="1:8" x14ac:dyDescent="0.3">
      <c r="A376" s="19" t="s">
        <v>219</v>
      </c>
      <c r="B376" s="19" t="s">
        <v>139</v>
      </c>
      <c r="C376" s="19" t="s">
        <v>115</v>
      </c>
      <c r="D376" s="19" t="s">
        <v>140</v>
      </c>
      <c r="E376" s="19" t="s">
        <v>21</v>
      </c>
      <c r="F376" s="20">
        <v>770</v>
      </c>
      <c r="G376" s="20">
        <v>9400</v>
      </c>
      <c r="H376" s="20">
        <v>370000</v>
      </c>
    </row>
    <row r="377" spans="1:8" x14ac:dyDescent="0.3">
      <c r="A377" s="19" t="s">
        <v>219</v>
      </c>
      <c r="B377" s="19" t="s">
        <v>139</v>
      </c>
      <c r="C377" s="19" t="s">
        <v>49</v>
      </c>
      <c r="D377" s="19" t="s">
        <v>140</v>
      </c>
      <c r="E377" s="19" t="s">
        <v>21</v>
      </c>
      <c r="F377" s="20"/>
      <c r="G377" s="20"/>
      <c r="H377" s="20">
        <v>2400000</v>
      </c>
    </row>
    <row r="378" spans="1:8" x14ac:dyDescent="0.3">
      <c r="A378" s="19" t="s">
        <v>219</v>
      </c>
      <c r="B378" s="19" t="s">
        <v>139</v>
      </c>
      <c r="C378" s="19" t="s">
        <v>141</v>
      </c>
      <c r="D378" s="19" t="s">
        <v>140</v>
      </c>
      <c r="E378" s="19" t="s">
        <v>21</v>
      </c>
      <c r="F378" s="20">
        <v>380</v>
      </c>
      <c r="G378" s="20">
        <v>380</v>
      </c>
      <c r="H378" s="20">
        <v>60000</v>
      </c>
    </row>
    <row r="379" spans="1:8" x14ac:dyDescent="0.3">
      <c r="A379" s="19" t="s">
        <v>219</v>
      </c>
      <c r="B379" s="19" t="s">
        <v>139</v>
      </c>
      <c r="C379" s="19" t="s">
        <v>230</v>
      </c>
      <c r="D379" s="19" t="s">
        <v>140</v>
      </c>
      <c r="E379" s="19" t="s">
        <v>21</v>
      </c>
      <c r="F379" s="20"/>
      <c r="G379" s="20"/>
      <c r="H379" s="20">
        <v>4400000</v>
      </c>
    </row>
    <row r="380" spans="1:8" x14ac:dyDescent="0.3">
      <c r="A380" s="19" t="s">
        <v>219</v>
      </c>
      <c r="B380" s="19" t="s">
        <v>139</v>
      </c>
      <c r="C380" s="19" t="s">
        <v>35</v>
      </c>
      <c r="D380" s="19" t="s">
        <v>140</v>
      </c>
      <c r="E380" s="19" t="s">
        <v>21</v>
      </c>
      <c r="F380" s="20">
        <v>222000</v>
      </c>
      <c r="G380" s="20">
        <v>290000</v>
      </c>
      <c r="H380" s="20">
        <v>37000000</v>
      </c>
    </row>
    <row r="381" spans="1:8" x14ac:dyDescent="0.3">
      <c r="A381" s="19" t="s">
        <v>219</v>
      </c>
      <c r="B381" s="19" t="s">
        <v>250</v>
      </c>
      <c r="C381" s="19" t="s">
        <v>88</v>
      </c>
      <c r="D381" s="19" t="s">
        <v>140</v>
      </c>
      <c r="E381" s="19" t="s">
        <v>21</v>
      </c>
      <c r="F381" s="20">
        <v>20000</v>
      </c>
      <c r="G381" s="20">
        <v>28000</v>
      </c>
      <c r="H381" s="20">
        <v>500000</v>
      </c>
    </row>
    <row r="382" spans="1:8" x14ac:dyDescent="0.3">
      <c r="A382" s="19" t="s">
        <v>219</v>
      </c>
      <c r="B382" s="19" t="s">
        <v>251</v>
      </c>
      <c r="C382" s="19" t="s">
        <v>22</v>
      </c>
      <c r="D382" s="19" t="s">
        <v>142</v>
      </c>
      <c r="E382" s="19" t="s">
        <v>47</v>
      </c>
      <c r="F382" s="20">
        <v>410</v>
      </c>
      <c r="G382" s="20">
        <v>400</v>
      </c>
      <c r="H382" s="20">
        <v>280000</v>
      </c>
    </row>
    <row r="383" spans="1:8" x14ac:dyDescent="0.3">
      <c r="A383" s="19" t="s">
        <v>219</v>
      </c>
      <c r="B383" s="19" t="s">
        <v>251</v>
      </c>
      <c r="C383" s="19" t="s">
        <v>119</v>
      </c>
      <c r="D383" s="19" t="s">
        <v>142</v>
      </c>
      <c r="E383" s="19" t="s">
        <v>47</v>
      </c>
      <c r="F383" s="20">
        <v>664</v>
      </c>
      <c r="G383" s="20">
        <v>650</v>
      </c>
      <c r="H383" s="20">
        <v>49000</v>
      </c>
    </row>
    <row r="384" spans="1:8" x14ac:dyDescent="0.3">
      <c r="A384" s="19" t="s">
        <v>219</v>
      </c>
      <c r="B384" s="19" t="s">
        <v>251</v>
      </c>
      <c r="C384" s="19" t="s">
        <v>44</v>
      </c>
      <c r="D384" s="19" t="s">
        <v>142</v>
      </c>
      <c r="E384" s="19" t="s">
        <v>47</v>
      </c>
      <c r="F384" s="20">
        <v>1850</v>
      </c>
      <c r="G384" s="20">
        <v>1800</v>
      </c>
      <c r="H384" s="20">
        <v>200000</v>
      </c>
    </row>
    <row r="385" spans="1:8" x14ac:dyDescent="0.3">
      <c r="A385" s="19" t="s">
        <v>219</v>
      </c>
      <c r="B385" s="19" t="s">
        <v>251</v>
      </c>
      <c r="C385" s="19" t="s">
        <v>220</v>
      </c>
      <c r="D385" s="19" t="s">
        <v>142</v>
      </c>
      <c r="E385" s="19" t="s">
        <v>47</v>
      </c>
      <c r="F385" s="20">
        <v>230</v>
      </c>
      <c r="G385" s="20">
        <v>230</v>
      </c>
      <c r="H385" s="20"/>
    </row>
    <row r="386" spans="1:8" x14ac:dyDescent="0.3">
      <c r="A386" s="19" t="s">
        <v>219</v>
      </c>
      <c r="B386" s="19" t="s">
        <v>251</v>
      </c>
      <c r="C386" s="19" t="s">
        <v>25</v>
      </c>
      <c r="D386" s="19" t="s">
        <v>142</v>
      </c>
      <c r="E386" s="19" t="s">
        <v>47</v>
      </c>
      <c r="F386" s="20">
        <v>12900</v>
      </c>
      <c r="G386" s="20">
        <v>12700</v>
      </c>
      <c r="H386" s="20">
        <v>700000</v>
      </c>
    </row>
    <row r="387" spans="1:8" x14ac:dyDescent="0.3">
      <c r="A387" s="19" t="s">
        <v>219</v>
      </c>
      <c r="B387" s="19" t="s">
        <v>251</v>
      </c>
      <c r="C387" s="19" t="s">
        <v>53</v>
      </c>
      <c r="D387" s="19" t="s">
        <v>142</v>
      </c>
      <c r="E387" s="19" t="s">
        <v>47</v>
      </c>
      <c r="F387" s="20">
        <v>134</v>
      </c>
      <c r="G387" s="20">
        <v>130</v>
      </c>
      <c r="H387" s="20">
        <v>280000</v>
      </c>
    </row>
    <row r="388" spans="1:8" x14ac:dyDescent="0.3">
      <c r="A388" s="19" t="s">
        <v>219</v>
      </c>
      <c r="B388" s="19" t="s">
        <v>251</v>
      </c>
      <c r="C388" s="19" t="s">
        <v>48</v>
      </c>
      <c r="D388" s="19" t="s">
        <v>142</v>
      </c>
      <c r="E388" s="19" t="s">
        <v>47</v>
      </c>
      <c r="F388" s="20">
        <v>117</v>
      </c>
      <c r="G388" s="20">
        <v>85</v>
      </c>
      <c r="H388" s="20">
        <v>66000</v>
      </c>
    </row>
    <row r="389" spans="1:8" x14ac:dyDescent="0.3">
      <c r="A389" s="19" t="s">
        <v>219</v>
      </c>
      <c r="B389" s="19" t="s">
        <v>251</v>
      </c>
      <c r="C389" s="19" t="s">
        <v>27</v>
      </c>
      <c r="D389" s="19" t="s">
        <v>142</v>
      </c>
      <c r="E389" s="19" t="s">
        <v>47</v>
      </c>
      <c r="F389" s="20">
        <v>200</v>
      </c>
      <c r="G389" s="20">
        <v>200</v>
      </c>
      <c r="H389" s="20">
        <v>10000</v>
      </c>
    </row>
    <row r="390" spans="1:8" x14ac:dyDescent="0.3">
      <c r="A390" s="19" t="s">
        <v>219</v>
      </c>
      <c r="B390" s="19" t="s">
        <v>251</v>
      </c>
      <c r="C390" s="19" t="s">
        <v>49</v>
      </c>
      <c r="D390" s="19" t="s">
        <v>142</v>
      </c>
      <c r="E390" s="19" t="s">
        <v>47</v>
      </c>
      <c r="F390" s="20">
        <v>341</v>
      </c>
      <c r="G390" s="20">
        <v>340</v>
      </c>
      <c r="H390" s="20">
        <v>2500000</v>
      </c>
    </row>
    <row r="391" spans="1:8" x14ac:dyDescent="0.3">
      <c r="A391" s="19" t="s">
        <v>219</v>
      </c>
      <c r="B391" s="19" t="s">
        <v>251</v>
      </c>
      <c r="C391" s="19" t="s">
        <v>229</v>
      </c>
      <c r="D391" s="19" t="s">
        <v>142</v>
      </c>
      <c r="E391" s="19" t="s">
        <v>47</v>
      </c>
      <c r="F391" s="20">
        <v>1600</v>
      </c>
      <c r="G391" s="20">
        <v>1600</v>
      </c>
      <c r="H391" s="20">
        <v>110000</v>
      </c>
    </row>
    <row r="392" spans="1:8" x14ac:dyDescent="0.3">
      <c r="A392" s="19" t="s">
        <v>219</v>
      </c>
      <c r="B392" s="19" t="s">
        <v>251</v>
      </c>
      <c r="C392" s="19" t="s">
        <v>32</v>
      </c>
      <c r="D392" s="19" t="s">
        <v>142</v>
      </c>
      <c r="E392" s="19" t="s">
        <v>47</v>
      </c>
      <c r="F392" s="20">
        <v>1690</v>
      </c>
      <c r="G392" s="20">
        <v>1700</v>
      </c>
      <c r="H392" s="20">
        <v>2300000</v>
      </c>
    </row>
    <row r="393" spans="1:8" x14ac:dyDescent="0.3">
      <c r="A393" s="19" t="s">
        <v>219</v>
      </c>
      <c r="B393" s="19" t="s">
        <v>251</v>
      </c>
      <c r="C393" s="19" t="s">
        <v>143</v>
      </c>
      <c r="D393" s="19" t="s">
        <v>142</v>
      </c>
      <c r="E393" s="19" t="s">
        <v>47</v>
      </c>
      <c r="F393" s="20">
        <v>334</v>
      </c>
      <c r="G393" s="20">
        <v>330</v>
      </c>
      <c r="H393" s="20">
        <v>1200000</v>
      </c>
    </row>
    <row r="394" spans="1:8" x14ac:dyDescent="0.3">
      <c r="A394" s="19" t="s">
        <v>219</v>
      </c>
      <c r="B394" s="19" t="s">
        <v>251</v>
      </c>
      <c r="C394" s="19" t="s">
        <v>58</v>
      </c>
      <c r="D394" s="19" t="s">
        <v>142</v>
      </c>
      <c r="E394" s="19" t="s">
        <v>47</v>
      </c>
      <c r="F394" s="20">
        <v>655</v>
      </c>
      <c r="G394" s="20">
        <v>640</v>
      </c>
      <c r="H394" s="20">
        <v>35000</v>
      </c>
    </row>
    <row r="395" spans="1:8" x14ac:dyDescent="0.3">
      <c r="A395" s="19" t="s">
        <v>219</v>
      </c>
      <c r="B395" s="19" t="s">
        <v>251</v>
      </c>
      <c r="C395" s="19" t="s">
        <v>230</v>
      </c>
      <c r="D395" s="19" t="s">
        <v>142</v>
      </c>
      <c r="E395" s="19" t="s">
        <v>47</v>
      </c>
      <c r="F395" s="20"/>
      <c r="G395" s="20"/>
      <c r="H395" s="20">
        <v>35000</v>
      </c>
    </row>
    <row r="396" spans="1:8" x14ac:dyDescent="0.3">
      <c r="A396" s="19" t="s">
        <v>219</v>
      </c>
      <c r="B396" s="19" t="s">
        <v>251</v>
      </c>
      <c r="C396" s="19" t="s">
        <v>35</v>
      </c>
      <c r="D396" s="19" t="s">
        <v>142</v>
      </c>
      <c r="E396" s="19" t="s">
        <v>47</v>
      </c>
      <c r="F396" s="20">
        <v>21100</v>
      </c>
      <c r="G396" s="20">
        <v>21000</v>
      </c>
      <c r="H396" s="20">
        <v>7800000</v>
      </c>
    </row>
    <row r="397" spans="1:8" x14ac:dyDescent="0.3">
      <c r="A397" s="19" t="s">
        <v>219</v>
      </c>
      <c r="B397" s="19" t="s">
        <v>144</v>
      </c>
      <c r="C397" s="19" t="s">
        <v>22</v>
      </c>
      <c r="D397" s="19" t="s">
        <v>145</v>
      </c>
      <c r="E397" s="19" t="s">
        <v>47</v>
      </c>
      <c r="F397" s="20">
        <v>1600</v>
      </c>
      <c r="G397" s="20">
        <v>1600</v>
      </c>
      <c r="H397" s="20">
        <v>580000</v>
      </c>
    </row>
    <row r="398" spans="1:8" x14ac:dyDescent="0.3">
      <c r="A398" s="19" t="s">
        <v>219</v>
      </c>
      <c r="B398" s="19" t="s">
        <v>144</v>
      </c>
      <c r="C398" s="19" t="s">
        <v>44</v>
      </c>
      <c r="D398" s="19" t="s">
        <v>145</v>
      </c>
      <c r="E398" s="19" t="s">
        <v>47</v>
      </c>
      <c r="F398" s="20">
        <v>705</v>
      </c>
      <c r="G398" s="20">
        <v>800</v>
      </c>
      <c r="H398" s="20">
        <v>300000</v>
      </c>
    </row>
    <row r="399" spans="1:8" x14ac:dyDescent="0.3">
      <c r="A399" s="19" t="s">
        <v>219</v>
      </c>
      <c r="B399" s="19" t="s">
        <v>144</v>
      </c>
      <c r="C399" s="19" t="s">
        <v>252</v>
      </c>
      <c r="D399" s="19" t="s">
        <v>145</v>
      </c>
      <c r="E399" s="19" t="s">
        <v>47</v>
      </c>
      <c r="F399" s="20">
        <v>340</v>
      </c>
      <c r="G399" s="20">
        <v>350</v>
      </c>
      <c r="H399" s="20"/>
    </row>
    <row r="400" spans="1:8" x14ac:dyDescent="0.3">
      <c r="A400" s="19" t="s">
        <v>219</v>
      </c>
      <c r="B400" s="19" t="s">
        <v>144</v>
      </c>
      <c r="C400" s="19" t="s">
        <v>25</v>
      </c>
      <c r="D400" s="19" t="s">
        <v>145</v>
      </c>
      <c r="E400" s="19" t="s">
        <v>47</v>
      </c>
      <c r="F400" s="20">
        <v>690</v>
      </c>
      <c r="G400" s="20">
        <v>700</v>
      </c>
      <c r="H400" s="20">
        <v>260000</v>
      </c>
    </row>
    <row r="401" spans="1:8" x14ac:dyDescent="0.3">
      <c r="A401" s="19" t="s">
        <v>219</v>
      </c>
      <c r="B401" s="19" t="s">
        <v>144</v>
      </c>
      <c r="C401" s="19" t="s">
        <v>146</v>
      </c>
      <c r="D401" s="19" t="s">
        <v>145</v>
      </c>
      <c r="E401" s="19" t="s">
        <v>47</v>
      </c>
      <c r="F401" s="20">
        <v>4640</v>
      </c>
      <c r="G401" s="20">
        <v>5000</v>
      </c>
      <c r="H401" s="20">
        <v>61000</v>
      </c>
    </row>
    <row r="402" spans="1:8" x14ac:dyDescent="0.3">
      <c r="A402" s="19" t="s">
        <v>219</v>
      </c>
      <c r="B402" s="19" t="s">
        <v>253</v>
      </c>
      <c r="C402" s="19" t="s">
        <v>114</v>
      </c>
      <c r="D402" s="19" t="s">
        <v>145</v>
      </c>
      <c r="E402" s="19" t="s">
        <v>47</v>
      </c>
      <c r="F402" s="20">
        <v>1280</v>
      </c>
      <c r="G402" s="20">
        <v>2000</v>
      </c>
      <c r="H402" s="20">
        <v>13000</v>
      </c>
    </row>
    <row r="403" spans="1:8" x14ac:dyDescent="0.3">
      <c r="A403" s="19" t="s">
        <v>219</v>
      </c>
      <c r="B403" s="19" t="s">
        <v>144</v>
      </c>
      <c r="C403" s="19" t="s">
        <v>48</v>
      </c>
      <c r="D403" s="19" t="s">
        <v>145</v>
      </c>
      <c r="E403" s="19" t="s">
        <v>47</v>
      </c>
      <c r="F403" s="20">
        <v>731</v>
      </c>
      <c r="G403" s="20">
        <v>790</v>
      </c>
      <c r="H403" s="20">
        <v>34000</v>
      </c>
    </row>
    <row r="404" spans="1:8" x14ac:dyDescent="0.3">
      <c r="A404" s="19" t="s">
        <v>219</v>
      </c>
      <c r="B404" s="19" t="s">
        <v>144</v>
      </c>
      <c r="C404" s="19" t="s">
        <v>49</v>
      </c>
      <c r="D404" s="19" t="s">
        <v>145</v>
      </c>
      <c r="E404" s="19" t="s">
        <v>47</v>
      </c>
      <c r="F404" s="20">
        <v>1240</v>
      </c>
      <c r="G404" s="20">
        <v>1300</v>
      </c>
      <c r="H404" s="20"/>
    </row>
    <row r="405" spans="1:8" x14ac:dyDescent="0.3">
      <c r="A405" s="19" t="s">
        <v>219</v>
      </c>
      <c r="B405" s="19" t="s">
        <v>144</v>
      </c>
      <c r="C405" s="19" t="s">
        <v>87</v>
      </c>
      <c r="D405" s="19" t="s">
        <v>145</v>
      </c>
      <c r="E405" s="19" t="s">
        <v>47</v>
      </c>
      <c r="F405" s="20">
        <v>7490</v>
      </c>
      <c r="G405" s="20">
        <v>7600</v>
      </c>
      <c r="H405" s="20">
        <v>550000</v>
      </c>
    </row>
    <row r="406" spans="1:8" x14ac:dyDescent="0.3">
      <c r="A406" s="19" t="s">
        <v>219</v>
      </c>
      <c r="B406" s="19" t="s">
        <v>144</v>
      </c>
      <c r="C406" s="19" t="s">
        <v>230</v>
      </c>
      <c r="D406" s="19" t="s">
        <v>145</v>
      </c>
      <c r="E406" s="19" t="s">
        <v>47</v>
      </c>
      <c r="F406" s="20"/>
      <c r="G406" s="20"/>
      <c r="H406" s="20"/>
    </row>
    <row r="407" spans="1:8" x14ac:dyDescent="0.3">
      <c r="A407" s="19" t="s">
        <v>219</v>
      </c>
      <c r="B407" s="19" t="s">
        <v>144</v>
      </c>
      <c r="C407" s="19" t="s">
        <v>35</v>
      </c>
      <c r="D407" s="19" t="s">
        <v>145</v>
      </c>
      <c r="E407" s="19" t="s">
        <v>47</v>
      </c>
      <c r="F407" s="20">
        <v>18700</v>
      </c>
      <c r="G407" s="20">
        <v>20000</v>
      </c>
      <c r="H407" s="20">
        <v>1800000</v>
      </c>
    </row>
    <row r="408" spans="1:8" x14ac:dyDescent="0.3">
      <c r="A408" s="19" t="s">
        <v>219</v>
      </c>
      <c r="B408" s="19" t="s">
        <v>254</v>
      </c>
      <c r="C408" s="19" t="s">
        <v>220</v>
      </c>
      <c r="D408" s="19" t="s">
        <v>147</v>
      </c>
      <c r="E408" s="19" t="s">
        <v>21</v>
      </c>
      <c r="F408" s="20">
        <v>14000</v>
      </c>
      <c r="G408" s="20">
        <v>14000</v>
      </c>
      <c r="H408" s="20"/>
    </row>
    <row r="409" spans="1:8" x14ac:dyDescent="0.3">
      <c r="A409" s="19" t="s">
        <v>219</v>
      </c>
      <c r="B409" s="19" t="s">
        <v>254</v>
      </c>
      <c r="C409" s="19" t="s">
        <v>25</v>
      </c>
      <c r="D409" s="19" t="s">
        <v>147</v>
      </c>
      <c r="E409" s="19" t="s">
        <v>21</v>
      </c>
      <c r="F409" s="20">
        <v>85000</v>
      </c>
      <c r="G409" s="20">
        <v>85000</v>
      </c>
      <c r="H409" s="20">
        <v>1100000</v>
      </c>
    </row>
    <row r="410" spans="1:8" x14ac:dyDescent="0.3">
      <c r="A410" s="19" t="s">
        <v>219</v>
      </c>
      <c r="B410" s="19" t="s">
        <v>254</v>
      </c>
      <c r="C410" s="19" t="s">
        <v>86</v>
      </c>
      <c r="D410" s="19" t="s">
        <v>147</v>
      </c>
      <c r="E410" s="19" t="s">
        <v>21</v>
      </c>
      <c r="F410" s="20">
        <v>56900</v>
      </c>
      <c r="G410" s="20">
        <v>57000</v>
      </c>
      <c r="H410" s="20"/>
    </row>
    <row r="411" spans="1:8" x14ac:dyDescent="0.3">
      <c r="A411" s="19" t="s">
        <v>219</v>
      </c>
      <c r="B411" s="19" t="s">
        <v>254</v>
      </c>
      <c r="C411" s="19" t="s">
        <v>101</v>
      </c>
      <c r="D411" s="19" t="s">
        <v>147</v>
      </c>
      <c r="E411" s="19" t="s">
        <v>21</v>
      </c>
      <c r="F411" s="20">
        <v>14000</v>
      </c>
      <c r="G411" s="20">
        <v>14000</v>
      </c>
      <c r="H411" s="20"/>
    </row>
    <row r="412" spans="1:8" x14ac:dyDescent="0.3">
      <c r="A412" s="19" t="s">
        <v>219</v>
      </c>
      <c r="B412" s="19" t="s">
        <v>254</v>
      </c>
      <c r="C412" s="19" t="s">
        <v>48</v>
      </c>
      <c r="D412" s="19" t="s">
        <v>147</v>
      </c>
      <c r="E412" s="19" t="s">
        <v>21</v>
      </c>
      <c r="F412" s="20">
        <v>14000</v>
      </c>
      <c r="G412" s="20">
        <v>13000</v>
      </c>
      <c r="H412" s="20"/>
    </row>
    <row r="413" spans="1:8" x14ac:dyDescent="0.3">
      <c r="A413" s="19" t="s">
        <v>219</v>
      </c>
      <c r="B413" s="19" t="s">
        <v>254</v>
      </c>
      <c r="C413" s="19" t="s">
        <v>61</v>
      </c>
      <c r="D413" s="19" t="s">
        <v>147</v>
      </c>
      <c r="E413" s="19" t="s">
        <v>21</v>
      </c>
      <c r="F413" s="20">
        <v>90000</v>
      </c>
      <c r="G413" s="20">
        <v>70000</v>
      </c>
      <c r="H413" s="20"/>
    </row>
    <row r="414" spans="1:8" x14ac:dyDescent="0.3">
      <c r="A414" s="19" t="s">
        <v>219</v>
      </c>
      <c r="B414" s="19" t="s">
        <v>254</v>
      </c>
      <c r="C414" s="19" t="s">
        <v>49</v>
      </c>
      <c r="D414" s="19" t="s">
        <v>147</v>
      </c>
      <c r="E414" s="19" t="s">
        <v>21</v>
      </c>
      <c r="F414" s="20">
        <v>44000</v>
      </c>
      <c r="G414" s="20">
        <v>39000</v>
      </c>
      <c r="H414" s="20"/>
    </row>
    <row r="415" spans="1:8" x14ac:dyDescent="0.3">
      <c r="A415" s="19" t="s">
        <v>219</v>
      </c>
      <c r="B415" s="19" t="s">
        <v>254</v>
      </c>
      <c r="C415" s="19" t="s">
        <v>229</v>
      </c>
      <c r="D415" s="19" t="s">
        <v>147</v>
      </c>
      <c r="E415" s="19" t="s">
        <v>21</v>
      </c>
      <c r="F415" s="20">
        <v>9640</v>
      </c>
      <c r="G415" s="20">
        <v>9500</v>
      </c>
      <c r="H415" s="20">
        <v>620000</v>
      </c>
    </row>
    <row r="416" spans="1:8" x14ac:dyDescent="0.3">
      <c r="A416" s="19" t="s">
        <v>219</v>
      </c>
      <c r="B416" s="19" t="s">
        <v>254</v>
      </c>
      <c r="C416" s="19" t="s">
        <v>235</v>
      </c>
      <c r="D416" s="19" t="s">
        <v>147</v>
      </c>
      <c r="E416" s="19" t="s">
        <v>21</v>
      </c>
      <c r="F416" s="20">
        <v>21000</v>
      </c>
      <c r="G416" s="20">
        <v>15000</v>
      </c>
      <c r="H416" s="20">
        <v>12000000</v>
      </c>
    </row>
    <row r="417" spans="1:8" x14ac:dyDescent="0.3">
      <c r="A417" s="19" t="s">
        <v>219</v>
      </c>
      <c r="B417" s="19" t="s">
        <v>254</v>
      </c>
      <c r="C417" s="19" t="s">
        <v>239</v>
      </c>
      <c r="D417" s="19" t="s">
        <v>147</v>
      </c>
      <c r="E417" s="19" t="s">
        <v>21</v>
      </c>
      <c r="F417" s="20">
        <v>8000</v>
      </c>
      <c r="G417" s="20">
        <v>8000</v>
      </c>
      <c r="H417" s="20"/>
    </row>
    <row r="418" spans="1:8" x14ac:dyDescent="0.3">
      <c r="A418" s="19" t="s">
        <v>219</v>
      </c>
      <c r="B418" s="19" t="s">
        <v>254</v>
      </c>
      <c r="C418" s="19" t="s">
        <v>230</v>
      </c>
      <c r="D418" s="19" t="s">
        <v>147</v>
      </c>
      <c r="E418" s="19" t="s">
        <v>21</v>
      </c>
      <c r="F418" s="20">
        <v>24000</v>
      </c>
      <c r="G418" s="20">
        <v>26000</v>
      </c>
      <c r="H418" s="20"/>
    </row>
    <row r="419" spans="1:8" x14ac:dyDescent="0.3">
      <c r="A419" s="19" t="s">
        <v>219</v>
      </c>
      <c r="B419" s="19" t="s">
        <v>254</v>
      </c>
      <c r="C419" s="19" t="s">
        <v>35</v>
      </c>
      <c r="D419" s="19" t="s">
        <v>147</v>
      </c>
      <c r="E419" s="19" t="s">
        <v>21</v>
      </c>
      <c r="F419" s="20">
        <v>376000</v>
      </c>
      <c r="G419" s="20">
        <v>350000</v>
      </c>
      <c r="H419" s="20"/>
    </row>
    <row r="420" spans="1:8" x14ac:dyDescent="0.3">
      <c r="A420" s="19" t="s">
        <v>219</v>
      </c>
      <c r="B420" s="19" t="s">
        <v>148</v>
      </c>
      <c r="C420" s="19" t="s">
        <v>150</v>
      </c>
      <c r="D420" s="19" t="s">
        <v>149</v>
      </c>
      <c r="E420" s="19" t="s">
        <v>21</v>
      </c>
      <c r="F420" s="20">
        <v>8200</v>
      </c>
      <c r="G420" s="20">
        <v>5300</v>
      </c>
      <c r="H420" s="20">
        <v>150000</v>
      </c>
    </row>
    <row r="421" spans="1:8" x14ac:dyDescent="0.3">
      <c r="A421" s="19" t="s">
        <v>219</v>
      </c>
      <c r="B421" s="19" t="s">
        <v>255</v>
      </c>
      <c r="C421" s="19" t="s">
        <v>22</v>
      </c>
      <c r="D421" s="19" t="s">
        <v>149</v>
      </c>
      <c r="E421" s="19" t="s">
        <v>21</v>
      </c>
      <c r="F421" s="20">
        <v>600</v>
      </c>
      <c r="G421" s="20">
        <v>1000</v>
      </c>
      <c r="H421" s="20">
        <v>760000</v>
      </c>
    </row>
    <row r="422" spans="1:8" x14ac:dyDescent="0.3">
      <c r="A422" s="19" t="s">
        <v>219</v>
      </c>
      <c r="B422" s="19" t="s">
        <v>148</v>
      </c>
      <c r="C422" s="19" t="s">
        <v>220</v>
      </c>
      <c r="D422" s="19" t="s">
        <v>149</v>
      </c>
      <c r="E422" s="19" t="s">
        <v>21</v>
      </c>
      <c r="F422" s="20">
        <v>1540</v>
      </c>
      <c r="G422" s="20">
        <v>2200</v>
      </c>
      <c r="H422" s="20">
        <v>64000</v>
      </c>
    </row>
    <row r="423" spans="1:8" x14ac:dyDescent="0.3">
      <c r="A423" s="19" t="s">
        <v>219</v>
      </c>
      <c r="B423" s="19" t="s">
        <v>148</v>
      </c>
      <c r="C423" s="19" t="s">
        <v>71</v>
      </c>
      <c r="D423" s="19" t="s">
        <v>149</v>
      </c>
      <c r="E423" s="19" t="s">
        <v>21</v>
      </c>
      <c r="F423" s="20">
        <v>38500</v>
      </c>
      <c r="G423" s="20">
        <v>42000</v>
      </c>
      <c r="H423" s="20">
        <v>2600000</v>
      </c>
    </row>
    <row r="424" spans="1:8" x14ac:dyDescent="0.3">
      <c r="A424" s="19" t="s">
        <v>219</v>
      </c>
      <c r="B424" s="19" t="s">
        <v>148</v>
      </c>
      <c r="C424" s="19" t="s">
        <v>25</v>
      </c>
      <c r="D424" s="19" t="s">
        <v>149</v>
      </c>
      <c r="E424" s="19" t="s">
        <v>21</v>
      </c>
      <c r="F424" s="20">
        <v>100000</v>
      </c>
      <c r="G424" s="20">
        <v>97000</v>
      </c>
      <c r="H424" s="20">
        <v>7800000</v>
      </c>
    </row>
    <row r="425" spans="1:8" x14ac:dyDescent="0.3">
      <c r="A425" s="19" t="s">
        <v>219</v>
      </c>
      <c r="B425" s="19" t="s">
        <v>148</v>
      </c>
      <c r="C425" s="19" t="s">
        <v>27</v>
      </c>
      <c r="D425" s="19" t="s">
        <v>149</v>
      </c>
      <c r="E425" s="19" t="s">
        <v>21</v>
      </c>
      <c r="F425" s="20">
        <v>2900</v>
      </c>
      <c r="G425" s="20">
        <v>3300</v>
      </c>
      <c r="H425" s="20">
        <v>43000</v>
      </c>
    </row>
    <row r="426" spans="1:8" x14ac:dyDescent="0.3">
      <c r="A426" s="19" t="s">
        <v>219</v>
      </c>
      <c r="B426" s="19" t="s">
        <v>148</v>
      </c>
      <c r="C426" s="19" t="s">
        <v>28</v>
      </c>
      <c r="D426" s="19" t="s">
        <v>149</v>
      </c>
      <c r="E426" s="19" t="s">
        <v>21</v>
      </c>
      <c r="F426" s="20">
        <v>4080</v>
      </c>
      <c r="G426" s="20">
        <v>4300</v>
      </c>
      <c r="H426" s="20">
        <v>7000</v>
      </c>
    </row>
    <row r="427" spans="1:8" x14ac:dyDescent="0.3">
      <c r="A427" s="19" t="s">
        <v>219</v>
      </c>
      <c r="B427" s="19" t="s">
        <v>148</v>
      </c>
      <c r="C427" s="19" t="s">
        <v>30</v>
      </c>
      <c r="D427" s="19" t="s">
        <v>149</v>
      </c>
      <c r="E427" s="19" t="s">
        <v>21</v>
      </c>
      <c r="F427" s="20">
        <v>16200</v>
      </c>
      <c r="G427" s="20">
        <v>17000</v>
      </c>
      <c r="H427" s="20">
        <v>130000</v>
      </c>
    </row>
    <row r="428" spans="1:8" x14ac:dyDescent="0.3">
      <c r="A428" s="19" t="s">
        <v>219</v>
      </c>
      <c r="B428" s="19" t="s">
        <v>148</v>
      </c>
      <c r="C428" s="19" t="s">
        <v>106</v>
      </c>
      <c r="D428" s="19" t="s">
        <v>149</v>
      </c>
      <c r="E428" s="19" t="s">
        <v>21</v>
      </c>
      <c r="F428" s="20">
        <v>3110</v>
      </c>
      <c r="G428" s="20">
        <v>4200</v>
      </c>
      <c r="H428" s="20">
        <v>10000</v>
      </c>
    </row>
    <row r="429" spans="1:8" x14ac:dyDescent="0.3">
      <c r="A429" s="19" t="s">
        <v>219</v>
      </c>
      <c r="B429" s="19" t="s">
        <v>148</v>
      </c>
      <c r="C429" s="19" t="s">
        <v>120</v>
      </c>
      <c r="D429" s="19" t="s">
        <v>149</v>
      </c>
      <c r="E429" s="19" t="s">
        <v>21</v>
      </c>
      <c r="F429" s="20">
        <v>800</v>
      </c>
      <c r="G429" s="20">
        <v>800</v>
      </c>
      <c r="H429" s="20">
        <v>78000</v>
      </c>
    </row>
    <row r="430" spans="1:8" x14ac:dyDescent="0.3">
      <c r="A430" s="19" t="s">
        <v>219</v>
      </c>
      <c r="B430" s="19" t="s">
        <v>148</v>
      </c>
      <c r="C430" s="19" t="s">
        <v>49</v>
      </c>
      <c r="D430" s="19" t="s">
        <v>149</v>
      </c>
      <c r="E430" s="19" t="s">
        <v>21</v>
      </c>
      <c r="F430" s="20"/>
      <c r="G430" s="20"/>
      <c r="H430" s="20">
        <v>150000</v>
      </c>
    </row>
    <row r="431" spans="1:8" x14ac:dyDescent="0.3">
      <c r="A431" s="19" t="s">
        <v>219</v>
      </c>
      <c r="B431" s="19" t="s">
        <v>148</v>
      </c>
      <c r="C431" s="19" t="s">
        <v>41</v>
      </c>
      <c r="D431" s="19" t="s">
        <v>149</v>
      </c>
      <c r="E431" s="19" t="s">
        <v>21</v>
      </c>
      <c r="F431" s="20">
        <v>41900</v>
      </c>
      <c r="G431" s="20">
        <v>39000</v>
      </c>
      <c r="H431" s="20">
        <v>1000000</v>
      </c>
    </row>
    <row r="432" spans="1:8" x14ac:dyDescent="0.3">
      <c r="A432" s="19" t="s">
        <v>219</v>
      </c>
      <c r="B432" s="19" t="s">
        <v>148</v>
      </c>
      <c r="C432" s="19" t="s">
        <v>32</v>
      </c>
      <c r="D432" s="19" t="s">
        <v>149</v>
      </c>
      <c r="E432" s="19" t="s">
        <v>21</v>
      </c>
      <c r="F432" s="20">
        <v>1500</v>
      </c>
      <c r="G432" s="20">
        <v>1300</v>
      </c>
      <c r="H432" s="20">
        <v>1100000</v>
      </c>
    </row>
    <row r="433" spans="1:8" x14ac:dyDescent="0.3">
      <c r="A433" s="19" t="s">
        <v>219</v>
      </c>
      <c r="B433" s="19" t="s">
        <v>148</v>
      </c>
      <c r="C433" s="19" t="s">
        <v>235</v>
      </c>
      <c r="D433" s="19" t="s">
        <v>149</v>
      </c>
      <c r="E433" s="19" t="s">
        <v>21</v>
      </c>
      <c r="F433" s="20">
        <v>340</v>
      </c>
      <c r="G433" s="20">
        <v>500</v>
      </c>
      <c r="H433" s="20">
        <v>8000</v>
      </c>
    </row>
    <row r="434" spans="1:8" x14ac:dyDescent="0.3">
      <c r="A434" s="19" t="s">
        <v>219</v>
      </c>
      <c r="B434" s="19" t="s">
        <v>148</v>
      </c>
      <c r="C434" s="19" t="s">
        <v>230</v>
      </c>
      <c r="D434" s="19" t="s">
        <v>149</v>
      </c>
      <c r="E434" s="19" t="s">
        <v>21</v>
      </c>
      <c r="F434" s="20">
        <v>34000</v>
      </c>
      <c r="G434" s="20">
        <v>40000</v>
      </c>
      <c r="H434" s="20">
        <v>3500000</v>
      </c>
    </row>
    <row r="435" spans="1:8" x14ac:dyDescent="0.3">
      <c r="A435" s="19" t="s">
        <v>219</v>
      </c>
      <c r="B435" s="19" t="s">
        <v>148</v>
      </c>
      <c r="C435" s="19" t="s">
        <v>83</v>
      </c>
      <c r="D435" s="19" t="s">
        <v>149</v>
      </c>
      <c r="E435" s="19" t="s">
        <v>21</v>
      </c>
      <c r="F435" s="20">
        <v>2100</v>
      </c>
      <c r="G435" s="20">
        <v>2000</v>
      </c>
      <c r="H435" s="20">
        <v>21000</v>
      </c>
    </row>
    <row r="436" spans="1:8" x14ac:dyDescent="0.3">
      <c r="A436" s="19" t="s">
        <v>219</v>
      </c>
      <c r="B436" s="19" t="s">
        <v>148</v>
      </c>
      <c r="C436" s="19" t="s">
        <v>35</v>
      </c>
      <c r="D436" s="19" t="s">
        <v>149</v>
      </c>
      <c r="E436" s="19" t="s">
        <v>21</v>
      </c>
      <c r="F436" s="20">
        <v>256000</v>
      </c>
      <c r="G436" s="20">
        <v>260000</v>
      </c>
      <c r="H436" s="20">
        <v>17000000</v>
      </c>
    </row>
    <row r="437" spans="1:8" x14ac:dyDescent="0.3">
      <c r="A437" s="19" t="s">
        <v>219</v>
      </c>
      <c r="B437" s="19" t="s">
        <v>151</v>
      </c>
      <c r="C437" s="19" t="s">
        <v>22</v>
      </c>
      <c r="D437" s="19" t="s">
        <v>152</v>
      </c>
      <c r="E437" s="19" t="s">
        <v>21</v>
      </c>
      <c r="F437" s="20">
        <v>98000</v>
      </c>
      <c r="G437" s="20">
        <v>45000</v>
      </c>
      <c r="H437" s="20">
        <v>25000000</v>
      </c>
    </row>
    <row r="438" spans="1:8" x14ac:dyDescent="0.3">
      <c r="A438" s="19" t="s">
        <v>219</v>
      </c>
      <c r="B438" s="19" t="s">
        <v>151</v>
      </c>
      <c r="C438" s="19" t="s">
        <v>44</v>
      </c>
      <c r="D438" s="19" t="s">
        <v>152</v>
      </c>
      <c r="E438" s="19" t="s">
        <v>21</v>
      </c>
      <c r="F438" s="20">
        <v>67500</v>
      </c>
      <c r="G438" s="20">
        <v>70000</v>
      </c>
      <c r="H438" s="20">
        <v>16000000</v>
      </c>
    </row>
    <row r="439" spans="1:8" x14ac:dyDescent="0.3">
      <c r="A439" s="19" t="s">
        <v>219</v>
      </c>
      <c r="B439" s="19" t="s">
        <v>151</v>
      </c>
      <c r="C439" s="19" t="s">
        <v>220</v>
      </c>
      <c r="D439" s="19" t="s">
        <v>152</v>
      </c>
      <c r="E439" s="19" t="s">
        <v>21</v>
      </c>
      <c r="F439" s="20">
        <v>125000</v>
      </c>
      <c r="G439" s="20">
        <v>140000</v>
      </c>
      <c r="H439" s="20">
        <v>2200000</v>
      </c>
    </row>
    <row r="440" spans="1:8" x14ac:dyDescent="0.3">
      <c r="A440" s="19" t="s">
        <v>219</v>
      </c>
      <c r="B440" s="19" t="s">
        <v>151</v>
      </c>
      <c r="C440" s="19" t="s">
        <v>25</v>
      </c>
      <c r="D440" s="19" t="s">
        <v>152</v>
      </c>
      <c r="E440" s="19" t="s">
        <v>21</v>
      </c>
      <c r="F440" s="20">
        <v>115000</v>
      </c>
      <c r="G440" s="20">
        <v>120000</v>
      </c>
      <c r="H440" s="20">
        <v>4400000</v>
      </c>
    </row>
    <row r="441" spans="1:8" x14ac:dyDescent="0.3">
      <c r="A441" s="19" t="s">
        <v>219</v>
      </c>
      <c r="B441" s="19" t="s">
        <v>151</v>
      </c>
      <c r="C441" s="19" t="s">
        <v>55</v>
      </c>
      <c r="D441" s="19" t="s">
        <v>152</v>
      </c>
      <c r="E441" s="19" t="s">
        <v>21</v>
      </c>
      <c r="F441" s="20">
        <v>2310000</v>
      </c>
      <c r="G441" s="20">
        <v>2600000</v>
      </c>
      <c r="H441" s="20">
        <v>62000000</v>
      </c>
    </row>
    <row r="442" spans="1:8" x14ac:dyDescent="0.3">
      <c r="A442" s="19" t="s">
        <v>219</v>
      </c>
      <c r="B442" s="19" t="s">
        <v>151</v>
      </c>
      <c r="C442" s="19" t="s">
        <v>93</v>
      </c>
      <c r="D442" s="19" t="s">
        <v>152</v>
      </c>
      <c r="E442" s="19" t="s">
        <v>21</v>
      </c>
      <c r="F442" s="20">
        <v>116000</v>
      </c>
      <c r="G442" s="20">
        <v>140000</v>
      </c>
      <c r="H442" s="20">
        <v>7100000</v>
      </c>
    </row>
    <row r="443" spans="1:8" x14ac:dyDescent="0.3">
      <c r="A443" s="19" t="s">
        <v>219</v>
      </c>
      <c r="B443" s="19" t="s">
        <v>151</v>
      </c>
      <c r="C443" s="19" t="s">
        <v>49</v>
      </c>
      <c r="D443" s="19" t="s">
        <v>152</v>
      </c>
      <c r="E443" s="19" t="s">
        <v>21</v>
      </c>
      <c r="F443" s="20">
        <v>308000</v>
      </c>
      <c r="G443" s="20">
        <v>290000</v>
      </c>
      <c r="H443" s="20">
        <v>9100000</v>
      </c>
    </row>
    <row r="444" spans="1:8" x14ac:dyDescent="0.3">
      <c r="A444" s="19" t="s">
        <v>219</v>
      </c>
      <c r="B444" s="19" t="s">
        <v>151</v>
      </c>
      <c r="C444" s="19" t="s">
        <v>94</v>
      </c>
      <c r="D444" s="19" t="s">
        <v>152</v>
      </c>
      <c r="E444" s="19" t="s">
        <v>21</v>
      </c>
      <c r="F444" s="20">
        <v>354000</v>
      </c>
      <c r="G444" s="20">
        <v>270000</v>
      </c>
      <c r="H444" s="20">
        <v>4800000</v>
      </c>
    </row>
    <row r="445" spans="1:8" x14ac:dyDescent="0.3">
      <c r="A445" s="19" t="s">
        <v>219</v>
      </c>
      <c r="B445" s="19" t="s">
        <v>151</v>
      </c>
      <c r="C445" s="19" t="s">
        <v>32</v>
      </c>
      <c r="D445" s="19" t="s">
        <v>152</v>
      </c>
      <c r="E445" s="19" t="s">
        <v>21</v>
      </c>
      <c r="F445" s="20">
        <v>205000</v>
      </c>
      <c r="G445" s="20">
        <v>200000</v>
      </c>
      <c r="H445" s="20">
        <v>8300000</v>
      </c>
    </row>
    <row r="446" spans="1:8" x14ac:dyDescent="0.3">
      <c r="A446" s="19" t="s">
        <v>219</v>
      </c>
      <c r="B446" s="19" t="s">
        <v>151</v>
      </c>
      <c r="C446" s="19" t="s">
        <v>230</v>
      </c>
      <c r="D446" s="19" t="s">
        <v>152</v>
      </c>
      <c r="E446" s="19" t="s">
        <v>21</v>
      </c>
      <c r="F446" s="20">
        <v>7490</v>
      </c>
      <c r="G446" s="20">
        <v>10000</v>
      </c>
      <c r="H446" s="20">
        <v>340000</v>
      </c>
    </row>
    <row r="447" spans="1:8" x14ac:dyDescent="0.3">
      <c r="A447" s="19" t="s">
        <v>219</v>
      </c>
      <c r="B447" s="19" t="s">
        <v>151</v>
      </c>
      <c r="C447" s="19" t="s">
        <v>35</v>
      </c>
      <c r="D447" s="19" t="s">
        <v>152</v>
      </c>
      <c r="E447" s="19" t="s">
        <v>21</v>
      </c>
      <c r="F447" s="20">
        <v>3710000</v>
      </c>
      <c r="G447" s="20">
        <v>3900000</v>
      </c>
      <c r="H447" s="20">
        <v>140000000</v>
      </c>
    </row>
    <row r="448" spans="1:8" x14ac:dyDescent="0.3">
      <c r="A448" s="19" t="s">
        <v>219</v>
      </c>
      <c r="B448" s="19" t="s">
        <v>153</v>
      </c>
      <c r="C448" s="19" t="s">
        <v>44</v>
      </c>
      <c r="D448" s="19" t="s">
        <v>154</v>
      </c>
      <c r="E448" s="19" t="s">
        <v>21</v>
      </c>
      <c r="F448" s="20">
        <v>104000</v>
      </c>
      <c r="G448" s="20">
        <v>104000</v>
      </c>
      <c r="H448" s="20">
        <v>14000000</v>
      </c>
    </row>
    <row r="449" spans="1:8" x14ac:dyDescent="0.3">
      <c r="A449" s="19" t="s">
        <v>219</v>
      </c>
      <c r="B449" s="19" t="s">
        <v>153</v>
      </c>
      <c r="C449" s="19" t="s">
        <v>220</v>
      </c>
      <c r="D449" s="19" t="s">
        <v>154</v>
      </c>
      <c r="E449" s="19" t="s">
        <v>21</v>
      </c>
      <c r="F449" s="20">
        <v>6900</v>
      </c>
      <c r="G449" s="20">
        <v>6000</v>
      </c>
      <c r="H449" s="20">
        <v>640000</v>
      </c>
    </row>
    <row r="450" spans="1:8" x14ac:dyDescent="0.3">
      <c r="A450" s="19" t="s">
        <v>219</v>
      </c>
      <c r="B450" s="19" t="s">
        <v>153</v>
      </c>
      <c r="C450" s="19" t="s">
        <v>25</v>
      </c>
      <c r="D450" s="19" t="s">
        <v>154</v>
      </c>
      <c r="E450" s="19" t="s">
        <v>21</v>
      </c>
      <c r="F450" s="20">
        <v>44</v>
      </c>
      <c r="G450" s="20">
        <v>40</v>
      </c>
      <c r="H450" s="20">
        <v>6500000</v>
      </c>
    </row>
    <row r="451" spans="1:8" x14ac:dyDescent="0.3">
      <c r="A451" s="19" t="s">
        <v>219</v>
      </c>
      <c r="B451" s="19" t="s">
        <v>153</v>
      </c>
      <c r="C451" s="19" t="s">
        <v>288</v>
      </c>
      <c r="D451" s="19" t="s">
        <v>154</v>
      </c>
      <c r="E451" s="19" t="s">
        <v>21</v>
      </c>
      <c r="F451" s="20">
        <v>930</v>
      </c>
      <c r="G451" s="20">
        <v>970</v>
      </c>
      <c r="H451" s="20"/>
    </row>
    <row r="452" spans="1:8" x14ac:dyDescent="0.3">
      <c r="A452" s="19" t="s">
        <v>219</v>
      </c>
      <c r="B452" s="19" t="s">
        <v>153</v>
      </c>
      <c r="C452" s="19" t="s">
        <v>49</v>
      </c>
      <c r="D452" s="19" t="s">
        <v>154</v>
      </c>
      <c r="E452" s="19" t="s">
        <v>21</v>
      </c>
      <c r="F452" s="20">
        <v>160</v>
      </c>
      <c r="G452" s="20">
        <v>120</v>
      </c>
      <c r="H452" s="20"/>
    </row>
    <row r="453" spans="1:8" x14ac:dyDescent="0.3">
      <c r="A453" s="19" t="s">
        <v>219</v>
      </c>
      <c r="B453" s="19" t="s">
        <v>153</v>
      </c>
      <c r="C453" s="19" t="s">
        <v>32</v>
      </c>
      <c r="D453" s="19" t="s">
        <v>154</v>
      </c>
      <c r="E453" s="19" t="s">
        <v>21</v>
      </c>
      <c r="F453" s="20">
        <v>300</v>
      </c>
      <c r="G453" s="20">
        <v>300</v>
      </c>
      <c r="H453" s="20">
        <v>3000</v>
      </c>
    </row>
    <row r="454" spans="1:8" x14ac:dyDescent="0.3">
      <c r="A454" s="19" t="s">
        <v>219</v>
      </c>
      <c r="B454" s="19" t="s">
        <v>153</v>
      </c>
      <c r="C454" s="19" t="s">
        <v>63</v>
      </c>
      <c r="D454" s="19" t="s">
        <v>154</v>
      </c>
      <c r="E454" s="19" t="s">
        <v>21</v>
      </c>
      <c r="F454" s="20">
        <v>210</v>
      </c>
      <c r="G454" s="20">
        <v>200</v>
      </c>
      <c r="H454" s="20"/>
    </row>
    <row r="455" spans="1:8" x14ac:dyDescent="0.3">
      <c r="A455" s="19" t="s">
        <v>219</v>
      </c>
      <c r="B455" s="19" t="s">
        <v>153</v>
      </c>
      <c r="C455" s="19" t="s">
        <v>230</v>
      </c>
      <c r="D455" s="19" t="s">
        <v>154</v>
      </c>
      <c r="E455" s="19" t="s">
        <v>21</v>
      </c>
      <c r="F455" s="20"/>
      <c r="G455" s="20"/>
      <c r="H455" s="20">
        <v>210000</v>
      </c>
    </row>
    <row r="456" spans="1:8" x14ac:dyDescent="0.3">
      <c r="A456" s="19" t="s">
        <v>219</v>
      </c>
      <c r="B456" s="19" t="s">
        <v>153</v>
      </c>
      <c r="C456" s="19" t="s">
        <v>35</v>
      </c>
      <c r="D456" s="19" t="s">
        <v>154</v>
      </c>
      <c r="E456" s="19" t="s">
        <v>21</v>
      </c>
      <c r="F456" s="20">
        <v>112000</v>
      </c>
      <c r="G456" s="20">
        <v>120000</v>
      </c>
      <c r="H456" s="20">
        <v>21000000</v>
      </c>
    </row>
    <row r="457" spans="1:8" x14ac:dyDescent="0.3">
      <c r="A457" s="19" t="s">
        <v>219</v>
      </c>
      <c r="B457" s="19" t="s">
        <v>256</v>
      </c>
      <c r="C457" s="19" t="s">
        <v>123</v>
      </c>
      <c r="D457" s="19" t="s">
        <v>155</v>
      </c>
      <c r="E457" s="19" t="s">
        <v>47</v>
      </c>
      <c r="F457" s="20">
        <v>2000</v>
      </c>
      <c r="G457" s="20">
        <v>2000</v>
      </c>
      <c r="H457" s="20"/>
    </row>
    <row r="458" spans="1:8" x14ac:dyDescent="0.3">
      <c r="A458" s="19" t="s">
        <v>219</v>
      </c>
      <c r="B458" s="19" t="s">
        <v>256</v>
      </c>
      <c r="C458" s="19" t="s">
        <v>22</v>
      </c>
      <c r="D458" s="19" t="s">
        <v>155</v>
      </c>
      <c r="E458" s="19" t="s">
        <v>47</v>
      </c>
      <c r="F458" s="20">
        <v>1500</v>
      </c>
      <c r="G458" s="20">
        <v>1500</v>
      </c>
      <c r="H458" s="20"/>
    </row>
    <row r="459" spans="1:8" x14ac:dyDescent="0.3">
      <c r="A459" s="19" t="s">
        <v>219</v>
      </c>
      <c r="B459" s="19" t="s">
        <v>256</v>
      </c>
      <c r="C459" s="19" t="s">
        <v>220</v>
      </c>
      <c r="D459" s="19" t="s">
        <v>155</v>
      </c>
      <c r="E459" s="19" t="s">
        <v>47</v>
      </c>
      <c r="F459" s="20">
        <v>3800</v>
      </c>
      <c r="G459" s="20">
        <v>3800</v>
      </c>
      <c r="H459" s="20"/>
    </row>
    <row r="460" spans="1:8" x14ac:dyDescent="0.3">
      <c r="A460" s="19" t="s">
        <v>219</v>
      </c>
      <c r="B460" s="19" t="s">
        <v>256</v>
      </c>
      <c r="C460" s="19" t="s">
        <v>25</v>
      </c>
      <c r="D460" s="19" t="s">
        <v>155</v>
      </c>
      <c r="E460" s="19" t="s">
        <v>47</v>
      </c>
      <c r="F460" s="20">
        <v>49000</v>
      </c>
      <c r="G460" s="20">
        <v>49000</v>
      </c>
      <c r="H460" s="20"/>
    </row>
    <row r="461" spans="1:8" x14ac:dyDescent="0.3">
      <c r="A461" s="19" t="s">
        <v>219</v>
      </c>
      <c r="B461" s="19" t="s">
        <v>256</v>
      </c>
      <c r="C461" s="19" t="s">
        <v>156</v>
      </c>
      <c r="D461" s="19" t="s">
        <v>155</v>
      </c>
      <c r="E461" s="19" t="s">
        <v>47</v>
      </c>
      <c r="F461" s="20">
        <v>3900</v>
      </c>
      <c r="G461" s="20">
        <v>4000</v>
      </c>
      <c r="H461" s="20"/>
    </row>
    <row r="462" spans="1:8" x14ac:dyDescent="0.3">
      <c r="A462" s="19" t="s">
        <v>219</v>
      </c>
      <c r="B462" s="19" t="s">
        <v>256</v>
      </c>
      <c r="C462" s="19" t="s">
        <v>52</v>
      </c>
      <c r="D462" s="19" t="s">
        <v>155</v>
      </c>
      <c r="E462" s="19" t="s">
        <v>47</v>
      </c>
      <c r="F462" s="20">
        <v>2220</v>
      </c>
      <c r="G462" s="20">
        <v>2000</v>
      </c>
      <c r="H462" s="20"/>
    </row>
    <row r="463" spans="1:8" x14ac:dyDescent="0.3">
      <c r="A463" s="19" t="s">
        <v>219</v>
      </c>
      <c r="B463" s="19" t="s">
        <v>256</v>
      </c>
      <c r="C463" s="19" t="s">
        <v>48</v>
      </c>
      <c r="D463" s="19" t="s">
        <v>155</v>
      </c>
      <c r="E463" s="19" t="s">
        <v>47</v>
      </c>
      <c r="F463" s="20">
        <v>15000</v>
      </c>
      <c r="G463" s="20">
        <v>15000</v>
      </c>
      <c r="H463" s="20"/>
    </row>
    <row r="464" spans="1:8" x14ac:dyDescent="0.3">
      <c r="A464" s="19" t="s">
        <v>219</v>
      </c>
      <c r="B464" s="19" t="s">
        <v>256</v>
      </c>
      <c r="C464" s="19" t="s">
        <v>55</v>
      </c>
      <c r="D464" s="19" t="s">
        <v>155</v>
      </c>
      <c r="E464" s="19" t="s">
        <v>47</v>
      </c>
      <c r="F464" s="20">
        <v>5700</v>
      </c>
      <c r="G464" s="20">
        <v>6000</v>
      </c>
      <c r="H464" s="20"/>
    </row>
    <row r="465" spans="1:8" x14ac:dyDescent="0.3">
      <c r="A465" s="19" t="s">
        <v>219</v>
      </c>
      <c r="B465" s="19" t="s">
        <v>256</v>
      </c>
      <c r="C465" s="19" t="s">
        <v>27</v>
      </c>
      <c r="D465" s="19" t="s">
        <v>155</v>
      </c>
      <c r="E465" s="19" t="s">
        <v>47</v>
      </c>
      <c r="F465" s="20">
        <v>4800</v>
      </c>
      <c r="G465" s="20">
        <v>4800</v>
      </c>
      <c r="H465" s="20"/>
    </row>
    <row r="466" spans="1:8" x14ac:dyDescent="0.3">
      <c r="A466" s="19" t="s">
        <v>219</v>
      </c>
      <c r="B466" s="19" t="s">
        <v>256</v>
      </c>
      <c r="C466" s="19" t="s">
        <v>137</v>
      </c>
      <c r="D466" s="19" t="s">
        <v>155</v>
      </c>
      <c r="E466" s="19" t="s">
        <v>47</v>
      </c>
      <c r="F466" s="20">
        <v>1500</v>
      </c>
      <c r="G466" s="20">
        <v>1500</v>
      </c>
      <c r="H466" s="20"/>
    </row>
    <row r="467" spans="1:8" x14ac:dyDescent="0.3">
      <c r="A467" s="19" t="s">
        <v>219</v>
      </c>
      <c r="B467" s="19" t="s">
        <v>256</v>
      </c>
      <c r="C467" s="19" t="s">
        <v>80</v>
      </c>
      <c r="D467" s="19" t="s">
        <v>155</v>
      </c>
      <c r="E467" s="19" t="s">
        <v>47</v>
      </c>
      <c r="F467" s="20">
        <v>2100</v>
      </c>
      <c r="G467" s="20">
        <v>2000</v>
      </c>
      <c r="H467" s="20"/>
    </row>
    <row r="468" spans="1:8" x14ac:dyDescent="0.3">
      <c r="A468" s="19" t="s">
        <v>219</v>
      </c>
      <c r="B468" s="19" t="s">
        <v>256</v>
      </c>
      <c r="C468" s="19" t="s">
        <v>157</v>
      </c>
      <c r="D468" s="19" t="s">
        <v>155</v>
      </c>
      <c r="E468" s="19" t="s">
        <v>47</v>
      </c>
      <c r="F468" s="20">
        <v>2000</v>
      </c>
      <c r="G468" s="20">
        <v>2000</v>
      </c>
      <c r="H468" s="20"/>
    </row>
    <row r="469" spans="1:8" x14ac:dyDescent="0.3">
      <c r="A469" s="19" t="s">
        <v>219</v>
      </c>
      <c r="B469" s="19" t="s">
        <v>256</v>
      </c>
      <c r="C469" s="19" t="s">
        <v>124</v>
      </c>
      <c r="D469" s="19" t="s">
        <v>155</v>
      </c>
      <c r="E469" s="19" t="s">
        <v>47</v>
      </c>
      <c r="F469" s="20">
        <v>2000</v>
      </c>
      <c r="G469" s="20">
        <v>2000</v>
      </c>
      <c r="H469" s="20"/>
    </row>
    <row r="470" spans="1:8" x14ac:dyDescent="0.3">
      <c r="A470" s="19" t="s">
        <v>219</v>
      </c>
      <c r="B470" s="19" t="s">
        <v>256</v>
      </c>
      <c r="C470" s="19" t="s">
        <v>49</v>
      </c>
      <c r="D470" s="19" t="s">
        <v>155</v>
      </c>
      <c r="E470" s="19" t="s">
        <v>47</v>
      </c>
      <c r="F470" s="20">
        <v>12200</v>
      </c>
      <c r="G470" s="20">
        <v>12000</v>
      </c>
      <c r="H470" s="20"/>
    </row>
    <row r="471" spans="1:8" x14ac:dyDescent="0.3">
      <c r="A471" s="19" t="s">
        <v>219</v>
      </c>
      <c r="B471" s="19" t="s">
        <v>256</v>
      </c>
      <c r="C471" s="19" t="s">
        <v>31</v>
      </c>
      <c r="D471" s="19" t="s">
        <v>155</v>
      </c>
      <c r="E471" s="19" t="s">
        <v>47</v>
      </c>
      <c r="F471" s="20">
        <v>3800</v>
      </c>
      <c r="G471" s="20">
        <v>3800</v>
      </c>
      <c r="H471" s="20"/>
    </row>
    <row r="472" spans="1:8" x14ac:dyDescent="0.3">
      <c r="A472" s="19" t="s">
        <v>219</v>
      </c>
      <c r="B472" s="19" t="s">
        <v>256</v>
      </c>
      <c r="C472" s="19" t="s">
        <v>82</v>
      </c>
      <c r="D472" s="19" t="s">
        <v>155</v>
      </c>
      <c r="E472" s="19" t="s">
        <v>47</v>
      </c>
      <c r="F472" s="20">
        <v>1700</v>
      </c>
      <c r="G472" s="20">
        <v>1700</v>
      </c>
      <c r="H472" s="20"/>
    </row>
    <row r="473" spans="1:8" x14ac:dyDescent="0.3">
      <c r="A473" s="19" t="s">
        <v>219</v>
      </c>
      <c r="B473" s="19" t="s">
        <v>256</v>
      </c>
      <c r="C473" s="19" t="s">
        <v>158</v>
      </c>
      <c r="D473" s="19" t="s">
        <v>155</v>
      </c>
      <c r="E473" s="19" t="s">
        <v>47</v>
      </c>
      <c r="F473" s="20">
        <v>3040</v>
      </c>
      <c r="G473" s="20">
        <v>3000</v>
      </c>
      <c r="H473" s="20"/>
    </row>
    <row r="474" spans="1:8" x14ac:dyDescent="0.3">
      <c r="A474" s="19" t="s">
        <v>219</v>
      </c>
      <c r="B474" s="19" t="s">
        <v>256</v>
      </c>
      <c r="C474" s="19" t="s">
        <v>32</v>
      </c>
      <c r="D474" s="19" t="s">
        <v>155</v>
      </c>
      <c r="E474" s="19" t="s">
        <v>47</v>
      </c>
      <c r="F474" s="20">
        <v>15000</v>
      </c>
      <c r="G474" s="20">
        <v>15000</v>
      </c>
      <c r="H474" s="20"/>
    </row>
    <row r="475" spans="1:8" x14ac:dyDescent="0.3">
      <c r="A475" s="19" t="s">
        <v>219</v>
      </c>
      <c r="B475" s="19" t="s">
        <v>256</v>
      </c>
      <c r="C475" s="19" t="s">
        <v>57</v>
      </c>
      <c r="D475" s="19" t="s">
        <v>155</v>
      </c>
      <c r="E475" s="19" t="s">
        <v>47</v>
      </c>
      <c r="F475" s="20">
        <v>5200</v>
      </c>
      <c r="G475" s="20">
        <v>5200</v>
      </c>
      <c r="H475" s="20"/>
    </row>
    <row r="476" spans="1:8" x14ac:dyDescent="0.3">
      <c r="A476" s="19" t="s">
        <v>219</v>
      </c>
      <c r="B476" s="19" t="s">
        <v>256</v>
      </c>
      <c r="C476" s="19" t="s">
        <v>159</v>
      </c>
      <c r="D476" s="19" t="s">
        <v>155</v>
      </c>
      <c r="E476" s="19" t="s">
        <v>47</v>
      </c>
      <c r="F476" s="20">
        <v>3350</v>
      </c>
      <c r="G476" s="20">
        <v>3300</v>
      </c>
      <c r="H476" s="20"/>
    </row>
    <row r="477" spans="1:8" x14ac:dyDescent="0.3">
      <c r="A477" s="19" t="s">
        <v>219</v>
      </c>
      <c r="B477" s="19" t="s">
        <v>256</v>
      </c>
      <c r="C477" s="19" t="s">
        <v>230</v>
      </c>
      <c r="D477" s="19" t="s">
        <v>155</v>
      </c>
      <c r="E477" s="19" t="s">
        <v>47</v>
      </c>
      <c r="F477" s="20">
        <v>13600</v>
      </c>
      <c r="G477" s="20">
        <v>14000</v>
      </c>
      <c r="H477" s="20"/>
    </row>
    <row r="478" spans="1:8" x14ac:dyDescent="0.3">
      <c r="A478" s="19" t="s">
        <v>219</v>
      </c>
      <c r="B478" s="19" t="s">
        <v>256</v>
      </c>
      <c r="C478" s="19" t="s">
        <v>83</v>
      </c>
      <c r="D478" s="19" t="s">
        <v>155</v>
      </c>
      <c r="E478" s="19" t="s">
        <v>47</v>
      </c>
      <c r="F478" s="20">
        <v>1200</v>
      </c>
      <c r="G478" s="20">
        <v>1300</v>
      </c>
      <c r="H478" s="20"/>
    </row>
    <row r="479" spans="1:8" x14ac:dyDescent="0.3">
      <c r="A479" s="19" t="s">
        <v>219</v>
      </c>
      <c r="B479" s="19" t="s">
        <v>256</v>
      </c>
      <c r="C479" s="19" t="s">
        <v>34</v>
      </c>
      <c r="D479" s="19" t="s">
        <v>155</v>
      </c>
      <c r="E479" s="19" t="s">
        <v>47</v>
      </c>
      <c r="F479" s="20">
        <v>1440</v>
      </c>
      <c r="G479" s="20">
        <v>1400</v>
      </c>
      <c r="H479" s="20"/>
    </row>
    <row r="480" spans="1:8" x14ac:dyDescent="0.3">
      <c r="A480" s="19" t="s">
        <v>219</v>
      </c>
      <c r="B480" s="19" t="s">
        <v>256</v>
      </c>
      <c r="C480" s="19" t="s">
        <v>35</v>
      </c>
      <c r="D480" s="19" t="s">
        <v>155</v>
      </c>
      <c r="E480" s="19" t="s">
        <v>47</v>
      </c>
      <c r="F480" s="20">
        <v>156000</v>
      </c>
      <c r="G480" s="20">
        <v>160000</v>
      </c>
      <c r="H480" s="20"/>
    </row>
    <row r="481" spans="1:8" x14ac:dyDescent="0.3">
      <c r="A481" s="19" t="s">
        <v>219</v>
      </c>
      <c r="B481" s="19" t="s">
        <v>170</v>
      </c>
      <c r="C481" s="19" t="s">
        <v>220</v>
      </c>
      <c r="D481" s="19" t="s">
        <v>171</v>
      </c>
      <c r="E481" s="19" t="s">
        <v>109</v>
      </c>
      <c r="F481" s="20">
        <v>17000</v>
      </c>
      <c r="G481" s="20">
        <v>16000</v>
      </c>
      <c r="H481" s="20">
        <v>310000</v>
      </c>
    </row>
    <row r="482" spans="1:8" x14ac:dyDescent="0.3">
      <c r="A482" s="19" t="s">
        <v>219</v>
      </c>
      <c r="B482" s="19" t="s">
        <v>170</v>
      </c>
      <c r="C482" s="19" t="s">
        <v>49</v>
      </c>
      <c r="D482" s="19" t="s">
        <v>171</v>
      </c>
      <c r="E482" s="19" t="s">
        <v>109</v>
      </c>
      <c r="F482" s="20">
        <v>2897</v>
      </c>
      <c r="G482" s="20">
        <v>2900</v>
      </c>
      <c r="H482" s="20"/>
    </row>
    <row r="483" spans="1:8" x14ac:dyDescent="0.3">
      <c r="A483" s="19" t="s">
        <v>219</v>
      </c>
      <c r="B483" s="19" t="s">
        <v>170</v>
      </c>
      <c r="C483" s="19" t="s">
        <v>32</v>
      </c>
      <c r="D483" s="19" t="s">
        <v>171</v>
      </c>
      <c r="E483" s="19" t="s">
        <v>109</v>
      </c>
      <c r="F483" s="20">
        <v>89000</v>
      </c>
      <c r="G483" s="20">
        <v>84000</v>
      </c>
      <c r="H483" s="20">
        <v>11000000</v>
      </c>
    </row>
    <row r="484" spans="1:8" x14ac:dyDescent="0.3">
      <c r="A484" s="19" t="s">
        <v>219</v>
      </c>
      <c r="B484" s="19" t="s">
        <v>170</v>
      </c>
      <c r="C484" s="19" t="s">
        <v>87</v>
      </c>
      <c r="D484" s="19" t="s">
        <v>171</v>
      </c>
      <c r="E484" s="19" t="s">
        <v>109</v>
      </c>
      <c r="F484" s="20">
        <v>82600</v>
      </c>
      <c r="G484" s="20">
        <v>70000</v>
      </c>
      <c r="H484" s="20">
        <v>63000000</v>
      </c>
    </row>
    <row r="485" spans="1:8" x14ac:dyDescent="0.3">
      <c r="A485" s="19" t="s">
        <v>219</v>
      </c>
      <c r="B485" s="19" t="s">
        <v>170</v>
      </c>
      <c r="C485" s="19" t="s">
        <v>230</v>
      </c>
      <c r="D485" s="19" t="s">
        <v>171</v>
      </c>
      <c r="E485" s="19" t="s">
        <v>109</v>
      </c>
      <c r="F485" s="20">
        <v>10200</v>
      </c>
      <c r="G485" s="20">
        <v>6200</v>
      </c>
      <c r="H485" s="20">
        <v>590000</v>
      </c>
    </row>
    <row r="486" spans="1:8" x14ac:dyDescent="0.3">
      <c r="A486" s="19" t="s">
        <v>219</v>
      </c>
      <c r="B486" s="19" t="s">
        <v>170</v>
      </c>
      <c r="C486" s="19" t="s">
        <v>35</v>
      </c>
      <c r="D486" s="19" t="s">
        <v>171</v>
      </c>
      <c r="E486" s="19" t="s">
        <v>109</v>
      </c>
      <c r="F486" s="20">
        <v>217000</v>
      </c>
      <c r="G486" s="20">
        <v>190000</v>
      </c>
      <c r="H486" s="20">
        <v>76000000</v>
      </c>
    </row>
    <row r="487" spans="1:8" x14ac:dyDescent="0.3">
      <c r="A487" s="19" t="s">
        <v>219</v>
      </c>
      <c r="B487" s="19" t="s">
        <v>170</v>
      </c>
      <c r="C487" s="19" t="s">
        <v>88</v>
      </c>
      <c r="D487" s="19" t="s">
        <v>171</v>
      </c>
      <c r="E487" s="19" t="s">
        <v>109</v>
      </c>
      <c r="F487" s="20">
        <v>15200</v>
      </c>
      <c r="G487" s="20">
        <v>15000</v>
      </c>
      <c r="H487" s="20">
        <v>1300000</v>
      </c>
    </row>
    <row r="488" spans="1:8" x14ac:dyDescent="0.3">
      <c r="A488" s="19" t="s">
        <v>219</v>
      </c>
      <c r="B488" s="19" t="s">
        <v>160</v>
      </c>
      <c r="C488" s="19" t="s">
        <v>70</v>
      </c>
      <c r="D488" s="19" t="s">
        <v>90</v>
      </c>
      <c r="E488" s="19" t="s">
        <v>47</v>
      </c>
      <c r="F488" s="20">
        <v>32</v>
      </c>
      <c r="G488" s="20">
        <v>30</v>
      </c>
      <c r="H488" s="20"/>
    </row>
    <row r="489" spans="1:8" x14ac:dyDescent="0.3">
      <c r="A489" s="19" t="s">
        <v>219</v>
      </c>
      <c r="B489" s="19" t="s">
        <v>160</v>
      </c>
      <c r="C489" s="19" t="s">
        <v>150</v>
      </c>
      <c r="D489" s="19" t="s">
        <v>90</v>
      </c>
      <c r="E489" s="19" t="s">
        <v>47</v>
      </c>
      <c r="F489" s="20">
        <v>29</v>
      </c>
      <c r="G489" s="20">
        <v>30</v>
      </c>
      <c r="H489" s="20"/>
    </row>
    <row r="490" spans="1:8" x14ac:dyDescent="0.3">
      <c r="A490" s="19" t="s">
        <v>219</v>
      </c>
      <c r="B490" s="19" t="s">
        <v>160</v>
      </c>
      <c r="C490" s="19" t="s">
        <v>25</v>
      </c>
      <c r="D490" s="19" t="s">
        <v>90</v>
      </c>
      <c r="E490" s="19" t="s">
        <v>47</v>
      </c>
      <c r="F490" s="20">
        <v>1500</v>
      </c>
      <c r="G490" s="20">
        <v>1500</v>
      </c>
      <c r="H490" s="20">
        <v>32000</v>
      </c>
    </row>
    <row r="491" spans="1:8" x14ac:dyDescent="0.3">
      <c r="A491" s="19" t="s">
        <v>219</v>
      </c>
      <c r="B491" s="19" t="s">
        <v>160</v>
      </c>
      <c r="C491" s="19" t="s">
        <v>161</v>
      </c>
      <c r="D491" s="19" t="s">
        <v>90</v>
      </c>
      <c r="E491" s="19" t="s">
        <v>47</v>
      </c>
      <c r="F491" s="20">
        <v>39</v>
      </c>
      <c r="G491" s="20">
        <v>40</v>
      </c>
      <c r="H491" s="20"/>
    </row>
    <row r="492" spans="1:8" x14ac:dyDescent="0.3">
      <c r="A492" s="19" t="s">
        <v>219</v>
      </c>
      <c r="B492" s="19" t="s">
        <v>160</v>
      </c>
      <c r="C492" s="19" t="s">
        <v>53</v>
      </c>
      <c r="D492" s="19" t="s">
        <v>90</v>
      </c>
      <c r="E492" s="19" t="s">
        <v>47</v>
      </c>
      <c r="F492" s="20">
        <v>840</v>
      </c>
      <c r="G492" s="20">
        <v>840</v>
      </c>
      <c r="H492" s="20">
        <v>180000</v>
      </c>
    </row>
    <row r="493" spans="1:8" x14ac:dyDescent="0.3">
      <c r="A493" s="19" t="s">
        <v>219</v>
      </c>
      <c r="B493" s="19" t="s">
        <v>160</v>
      </c>
      <c r="C493" s="19" t="s">
        <v>162</v>
      </c>
      <c r="D493" s="19" t="s">
        <v>90</v>
      </c>
      <c r="E493" s="19" t="s">
        <v>47</v>
      </c>
      <c r="F493" s="20">
        <v>77</v>
      </c>
      <c r="G493" s="20">
        <v>80</v>
      </c>
      <c r="H493" s="20"/>
    </row>
    <row r="494" spans="1:8" x14ac:dyDescent="0.3">
      <c r="A494" s="19" t="s">
        <v>219</v>
      </c>
      <c r="B494" s="19" t="s">
        <v>160</v>
      </c>
      <c r="C494" s="19" t="s">
        <v>257</v>
      </c>
      <c r="D494" s="19" t="s">
        <v>90</v>
      </c>
      <c r="E494" s="19" t="s">
        <v>47</v>
      </c>
      <c r="F494" s="20">
        <v>70</v>
      </c>
      <c r="G494" s="20">
        <v>70</v>
      </c>
      <c r="H494" s="20">
        <v>15000</v>
      </c>
    </row>
    <row r="495" spans="1:8" x14ac:dyDescent="0.3">
      <c r="A495" s="19" t="s">
        <v>219</v>
      </c>
      <c r="B495" s="19" t="s">
        <v>160</v>
      </c>
      <c r="C495" s="19" t="s">
        <v>30</v>
      </c>
      <c r="D495" s="19" t="s">
        <v>90</v>
      </c>
      <c r="E495" s="19" t="s">
        <v>47</v>
      </c>
      <c r="F495" s="20">
        <v>29</v>
      </c>
      <c r="G495" s="20">
        <v>30</v>
      </c>
      <c r="H495" s="20"/>
    </row>
    <row r="496" spans="1:8" x14ac:dyDescent="0.3">
      <c r="A496" s="19" t="s">
        <v>219</v>
      </c>
      <c r="B496" s="19" t="s">
        <v>160</v>
      </c>
      <c r="C496" s="19" t="s">
        <v>163</v>
      </c>
      <c r="D496" s="19" t="s">
        <v>90</v>
      </c>
      <c r="E496" s="19" t="s">
        <v>47</v>
      </c>
      <c r="F496" s="20">
        <v>18</v>
      </c>
      <c r="G496" s="20">
        <v>20</v>
      </c>
      <c r="H496" s="20"/>
    </row>
    <row r="497" spans="1:8" x14ac:dyDescent="0.3">
      <c r="A497" s="19" t="s">
        <v>219</v>
      </c>
      <c r="B497" s="19" t="s">
        <v>160</v>
      </c>
      <c r="C497" s="19" t="s">
        <v>49</v>
      </c>
      <c r="D497" s="19" t="s">
        <v>90</v>
      </c>
      <c r="E497" s="19" t="s">
        <v>47</v>
      </c>
      <c r="F497" s="20">
        <v>12</v>
      </c>
      <c r="G497" s="20">
        <v>10</v>
      </c>
      <c r="H497" s="20"/>
    </row>
    <row r="498" spans="1:8" x14ac:dyDescent="0.3">
      <c r="A498" s="19" t="s">
        <v>219</v>
      </c>
      <c r="B498" s="19" t="s">
        <v>160</v>
      </c>
      <c r="C498" s="19" t="s">
        <v>94</v>
      </c>
      <c r="D498" s="19" t="s">
        <v>90</v>
      </c>
      <c r="E498" s="19" t="s">
        <v>47</v>
      </c>
      <c r="F498" s="20">
        <v>15</v>
      </c>
      <c r="G498" s="20">
        <v>20</v>
      </c>
      <c r="H498" s="20"/>
    </row>
    <row r="499" spans="1:8" x14ac:dyDescent="0.3">
      <c r="A499" s="19" t="s">
        <v>219</v>
      </c>
      <c r="B499" s="19" t="s">
        <v>160</v>
      </c>
      <c r="C499" s="19" t="s">
        <v>229</v>
      </c>
      <c r="D499" s="19" t="s">
        <v>90</v>
      </c>
      <c r="E499" s="19" t="s">
        <v>47</v>
      </c>
      <c r="F499" s="20">
        <v>1360</v>
      </c>
      <c r="G499" s="20">
        <v>1400</v>
      </c>
      <c r="H499" s="20"/>
    </row>
    <row r="500" spans="1:8" x14ac:dyDescent="0.3">
      <c r="A500" s="19" t="s">
        <v>219</v>
      </c>
      <c r="B500" s="19" t="s">
        <v>160</v>
      </c>
      <c r="C500" s="19" t="s">
        <v>143</v>
      </c>
      <c r="D500" s="19" t="s">
        <v>90</v>
      </c>
      <c r="E500" s="19" t="s">
        <v>47</v>
      </c>
      <c r="F500" s="20">
        <v>42</v>
      </c>
      <c r="G500" s="20">
        <v>40</v>
      </c>
      <c r="H500" s="20">
        <v>30000</v>
      </c>
    </row>
    <row r="501" spans="1:8" x14ac:dyDescent="0.3">
      <c r="A501" s="19" t="s">
        <v>219</v>
      </c>
      <c r="B501" s="19" t="s">
        <v>160</v>
      </c>
      <c r="C501" s="19" t="s">
        <v>87</v>
      </c>
      <c r="D501" s="19" t="s">
        <v>90</v>
      </c>
      <c r="E501" s="19" t="s">
        <v>47</v>
      </c>
      <c r="F501" s="20">
        <v>11</v>
      </c>
      <c r="G501" s="20">
        <v>10</v>
      </c>
      <c r="H501" s="20"/>
    </row>
    <row r="502" spans="1:8" x14ac:dyDescent="0.3">
      <c r="A502" s="19" t="s">
        <v>219</v>
      </c>
      <c r="B502" s="19" t="s">
        <v>160</v>
      </c>
      <c r="C502" s="19" t="s">
        <v>230</v>
      </c>
      <c r="D502" s="19" t="s">
        <v>90</v>
      </c>
      <c r="E502" s="19" t="s">
        <v>47</v>
      </c>
      <c r="F502" s="20">
        <v>452</v>
      </c>
      <c r="G502" s="20">
        <v>460</v>
      </c>
      <c r="H502" s="20">
        <v>50000</v>
      </c>
    </row>
    <row r="503" spans="1:8" x14ac:dyDescent="0.3">
      <c r="A503" s="19" t="s">
        <v>219</v>
      </c>
      <c r="B503" s="19" t="s">
        <v>160</v>
      </c>
      <c r="C503" s="19" t="s">
        <v>35</v>
      </c>
      <c r="D503" s="19" t="s">
        <v>90</v>
      </c>
      <c r="E503" s="19" t="s">
        <v>47</v>
      </c>
      <c r="F503" s="20">
        <v>4520</v>
      </c>
      <c r="G503" s="20">
        <v>4600</v>
      </c>
      <c r="H503" s="20"/>
    </row>
    <row r="504" spans="1:8" x14ac:dyDescent="0.3">
      <c r="A504" s="19" t="s">
        <v>219</v>
      </c>
      <c r="B504" s="19" t="s">
        <v>164</v>
      </c>
      <c r="C504" s="19" t="s">
        <v>123</v>
      </c>
      <c r="D504" s="19" t="s">
        <v>165</v>
      </c>
      <c r="E504" s="19" t="s">
        <v>47</v>
      </c>
      <c r="F504" s="20">
        <v>2000</v>
      </c>
      <c r="G504" s="20">
        <v>2000</v>
      </c>
      <c r="H504" s="20">
        <v>2200000</v>
      </c>
    </row>
    <row r="505" spans="1:8" x14ac:dyDescent="0.3">
      <c r="A505" s="19" t="s">
        <v>219</v>
      </c>
      <c r="B505" s="19" t="s">
        <v>164</v>
      </c>
      <c r="C505" s="19" t="s">
        <v>22</v>
      </c>
      <c r="D505" s="19" t="s">
        <v>165</v>
      </c>
      <c r="E505" s="19" t="s">
        <v>47</v>
      </c>
      <c r="F505" s="20">
        <v>2500</v>
      </c>
      <c r="G505" s="20">
        <v>2500</v>
      </c>
      <c r="H505" s="20">
        <v>800000</v>
      </c>
    </row>
    <row r="506" spans="1:8" x14ac:dyDescent="0.3">
      <c r="A506" s="19" t="s">
        <v>219</v>
      </c>
      <c r="B506" s="19" t="s">
        <v>164</v>
      </c>
      <c r="C506" s="19" t="s">
        <v>44</v>
      </c>
      <c r="D506" s="19" t="s">
        <v>165</v>
      </c>
      <c r="E506" s="19" t="s">
        <v>47</v>
      </c>
      <c r="F506" s="20">
        <v>5300</v>
      </c>
      <c r="G506" s="20">
        <v>5000</v>
      </c>
      <c r="H506" s="20">
        <v>1600000</v>
      </c>
    </row>
    <row r="507" spans="1:8" x14ac:dyDescent="0.3">
      <c r="A507" s="19" t="s">
        <v>219</v>
      </c>
      <c r="B507" s="19" t="s">
        <v>164</v>
      </c>
      <c r="C507" s="19" t="s">
        <v>25</v>
      </c>
      <c r="D507" s="19" t="s">
        <v>165</v>
      </c>
      <c r="E507" s="19" t="s">
        <v>47</v>
      </c>
      <c r="F507" s="20">
        <v>105000</v>
      </c>
      <c r="G507" s="20">
        <v>110000</v>
      </c>
      <c r="H507" s="20">
        <v>3400000</v>
      </c>
    </row>
    <row r="508" spans="1:8" x14ac:dyDescent="0.3">
      <c r="A508" s="19" t="s">
        <v>219</v>
      </c>
      <c r="B508" s="19" t="s">
        <v>164</v>
      </c>
      <c r="C508" s="19" t="s">
        <v>156</v>
      </c>
      <c r="D508" s="19" t="s">
        <v>165</v>
      </c>
      <c r="E508" s="19" t="s">
        <v>47</v>
      </c>
      <c r="F508" s="20">
        <v>5300</v>
      </c>
      <c r="G508" s="20">
        <v>5500</v>
      </c>
      <c r="H508" s="20">
        <v>2800000</v>
      </c>
    </row>
    <row r="509" spans="1:8" x14ac:dyDescent="0.3">
      <c r="A509" s="19" t="s">
        <v>219</v>
      </c>
      <c r="B509" s="19" t="s">
        <v>164</v>
      </c>
      <c r="C509" s="19" t="s">
        <v>86</v>
      </c>
      <c r="D509" s="19" t="s">
        <v>165</v>
      </c>
      <c r="E509" s="19" t="s">
        <v>47</v>
      </c>
      <c r="F509" s="20">
        <v>974</v>
      </c>
      <c r="G509" s="20">
        <v>980</v>
      </c>
      <c r="H509" s="20">
        <v>1000000</v>
      </c>
    </row>
    <row r="510" spans="1:8" x14ac:dyDescent="0.3">
      <c r="A510" s="19" t="s">
        <v>219</v>
      </c>
      <c r="B510" s="19" t="s">
        <v>164</v>
      </c>
      <c r="C510" s="19" t="s">
        <v>48</v>
      </c>
      <c r="D510" s="19" t="s">
        <v>165</v>
      </c>
      <c r="E510" s="19" t="s">
        <v>47</v>
      </c>
      <c r="F510" s="20">
        <v>1700</v>
      </c>
      <c r="G510" s="20">
        <v>1500</v>
      </c>
      <c r="H510" s="20">
        <v>31000</v>
      </c>
    </row>
    <row r="511" spans="1:8" x14ac:dyDescent="0.3">
      <c r="A511" s="19" t="s">
        <v>219</v>
      </c>
      <c r="B511" s="19" t="s">
        <v>164</v>
      </c>
      <c r="C511" s="19" t="s">
        <v>75</v>
      </c>
      <c r="D511" s="19" t="s">
        <v>165</v>
      </c>
      <c r="E511" s="19" t="s">
        <v>47</v>
      </c>
      <c r="F511" s="20">
        <v>2380</v>
      </c>
      <c r="G511" s="20">
        <v>2400</v>
      </c>
      <c r="H511" s="20">
        <v>60000</v>
      </c>
    </row>
    <row r="512" spans="1:8" x14ac:dyDescent="0.3">
      <c r="A512" s="19" t="s">
        <v>219</v>
      </c>
      <c r="B512" s="19" t="s">
        <v>164</v>
      </c>
      <c r="C512" s="19" t="s">
        <v>76</v>
      </c>
      <c r="D512" s="19" t="s">
        <v>165</v>
      </c>
      <c r="E512" s="19" t="s">
        <v>47</v>
      </c>
      <c r="F512" s="20">
        <v>11500</v>
      </c>
      <c r="G512" s="20">
        <v>12000</v>
      </c>
      <c r="H512" s="20">
        <v>820000</v>
      </c>
    </row>
    <row r="513" spans="1:8" x14ac:dyDescent="0.3">
      <c r="A513" s="19" t="s">
        <v>219</v>
      </c>
      <c r="B513" s="19" t="s">
        <v>164</v>
      </c>
      <c r="C513" s="19" t="s">
        <v>28</v>
      </c>
      <c r="D513" s="19" t="s">
        <v>165</v>
      </c>
      <c r="E513" s="19" t="s">
        <v>47</v>
      </c>
      <c r="F513" s="20">
        <v>1700</v>
      </c>
      <c r="G513" s="20">
        <v>1900</v>
      </c>
      <c r="H513" s="20">
        <v>260000</v>
      </c>
    </row>
    <row r="514" spans="1:8" x14ac:dyDescent="0.3">
      <c r="A514" s="19" t="s">
        <v>219</v>
      </c>
      <c r="B514" s="19" t="s">
        <v>164</v>
      </c>
      <c r="C514" s="19" t="s">
        <v>30</v>
      </c>
      <c r="D514" s="19" t="s">
        <v>165</v>
      </c>
      <c r="E514" s="19" t="s">
        <v>47</v>
      </c>
      <c r="F514" s="20">
        <v>365</v>
      </c>
      <c r="G514" s="20">
        <v>450</v>
      </c>
      <c r="H514" s="20">
        <v>30000</v>
      </c>
    </row>
    <row r="515" spans="1:8" x14ac:dyDescent="0.3">
      <c r="A515" s="19" t="s">
        <v>219</v>
      </c>
      <c r="B515" s="19" t="s">
        <v>164</v>
      </c>
      <c r="C515" s="19" t="s">
        <v>40</v>
      </c>
      <c r="D515" s="19" t="s">
        <v>165</v>
      </c>
      <c r="E515" s="19" t="s">
        <v>47</v>
      </c>
      <c r="F515" s="20">
        <v>35300</v>
      </c>
      <c r="G515" s="20">
        <v>36000</v>
      </c>
      <c r="H515" s="20">
        <v>50000000</v>
      </c>
    </row>
    <row r="516" spans="1:8" x14ac:dyDescent="0.3">
      <c r="A516" s="19" t="s">
        <v>219</v>
      </c>
      <c r="B516" s="19" t="s">
        <v>164</v>
      </c>
      <c r="C516" s="19" t="s">
        <v>49</v>
      </c>
      <c r="D516" s="19" t="s">
        <v>165</v>
      </c>
      <c r="E516" s="19" t="s">
        <v>47</v>
      </c>
      <c r="F516" s="20">
        <v>769</v>
      </c>
      <c r="G516" s="20">
        <v>770</v>
      </c>
      <c r="H516" s="20">
        <v>800000</v>
      </c>
    </row>
    <row r="517" spans="1:8" x14ac:dyDescent="0.3">
      <c r="A517" s="19" t="s">
        <v>219</v>
      </c>
      <c r="B517" s="19" t="s">
        <v>164</v>
      </c>
      <c r="C517" s="19" t="s">
        <v>41</v>
      </c>
      <c r="D517" s="19" t="s">
        <v>165</v>
      </c>
      <c r="E517" s="19" t="s">
        <v>47</v>
      </c>
      <c r="F517" s="20">
        <v>4800</v>
      </c>
      <c r="G517" s="20">
        <v>4800</v>
      </c>
      <c r="H517" s="20">
        <v>210000</v>
      </c>
    </row>
    <row r="518" spans="1:8" x14ac:dyDescent="0.3">
      <c r="A518" s="19" t="s">
        <v>219</v>
      </c>
      <c r="B518" s="19" t="s">
        <v>164</v>
      </c>
      <c r="C518" s="19" t="s">
        <v>229</v>
      </c>
      <c r="D518" s="19" t="s">
        <v>165</v>
      </c>
      <c r="E518" s="19" t="s">
        <v>47</v>
      </c>
      <c r="F518" s="20">
        <v>1220</v>
      </c>
      <c r="G518" s="20">
        <v>1200</v>
      </c>
      <c r="H518" s="20">
        <v>71000</v>
      </c>
    </row>
    <row r="519" spans="1:8" x14ac:dyDescent="0.3">
      <c r="A519" s="19" t="s">
        <v>219</v>
      </c>
      <c r="B519" s="19" t="s">
        <v>164</v>
      </c>
      <c r="C519" s="19" t="s">
        <v>32</v>
      </c>
      <c r="D519" s="19" t="s">
        <v>165</v>
      </c>
      <c r="E519" s="19" t="s">
        <v>47</v>
      </c>
      <c r="F519" s="20">
        <v>14400</v>
      </c>
      <c r="G519" s="20">
        <v>14000</v>
      </c>
      <c r="H519" s="20">
        <v>2400000</v>
      </c>
    </row>
    <row r="520" spans="1:8" x14ac:dyDescent="0.3">
      <c r="A520" s="19" t="s">
        <v>219</v>
      </c>
      <c r="B520" s="19" t="s">
        <v>164</v>
      </c>
      <c r="C520" s="19" t="s">
        <v>57</v>
      </c>
      <c r="D520" s="19" t="s">
        <v>165</v>
      </c>
      <c r="E520" s="19" t="s">
        <v>47</v>
      </c>
      <c r="F520" s="20">
        <v>10000</v>
      </c>
      <c r="G520" s="20">
        <v>10000</v>
      </c>
      <c r="H520" s="20">
        <v>1000000</v>
      </c>
    </row>
    <row r="521" spans="1:8" x14ac:dyDescent="0.3">
      <c r="A521" s="19" t="s">
        <v>219</v>
      </c>
      <c r="B521" s="19" t="s">
        <v>164</v>
      </c>
      <c r="C521" s="19" t="s">
        <v>166</v>
      </c>
      <c r="D521" s="19" t="s">
        <v>165</v>
      </c>
      <c r="E521" s="19" t="s">
        <v>47</v>
      </c>
      <c r="F521" s="20">
        <v>2800</v>
      </c>
      <c r="G521" s="20">
        <v>2800</v>
      </c>
      <c r="H521" s="20">
        <v>50000</v>
      </c>
    </row>
    <row r="522" spans="1:8" x14ac:dyDescent="0.3">
      <c r="A522" s="19" t="s">
        <v>219</v>
      </c>
      <c r="B522" s="19" t="s">
        <v>164</v>
      </c>
      <c r="C522" s="19" t="s">
        <v>87</v>
      </c>
      <c r="D522" s="19" t="s">
        <v>165</v>
      </c>
      <c r="E522" s="19" t="s">
        <v>47</v>
      </c>
      <c r="F522" s="20">
        <v>2220</v>
      </c>
      <c r="G522" s="20">
        <v>2200</v>
      </c>
      <c r="H522" s="20">
        <v>1500000</v>
      </c>
    </row>
    <row r="523" spans="1:8" x14ac:dyDescent="0.3">
      <c r="A523" s="19" t="s">
        <v>219</v>
      </c>
      <c r="B523" s="19" t="s">
        <v>164</v>
      </c>
      <c r="C523" s="19" t="s">
        <v>167</v>
      </c>
      <c r="D523" s="19" t="s">
        <v>165</v>
      </c>
      <c r="E523" s="19" t="s">
        <v>47</v>
      </c>
      <c r="F523" s="20">
        <v>800</v>
      </c>
      <c r="G523" s="20">
        <v>800</v>
      </c>
      <c r="H523" s="20">
        <v>250000</v>
      </c>
    </row>
    <row r="524" spans="1:8" x14ac:dyDescent="0.3">
      <c r="A524" s="19" t="s">
        <v>219</v>
      </c>
      <c r="B524" s="19" t="s">
        <v>164</v>
      </c>
      <c r="C524" s="19" t="s">
        <v>168</v>
      </c>
      <c r="D524" s="19" t="s">
        <v>165</v>
      </c>
      <c r="E524" s="19" t="s">
        <v>47</v>
      </c>
      <c r="F524" s="20">
        <v>1560</v>
      </c>
      <c r="G524" s="20">
        <v>1600</v>
      </c>
      <c r="H524" s="20">
        <v>30000</v>
      </c>
    </row>
    <row r="525" spans="1:8" x14ac:dyDescent="0.3">
      <c r="A525" s="19" t="s">
        <v>219</v>
      </c>
      <c r="B525" s="19" t="s">
        <v>164</v>
      </c>
      <c r="C525" s="19" t="s">
        <v>169</v>
      </c>
      <c r="D525" s="19" t="s">
        <v>165</v>
      </c>
      <c r="E525" s="19" t="s">
        <v>47</v>
      </c>
      <c r="F525" s="20">
        <v>3280</v>
      </c>
      <c r="G525" s="20">
        <v>3300</v>
      </c>
      <c r="H525" s="20">
        <v>2500000</v>
      </c>
    </row>
    <row r="526" spans="1:8" x14ac:dyDescent="0.3">
      <c r="A526" s="19" t="s">
        <v>219</v>
      </c>
      <c r="B526" s="19" t="s">
        <v>164</v>
      </c>
      <c r="C526" s="19" t="s">
        <v>230</v>
      </c>
      <c r="D526" s="19" t="s">
        <v>165</v>
      </c>
      <c r="E526" s="19" t="s">
        <v>47</v>
      </c>
      <c r="F526" s="20">
        <v>19400</v>
      </c>
      <c r="G526" s="20">
        <v>20000</v>
      </c>
      <c r="H526" s="20">
        <v>1000000</v>
      </c>
    </row>
    <row r="527" spans="1:8" x14ac:dyDescent="0.3">
      <c r="A527" s="19" t="s">
        <v>219</v>
      </c>
      <c r="B527" s="19" t="s">
        <v>164</v>
      </c>
      <c r="C527" s="19" t="s">
        <v>83</v>
      </c>
      <c r="D527" s="19" t="s">
        <v>165</v>
      </c>
      <c r="E527" s="19" t="s">
        <v>47</v>
      </c>
      <c r="F527" s="20">
        <v>950</v>
      </c>
      <c r="G527" s="20">
        <v>950</v>
      </c>
      <c r="H527" s="20">
        <v>100000</v>
      </c>
    </row>
    <row r="528" spans="1:8" x14ac:dyDescent="0.3">
      <c r="A528" s="19" t="s">
        <v>219</v>
      </c>
      <c r="B528" s="19" t="s">
        <v>164</v>
      </c>
      <c r="C528" s="19" t="s">
        <v>34</v>
      </c>
      <c r="D528" s="19" t="s">
        <v>165</v>
      </c>
      <c r="E528" s="19" t="s">
        <v>47</v>
      </c>
      <c r="F528" s="20">
        <v>3000</v>
      </c>
      <c r="G528" s="20">
        <v>3000</v>
      </c>
      <c r="H528" s="20">
        <v>30000</v>
      </c>
    </row>
    <row r="529" spans="1:8" x14ac:dyDescent="0.3">
      <c r="A529" s="19" t="s">
        <v>219</v>
      </c>
      <c r="B529" s="19" t="s">
        <v>164</v>
      </c>
      <c r="C529" s="19" t="s">
        <v>35</v>
      </c>
      <c r="D529" s="19" t="s">
        <v>165</v>
      </c>
      <c r="E529" s="19" t="s">
        <v>47</v>
      </c>
      <c r="F529" s="20">
        <v>239000</v>
      </c>
      <c r="G529" s="20">
        <v>250000</v>
      </c>
      <c r="H529" s="20">
        <v>73000000</v>
      </c>
    </row>
    <row r="530" spans="1:8" x14ac:dyDescent="0.3">
      <c r="A530" s="19" t="s">
        <v>219</v>
      </c>
      <c r="B530" s="19" t="s">
        <v>172</v>
      </c>
      <c r="C530" s="19" t="s">
        <v>220</v>
      </c>
      <c r="D530" s="19" t="s">
        <v>173</v>
      </c>
      <c r="E530" s="19" t="s">
        <v>109</v>
      </c>
      <c r="F530" s="20">
        <v>5700</v>
      </c>
      <c r="G530" s="20">
        <v>5000</v>
      </c>
      <c r="H530" s="20">
        <v>310000</v>
      </c>
    </row>
    <row r="531" spans="1:8" x14ac:dyDescent="0.3">
      <c r="A531" s="19" t="s">
        <v>219</v>
      </c>
      <c r="B531" s="19" t="s">
        <v>172</v>
      </c>
      <c r="C531" s="19" t="s">
        <v>49</v>
      </c>
      <c r="D531" s="19" t="s">
        <v>173</v>
      </c>
      <c r="E531" s="19" t="s">
        <v>109</v>
      </c>
      <c r="F531" s="20">
        <v>3860</v>
      </c>
      <c r="G531" s="20">
        <v>3900</v>
      </c>
      <c r="H531" s="20"/>
    </row>
    <row r="532" spans="1:8" x14ac:dyDescent="0.3">
      <c r="A532" s="19" t="s">
        <v>219</v>
      </c>
      <c r="B532" s="19" t="s">
        <v>172</v>
      </c>
      <c r="C532" s="19" t="s">
        <v>32</v>
      </c>
      <c r="D532" s="19" t="s">
        <v>173</v>
      </c>
      <c r="E532" s="19" t="s">
        <v>109</v>
      </c>
      <c r="F532" s="20">
        <v>22000</v>
      </c>
      <c r="G532" s="20">
        <v>20000</v>
      </c>
      <c r="H532" s="20">
        <v>11000000</v>
      </c>
    </row>
    <row r="533" spans="1:8" x14ac:dyDescent="0.3">
      <c r="A533" s="19" t="s">
        <v>219</v>
      </c>
      <c r="B533" s="19" t="s">
        <v>172</v>
      </c>
      <c r="C533" s="19" t="s">
        <v>87</v>
      </c>
      <c r="D533" s="19" t="s">
        <v>173</v>
      </c>
      <c r="E533" s="19" t="s">
        <v>109</v>
      </c>
      <c r="F533" s="20">
        <v>126000</v>
      </c>
      <c r="G533" s="20">
        <v>120000</v>
      </c>
      <c r="H533" s="20">
        <v>63000000</v>
      </c>
    </row>
    <row r="534" spans="1:8" x14ac:dyDescent="0.3">
      <c r="A534" s="19" t="s">
        <v>219</v>
      </c>
      <c r="B534" s="19" t="s">
        <v>172</v>
      </c>
      <c r="C534" s="19" t="s">
        <v>230</v>
      </c>
      <c r="D534" s="19" t="s">
        <v>173</v>
      </c>
      <c r="E534" s="19" t="s">
        <v>109</v>
      </c>
      <c r="F534" s="20">
        <v>3010</v>
      </c>
      <c r="G534" s="20">
        <v>1800</v>
      </c>
      <c r="H534" s="20">
        <v>590000</v>
      </c>
    </row>
    <row r="535" spans="1:8" x14ac:dyDescent="0.3">
      <c r="A535" s="19" t="s">
        <v>219</v>
      </c>
      <c r="B535" s="19" t="s">
        <v>172</v>
      </c>
      <c r="C535" s="19" t="s">
        <v>35</v>
      </c>
      <c r="D535" s="19" t="s">
        <v>173</v>
      </c>
      <c r="E535" s="19" t="s">
        <v>109</v>
      </c>
      <c r="F535" s="20">
        <v>179000</v>
      </c>
      <c r="G535" s="20">
        <v>170000</v>
      </c>
      <c r="H535" s="20">
        <v>76000000</v>
      </c>
    </row>
    <row r="536" spans="1:8" x14ac:dyDescent="0.3">
      <c r="A536" s="19" t="s">
        <v>219</v>
      </c>
      <c r="B536" s="19" t="s">
        <v>172</v>
      </c>
      <c r="C536" s="19" t="s">
        <v>88</v>
      </c>
      <c r="D536" s="19" t="s">
        <v>173</v>
      </c>
      <c r="E536" s="19" t="s">
        <v>109</v>
      </c>
      <c r="F536" s="20">
        <v>18400</v>
      </c>
      <c r="G536" s="20">
        <v>18000</v>
      </c>
      <c r="H536" s="20">
        <v>1300000</v>
      </c>
    </row>
    <row r="537" spans="1:8" x14ac:dyDescent="0.3">
      <c r="A537" s="19" t="s">
        <v>219</v>
      </c>
      <c r="B537" s="19" t="s">
        <v>174</v>
      </c>
      <c r="C537" s="19" t="s">
        <v>175</v>
      </c>
      <c r="D537" s="19" t="s">
        <v>258</v>
      </c>
      <c r="E537" s="19" t="s">
        <v>47</v>
      </c>
      <c r="F537" s="20">
        <v>5000</v>
      </c>
      <c r="G537" s="20">
        <v>6000</v>
      </c>
      <c r="H537" s="20">
        <v>750000</v>
      </c>
    </row>
    <row r="538" spans="1:8" x14ac:dyDescent="0.3">
      <c r="A538" s="19" t="s">
        <v>219</v>
      </c>
      <c r="B538" s="19" t="s">
        <v>174</v>
      </c>
      <c r="C538" s="19" t="s">
        <v>44</v>
      </c>
      <c r="D538" s="19" t="s">
        <v>258</v>
      </c>
      <c r="E538" s="19" t="s">
        <v>47</v>
      </c>
      <c r="F538" s="20">
        <v>331</v>
      </c>
      <c r="G538" s="20">
        <v>300</v>
      </c>
      <c r="H538" s="20">
        <v>2300</v>
      </c>
    </row>
    <row r="539" spans="1:8" x14ac:dyDescent="0.3">
      <c r="A539" s="19" t="s">
        <v>219</v>
      </c>
      <c r="B539" s="19" t="s">
        <v>174</v>
      </c>
      <c r="C539" s="19" t="s">
        <v>220</v>
      </c>
      <c r="D539" s="19" t="s">
        <v>258</v>
      </c>
      <c r="E539" s="19" t="s">
        <v>47</v>
      </c>
      <c r="F539" s="20">
        <v>14400</v>
      </c>
      <c r="G539" s="20">
        <v>15000</v>
      </c>
      <c r="H539" s="20">
        <v>1100000</v>
      </c>
    </row>
    <row r="540" spans="1:8" x14ac:dyDescent="0.3">
      <c r="A540" s="19" t="s">
        <v>219</v>
      </c>
      <c r="B540" s="19" t="s">
        <v>174</v>
      </c>
      <c r="C540" s="19" t="s">
        <v>71</v>
      </c>
      <c r="D540" s="19" t="s">
        <v>258</v>
      </c>
      <c r="E540" s="19" t="s">
        <v>47</v>
      </c>
      <c r="F540" s="20">
        <v>564</v>
      </c>
      <c r="G540" s="20">
        <v>600</v>
      </c>
      <c r="H540" s="20">
        <v>100000</v>
      </c>
    </row>
    <row r="541" spans="1:8" x14ac:dyDescent="0.3">
      <c r="A541" s="19" t="s">
        <v>219</v>
      </c>
      <c r="B541" s="19" t="s">
        <v>174</v>
      </c>
      <c r="C541" s="19" t="s">
        <v>25</v>
      </c>
      <c r="D541" s="19" t="s">
        <v>258</v>
      </c>
      <c r="E541" s="19" t="s">
        <v>47</v>
      </c>
      <c r="F541" s="20">
        <v>6300</v>
      </c>
      <c r="G541" s="20">
        <v>6300</v>
      </c>
      <c r="H541" s="20">
        <v>200000</v>
      </c>
    </row>
    <row r="542" spans="1:8" x14ac:dyDescent="0.3">
      <c r="A542" s="19" t="s">
        <v>219</v>
      </c>
      <c r="B542" s="19" t="s">
        <v>174</v>
      </c>
      <c r="C542" s="19" t="s">
        <v>52</v>
      </c>
      <c r="D542" s="19" t="s">
        <v>258</v>
      </c>
      <c r="E542" s="19" t="s">
        <v>47</v>
      </c>
      <c r="F542" s="20">
        <v>2500</v>
      </c>
      <c r="G542" s="20">
        <v>3000</v>
      </c>
      <c r="H542" s="20">
        <v>150000</v>
      </c>
    </row>
    <row r="543" spans="1:8" x14ac:dyDescent="0.3">
      <c r="A543" s="19" t="s">
        <v>219</v>
      </c>
      <c r="B543" s="19" t="s">
        <v>174</v>
      </c>
      <c r="C543" s="19" t="s">
        <v>75</v>
      </c>
      <c r="D543" s="19" t="s">
        <v>258</v>
      </c>
      <c r="E543" s="19" t="s">
        <v>47</v>
      </c>
      <c r="F543" s="20">
        <v>2260</v>
      </c>
      <c r="G543" s="20">
        <v>2000</v>
      </c>
      <c r="H543" s="20"/>
    </row>
    <row r="544" spans="1:8" x14ac:dyDescent="0.3">
      <c r="A544" s="19" t="s">
        <v>219</v>
      </c>
      <c r="B544" s="19" t="s">
        <v>174</v>
      </c>
      <c r="C544" s="19" t="s">
        <v>76</v>
      </c>
      <c r="D544" s="19" t="s">
        <v>258</v>
      </c>
      <c r="E544" s="19" t="s">
        <v>47</v>
      </c>
      <c r="F544" s="20">
        <v>1730</v>
      </c>
      <c r="G544" s="20">
        <v>1800</v>
      </c>
      <c r="H544" s="20"/>
    </row>
    <row r="545" spans="1:8" x14ac:dyDescent="0.3">
      <c r="A545" s="19" t="s">
        <v>219</v>
      </c>
      <c r="B545" s="19" t="s">
        <v>174</v>
      </c>
      <c r="C545" s="19" t="s">
        <v>29</v>
      </c>
      <c r="D545" s="19" t="s">
        <v>258</v>
      </c>
      <c r="E545" s="19" t="s">
        <v>47</v>
      </c>
      <c r="F545" s="20">
        <v>2400</v>
      </c>
      <c r="G545" s="20">
        <v>2400</v>
      </c>
      <c r="H545" s="20">
        <v>1000000</v>
      </c>
    </row>
    <row r="546" spans="1:8" x14ac:dyDescent="0.3">
      <c r="A546" s="19" t="s">
        <v>219</v>
      </c>
      <c r="B546" s="19" t="s">
        <v>174</v>
      </c>
      <c r="C546" s="19" t="s">
        <v>49</v>
      </c>
      <c r="D546" s="19" t="s">
        <v>258</v>
      </c>
      <c r="E546" s="19" t="s">
        <v>47</v>
      </c>
      <c r="F546" s="20">
        <v>350</v>
      </c>
      <c r="G546" s="20">
        <v>350</v>
      </c>
      <c r="H546" s="20">
        <v>300000</v>
      </c>
    </row>
    <row r="547" spans="1:8" x14ac:dyDescent="0.3">
      <c r="A547" s="19" t="s">
        <v>219</v>
      </c>
      <c r="B547" s="19" t="s">
        <v>174</v>
      </c>
      <c r="C547" s="19" t="s">
        <v>32</v>
      </c>
      <c r="D547" s="19" t="s">
        <v>258</v>
      </c>
      <c r="E547" s="19" t="s">
        <v>47</v>
      </c>
      <c r="F547" s="20">
        <v>10000</v>
      </c>
      <c r="G547" s="20">
        <v>10000</v>
      </c>
      <c r="H547" s="20">
        <v>2000000</v>
      </c>
    </row>
    <row r="548" spans="1:8" x14ac:dyDescent="0.3">
      <c r="A548" s="19" t="s">
        <v>219</v>
      </c>
      <c r="B548" s="19" t="s">
        <v>174</v>
      </c>
      <c r="C548" s="19" t="s">
        <v>58</v>
      </c>
      <c r="D548" s="19" t="s">
        <v>258</v>
      </c>
      <c r="E548" s="19" t="s">
        <v>47</v>
      </c>
      <c r="F548" s="20">
        <v>489</v>
      </c>
      <c r="G548" s="20">
        <v>450</v>
      </c>
      <c r="H548" s="20">
        <v>100000</v>
      </c>
    </row>
    <row r="549" spans="1:8" x14ac:dyDescent="0.3">
      <c r="A549" s="19" t="s">
        <v>219</v>
      </c>
      <c r="B549" s="19" t="s">
        <v>174</v>
      </c>
      <c r="C549" s="19" t="s">
        <v>230</v>
      </c>
      <c r="D549" s="19" t="s">
        <v>258</v>
      </c>
      <c r="E549" s="19" t="s">
        <v>47</v>
      </c>
      <c r="F549" s="20">
        <v>410</v>
      </c>
      <c r="G549" s="20">
        <v>500</v>
      </c>
      <c r="H549" s="20">
        <v>220000</v>
      </c>
    </row>
    <row r="550" spans="1:8" x14ac:dyDescent="0.3">
      <c r="A550" s="19" t="s">
        <v>219</v>
      </c>
      <c r="B550" s="19" t="s">
        <v>174</v>
      </c>
      <c r="C550" s="19" t="s">
        <v>35</v>
      </c>
      <c r="D550" s="19" t="s">
        <v>258</v>
      </c>
      <c r="E550" s="19" t="s">
        <v>47</v>
      </c>
      <c r="F550" s="20">
        <v>46700</v>
      </c>
      <c r="G550" s="20">
        <v>49000</v>
      </c>
      <c r="H550" s="20">
        <v>5900000</v>
      </c>
    </row>
    <row r="551" spans="1:8" x14ac:dyDescent="0.3">
      <c r="A551" s="19" t="s">
        <v>219</v>
      </c>
      <c r="B551" s="19" t="s">
        <v>176</v>
      </c>
      <c r="C551" s="19" t="s">
        <v>22</v>
      </c>
      <c r="D551" s="19" t="s">
        <v>177</v>
      </c>
      <c r="E551" s="19" t="s">
        <v>21</v>
      </c>
      <c r="F551" s="20">
        <v>29000</v>
      </c>
      <c r="G551" s="20">
        <v>29000</v>
      </c>
      <c r="H551" s="20">
        <v>6300000</v>
      </c>
    </row>
    <row r="552" spans="1:8" x14ac:dyDescent="0.3">
      <c r="A552" s="19" t="s">
        <v>219</v>
      </c>
      <c r="B552" s="19" t="s">
        <v>176</v>
      </c>
      <c r="C552" s="19" t="s">
        <v>44</v>
      </c>
      <c r="D552" s="19" t="s">
        <v>177</v>
      </c>
      <c r="E552" s="19" t="s">
        <v>21</v>
      </c>
      <c r="F552" s="20">
        <v>560</v>
      </c>
      <c r="G552" s="20">
        <v>2000</v>
      </c>
      <c r="H552" s="20">
        <v>21000000</v>
      </c>
    </row>
    <row r="553" spans="1:8" x14ac:dyDescent="0.3">
      <c r="A553" s="19" t="s">
        <v>219</v>
      </c>
      <c r="B553" s="19" t="s">
        <v>176</v>
      </c>
      <c r="C553" s="19" t="s">
        <v>220</v>
      </c>
      <c r="D553" s="19" t="s">
        <v>177</v>
      </c>
      <c r="E553" s="19" t="s">
        <v>21</v>
      </c>
      <c r="F553" s="20"/>
      <c r="G553" s="20"/>
      <c r="H553" s="20">
        <v>830000</v>
      </c>
    </row>
    <row r="554" spans="1:8" x14ac:dyDescent="0.3">
      <c r="A554" s="19" t="s">
        <v>219</v>
      </c>
      <c r="B554" s="19" t="s">
        <v>176</v>
      </c>
      <c r="C554" s="19" t="s">
        <v>25</v>
      </c>
      <c r="D554" s="19" t="s">
        <v>177</v>
      </c>
      <c r="E554" s="19" t="s">
        <v>21</v>
      </c>
      <c r="F554" s="20">
        <v>270000</v>
      </c>
      <c r="G554" s="20">
        <v>270000</v>
      </c>
      <c r="H554" s="20">
        <v>44000000</v>
      </c>
    </row>
    <row r="555" spans="1:8" x14ac:dyDescent="0.3">
      <c r="A555" s="19" t="s">
        <v>219</v>
      </c>
      <c r="B555" s="19" t="s">
        <v>176</v>
      </c>
      <c r="C555" s="19" t="s">
        <v>178</v>
      </c>
      <c r="D555" s="19" t="s">
        <v>177</v>
      </c>
      <c r="E555" s="19" t="s">
        <v>21</v>
      </c>
      <c r="F555" s="20"/>
      <c r="G555" s="20"/>
      <c r="H555" s="20">
        <v>1500000</v>
      </c>
    </row>
    <row r="556" spans="1:8" x14ac:dyDescent="0.3">
      <c r="A556" s="19" t="s">
        <v>219</v>
      </c>
      <c r="B556" s="19" t="s">
        <v>176</v>
      </c>
      <c r="C556" s="19" t="s">
        <v>48</v>
      </c>
      <c r="D556" s="19" t="s">
        <v>177</v>
      </c>
      <c r="E556" s="19" t="s">
        <v>21</v>
      </c>
      <c r="F556" s="20">
        <v>2900</v>
      </c>
      <c r="G556" s="20">
        <v>2900</v>
      </c>
      <c r="H556" s="20"/>
    </row>
    <row r="557" spans="1:8" x14ac:dyDescent="0.3">
      <c r="A557" s="19" t="s">
        <v>219</v>
      </c>
      <c r="B557" s="19" t="s">
        <v>176</v>
      </c>
      <c r="C557" s="19" t="s">
        <v>61</v>
      </c>
      <c r="D557" s="19" t="s">
        <v>177</v>
      </c>
      <c r="E557" s="19" t="s">
        <v>21</v>
      </c>
      <c r="F557" s="20">
        <v>1400</v>
      </c>
      <c r="G557" s="20">
        <v>2700</v>
      </c>
      <c r="H557" s="20"/>
    </row>
    <row r="558" spans="1:8" x14ac:dyDescent="0.3">
      <c r="A558" s="19" t="s">
        <v>219</v>
      </c>
      <c r="B558" s="19" t="s">
        <v>176</v>
      </c>
      <c r="C558" s="19" t="s">
        <v>137</v>
      </c>
      <c r="D558" s="19" t="s">
        <v>177</v>
      </c>
      <c r="E558" s="19" t="s">
        <v>21</v>
      </c>
      <c r="F558" s="20">
        <v>140</v>
      </c>
      <c r="G558" s="20">
        <v>110</v>
      </c>
      <c r="H558" s="20">
        <v>710000</v>
      </c>
    </row>
    <row r="559" spans="1:8" x14ac:dyDescent="0.3">
      <c r="A559" s="19" t="s">
        <v>219</v>
      </c>
      <c r="B559" s="19" t="s">
        <v>176</v>
      </c>
      <c r="C559" s="19" t="s">
        <v>24</v>
      </c>
      <c r="D559" s="19" t="s">
        <v>177</v>
      </c>
      <c r="E559" s="19" t="s">
        <v>21</v>
      </c>
      <c r="F559" s="20">
        <v>27000</v>
      </c>
      <c r="G559" s="20">
        <v>22000</v>
      </c>
      <c r="H559" s="20"/>
    </row>
    <row r="560" spans="1:8" x14ac:dyDescent="0.3">
      <c r="A560" s="19" t="s">
        <v>219</v>
      </c>
      <c r="B560" s="19" t="s">
        <v>176</v>
      </c>
      <c r="C560" s="19" t="s">
        <v>157</v>
      </c>
      <c r="D560" s="19" t="s">
        <v>177</v>
      </c>
      <c r="E560" s="19" t="s">
        <v>21</v>
      </c>
      <c r="F560" s="20">
        <v>1500</v>
      </c>
      <c r="G560" s="20">
        <v>1500</v>
      </c>
      <c r="H560" s="20"/>
    </row>
    <row r="561" spans="1:8" x14ac:dyDescent="0.3">
      <c r="A561" s="19" t="s">
        <v>219</v>
      </c>
      <c r="B561" s="19" t="s">
        <v>176</v>
      </c>
      <c r="C561" s="19" t="s">
        <v>49</v>
      </c>
      <c r="D561" s="19" t="s">
        <v>177</v>
      </c>
      <c r="E561" s="19" t="s">
        <v>21</v>
      </c>
      <c r="F561" s="20">
        <v>1000</v>
      </c>
      <c r="G561" s="20">
        <v>550</v>
      </c>
      <c r="H561" s="20"/>
    </row>
    <row r="562" spans="1:8" x14ac:dyDescent="0.3">
      <c r="A562" s="19" t="s">
        <v>219</v>
      </c>
      <c r="B562" s="19" t="s">
        <v>176</v>
      </c>
      <c r="C562" s="19" t="s">
        <v>32</v>
      </c>
      <c r="D562" s="19" t="s">
        <v>177</v>
      </c>
      <c r="E562" s="19" t="s">
        <v>21</v>
      </c>
      <c r="F562" s="20">
        <v>2600</v>
      </c>
      <c r="G562" s="20">
        <v>2600</v>
      </c>
      <c r="H562" s="20">
        <v>3800000</v>
      </c>
    </row>
    <row r="563" spans="1:8" x14ac:dyDescent="0.3">
      <c r="A563" s="19" t="s">
        <v>219</v>
      </c>
      <c r="B563" s="19" t="s">
        <v>176</v>
      </c>
      <c r="C563" s="19" t="s">
        <v>87</v>
      </c>
      <c r="D563" s="19" t="s">
        <v>177</v>
      </c>
      <c r="E563" s="19" t="s">
        <v>21</v>
      </c>
      <c r="F563" s="20"/>
      <c r="G563" s="20"/>
      <c r="H563" s="20">
        <v>860000</v>
      </c>
    </row>
    <row r="564" spans="1:8" x14ac:dyDescent="0.3">
      <c r="A564" s="19" t="s">
        <v>219</v>
      </c>
      <c r="B564" s="19" t="s">
        <v>176</v>
      </c>
      <c r="C564" s="19" t="s">
        <v>116</v>
      </c>
      <c r="D564" s="19" t="s">
        <v>177</v>
      </c>
      <c r="E564" s="19" t="s">
        <v>21</v>
      </c>
      <c r="F564" s="20"/>
      <c r="G564" s="20"/>
      <c r="H564" s="20">
        <v>890000</v>
      </c>
    </row>
    <row r="565" spans="1:8" x14ac:dyDescent="0.3">
      <c r="A565" s="19" t="s">
        <v>219</v>
      </c>
      <c r="B565" s="19" t="s">
        <v>176</v>
      </c>
      <c r="C565" s="19" t="s">
        <v>104</v>
      </c>
      <c r="D565" s="19" t="s">
        <v>177</v>
      </c>
      <c r="E565" s="19" t="s">
        <v>21</v>
      </c>
      <c r="F565" s="20">
        <v>2100</v>
      </c>
      <c r="G565" s="20">
        <v>4800</v>
      </c>
      <c r="H565" s="20"/>
    </row>
    <row r="566" spans="1:8" x14ac:dyDescent="0.3">
      <c r="A566" s="19" t="s">
        <v>219</v>
      </c>
      <c r="B566" s="19" t="s">
        <v>176</v>
      </c>
      <c r="C566" s="19" t="s">
        <v>230</v>
      </c>
      <c r="D566" s="19" t="s">
        <v>177</v>
      </c>
      <c r="E566" s="19" t="s">
        <v>21</v>
      </c>
      <c r="F566" s="20">
        <v>45500</v>
      </c>
      <c r="G566" s="20">
        <v>51000</v>
      </c>
      <c r="H566" s="20">
        <v>1900000</v>
      </c>
    </row>
    <row r="567" spans="1:8" x14ac:dyDescent="0.3">
      <c r="A567" s="19" t="s">
        <v>219</v>
      </c>
      <c r="B567" s="19" t="s">
        <v>176</v>
      </c>
      <c r="C567" s="19" t="s">
        <v>34</v>
      </c>
      <c r="D567" s="19" t="s">
        <v>177</v>
      </c>
      <c r="E567" s="19" t="s">
        <v>21</v>
      </c>
      <c r="F567" s="20">
        <v>300</v>
      </c>
      <c r="G567" s="20">
        <v>150</v>
      </c>
      <c r="H567" s="20">
        <v>3500000</v>
      </c>
    </row>
    <row r="568" spans="1:8" x14ac:dyDescent="0.3">
      <c r="A568" s="19" t="s">
        <v>219</v>
      </c>
      <c r="B568" s="19" t="s">
        <v>176</v>
      </c>
      <c r="C568" s="19" t="s">
        <v>35</v>
      </c>
      <c r="D568" s="19" t="s">
        <v>177</v>
      </c>
      <c r="E568" s="19" t="s">
        <v>21</v>
      </c>
      <c r="F568" s="20">
        <v>380000</v>
      </c>
      <c r="G568" s="20">
        <v>390000</v>
      </c>
      <c r="H568" s="20">
        <v>85000000</v>
      </c>
    </row>
    <row r="569" spans="1:8" x14ac:dyDescent="0.3">
      <c r="A569" s="19" t="s">
        <v>219</v>
      </c>
      <c r="B569" s="19" t="s">
        <v>179</v>
      </c>
      <c r="C569" s="19" t="s">
        <v>150</v>
      </c>
      <c r="D569" s="19" t="s">
        <v>180</v>
      </c>
      <c r="E569" s="19" t="s">
        <v>109</v>
      </c>
      <c r="F569" s="20">
        <v>200</v>
      </c>
      <c r="G569" s="20">
        <v>200</v>
      </c>
      <c r="H569" s="20">
        <v>95000</v>
      </c>
    </row>
    <row r="570" spans="1:8" x14ac:dyDescent="0.3">
      <c r="A570" s="19" t="s">
        <v>219</v>
      </c>
      <c r="B570" s="19" t="s">
        <v>179</v>
      </c>
      <c r="C570" s="19" t="s">
        <v>71</v>
      </c>
      <c r="D570" s="19" t="s">
        <v>180</v>
      </c>
      <c r="E570" s="19" t="s">
        <v>109</v>
      </c>
      <c r="F570" s="20">
        <v>29000</v>
      </c>
      <c r="G570" s="20">
        <v>30000</v>
      </c>
      <c r="H570" s="20">
        <v>1300000</v>
      </c>
    </row>
    <row r="571" spans="1:8" x14ac:dyDescent="0.3">
      <c r="A571" s="19" t="s">
        <v>219</v>
      </c>
      <c r="B571" s="19" t="s">
        <v>179</v>
      </c>
      <c r="C571" s="19" t="s">
        <v>25</v>
      </c>
      <c r="D571" s="19" t="s">
        <v>180</v>
      </c>
      <c r="E571" s="19" t="s">
        <v>109</v>
      </c>
      <c r="F571" s="20">
        <v>20000</v>
      </c>
      <c r="G571" s="20">
        <v>20000</v>
      </c>
      <c r="H571" s="20">
        <v>200000</v>
      </c>
    </row>
    <row r="572" spans="1:8" x14ac:dyDescent="0.3">
      <c r="A572" s="19" t="s">
        <v>219</v>
      </c>
      <c r="B572" s="19" t="s">
        <v>179</v>
      </c>
      <c r="C572" s="19" t="s">
        <v>28</v>
      </c>
      <c r="D572" s="19" t="s">
        <v>180</v>
      </c>
      <c r="E572" s="19" t="s">
        <v>109</v>
      </c>
      <c r="F572" s="20">
        <v>1500</v>
      </c>
      <c r="G572" s="20">
        <v>1000</v>
      </c>
      <c r="H572" s="20">
        <v>190000</v>
      </c>
    </row>
    <row r="573" spans="1:8" x14ac:dyDescent="0.3">
      <c r="A573" s="19" t="s">
        <v>219</v>
      </c>
      <c r="B573" s="19" t="s">
        <v>179</v>
      </c>
      <c r="C573" s="19" t="s">
        <v>82</v>
      </c>
      <c r="D573" s="19" t="s">
        <v>180</v>
      </c>
      <c r="E573" s="19" t="s">
        <v>109</v>
      </c>
      <c r="F573" s="20">
        <v>9400</v>
      </c>
      <c r="G573" s="20">
        <v>10000</v>
      </c>
      <c r="H573" s="20"/>
    </row>
    <row r="574" spans="1:8" x14ac:dyDescent="0.3">
      <c r="A574" s="19" t="s">
        <v>219</v>
      </c>
      <c r="B574" s="19" t="s">
        <v>179</v>
      </c>
      <c r="C574" s="19" t="s">
        <v>32</v>
      </c>
      <c r="D574" s="19" t="s">
        <v>180</v>
      </c>
      <c r="E574" s="19" t="s">
        <v>109</v>
      </c>
      <c r="F574" s="20"/>
      <c r="G574" s="20"/>
      <c r="H574" s="20">
        <v>310000</v>
      </c>
    </row>
    <row r="575" spans="1:8" x14ac:dyDescent="0.3">
      <c r="A575" s="19" t="s">
        <v>219</v>
      </c>
      <c r="B575" s="19" t="s">
        <v>179</v>
      </c>
      <c r="C575" s="19" t="s">
        <v>235</v>
      </c>
      <c r="D575" s="19" t="s">
        <v>180</v>
      </c>
      <c r="E575" s="19" t="s">
        <v>109</v>
      </c>
      <c r="F575" s="20">
        <v>3000</v>
      </c>
      <c r="G575" s="20">
        <v>3000</v>
      </c>
      <c r="H575" s="20"/>
    </row>
    <row r="576" spans="1:8" x14ac:dyDescent="0.3">
      <c r="A576" s="19" t="s">
        <v>219</v>
      </c>
      <c r="B576" s="19" t="s">
        <v>179</v>
      </c>
      <c r="C576" s="19" t="s">
        <v>230</v>
      </c>
      <c r="D576" s="19" t="s">
        <v>180</v>
      </c>
      <c r="E576" s="19" t="s">
        <v>109</v>
      </c>
      <c r="F576" s="20">
        <v>9310</v>
      </c>
      <c r="G576" s="20">
        <v>9800</v>
      </c>
      <c r="H576" s="20">
        <v>400000</v>
      </c>
    </row>
    <row r="577" spans="1:8" x14ac:dyDescent="0.3">
      <c r="A577" s="19" t="s">
        <v>219</v>
      </c>
      <c r="B577" s="19" t="s">
        <v>179</v>
      </c>
      <c r="C577" s="19" t="s">
        <v>83</v>
      </c>
      <c r="D577" s="19" t="s">
        <v>180</v>
      </c>
      <c r="E577" s="19" t="s">
        <v>109</v>
      </c>
      <c r="F577" s="20">
        <v>7400</v>
      </c>
      <c r="G577" s="20">
        <v>7000</v>
      </c>
      <c r="H577" s="20"/>
    </row>
    <row r="578" spans="1:8" x14ac:dyDescent="0.3">
      <c r="A578" s="19" t="s">
        <v>219</v>
      </c>
      <c r="B578" s="19" t="s">
        <v>179</v>
      </c>
      <c r="C578" s="19" t="s">
        <v>35</v>
      </c>
      <c r="D578" s="19" t="s">
        <v>180</v>
      </c>
      <c r="E578" s="19" t="s">
        <v>109</v>
      </c>
      <c r="F578" s="20">
        <v>79800</v>
      </c>
      <c r="G578" s="20">
        <v>81000</v>
      </c>
      <c r="H578" s="20"/>
    </row>
    <row r="579" spans="1:8" x14ac:dyDescent="0.3">
      <c r="A579" s="19" t="s">
        <v>219</v>
      </c>
      <c r="B579" s="19" t="s">
        <v>181</v>
      </c>
      <c r="C579" s="19" t="s">
        <v>38</v>
      </c>
      <c r="D579" s="19" t="s">
        <v>182</v>
      </c>
      <c r="E579" s="19" t="s">
        <v>21</v>
      </c>
      <c r="F579" s="20">
        <v>200</v>
      </c>
      <c r="G579" s="20">
        <v>200</v>
      </c>
      <c r="H579" s="20"/>
    </row>
    <row r="580" spans="1:8" x14ac:dyDescent="0.3">
      <c r="A580" s="19" t="s">
        <v>219</v>
      </c>
      <c r="B580" s="19" t="s">
        <v>181</v>
      </c>
      <c r="C580" s="19" t="s">
        <v>220</v>
      </c>
      <c r="D580" s="19" t="s">
        <v>182</v>
      </c>
      <c r="E580" s="19" t="s">
        <v>21</v>
      </c>
      <c r="F580" s="20">
        <v>130</v>
      </c>
      <c r="G580" s="20">
        <v>130</v>
      </c>
      <c r="H580" s="20"/>
    </row>
    <row r="581" spans="1:8" x14ac:dyDescent="0.3">
      <c r="A581" s="19" t="s">
        <v>219</v>
      </c>
      <c r="B581" s="19" t="s">
        <v>181</v>
      </c>
      <c r="C581" s="19" t="s">
        <v>25</v>
      </c>
      <c r="D581" s="19" t="s">
        <v>182</v>
      </c>
      <c r="E581" s="19" t="s">
        <v>21</v>
      </c>
      <c r="F581" s="20">
        <v>1800</v>
      </c>
      <c r="G581" s="20">
        <v>2000</v>
      </c>
      <c r="H581" s="20"/>
    </row>
    <row r="582" spans="1:8" x14ac:dyDescent="0.3">
      <c r="A582" s="19" t="s">
        <v>219</v>
      </c>
      <c r="B582" s="19" t="s">
        <v>181</v>
      </c>
      <c r="C582" s="19" t="s">
        <v>86</v>
      </c>
      <c r="D582" s="19" t="s">
        <v>182</v>
      </c>
      <c r="E582" s="19" t="s">
        <v>21</v>
      </c>
      <c r="F582" s="20">
        <v>38</v>
      </c>
      <c r="G582" s="20">
        <v>39</v>
      </c>
      <c r="H582" s="20"/>
    </row>
    <row r="583" spans="1:8" x14ac:dyDescent="0.3">
      <c r="A583" s="19" t="s">
        <v>219</v>
      </c>
      <c r="B583" s="19" t="s">
        <v>181</v>
      </c>
      <c r="C583" s="19" t="s">
        <v>52</v>
      </c>
      <c r="D583" s="19" t="s">
        <v>182</v>
      </c>
      <c r="E583" s="19" t="s">
        <v>21</v>
      </c>
      <c r="F583" s="20">
        <v>49</v>
      </c>
      <c r="G583" s="20">
        <v>47</v>
      </c>
      <c r="H583" s="20"/>
    </row>
    <row r="584" spans="1:8" x14ac:dyDescent="0.3">
      <c r="A584" s="19" t="s">
        <v>219</v>
      </c>
      <c r="B584" s="19" t="s">
        <v>181</v>
      </c>
      <c r="C584" s="19" t="s">
        <v>48</v>
      </c>
      <c r="D584" s="19" t="s">
        <v>182</v>
      </c>
      <c r="E584" s="19" t="s">
        <v>21</v>
      </c>
      <c r="F584" s="20">
        <v>88</v>
      </c>
      <c r="G584" s="20">
        <v>90</v>
      </c>
      <c r="H584" s="20"/>
    </row>
    <row r="585" spans="1:8" x14ac:dyDescent="0.3">
      <c r="A585" s="19" t="s">
        <v>219</v>
      </c>
      <c r="B585" s="19" t="s">
        <v>181</v>
      </c>
      <c r="C585" s="19" t="s">
        <v>39</v>
      </c>
      <c r="D585" s="19" t="s">
        <v>182</v>
      </c>
      <c r="E585" s="19" t="s">
        <v>21</v>
      </c>
      <c r="F585" s="20">
        <v>730</v>
      </c>
      <c r="G585" s="20">
        <v>640</v>
      </c>
      <c r="H585" s="20"/>
    </row>
    <row r="586" spans="1:8" x14ac:dyDescent="0.3">
      <c r="A586" s="19" t="s">
        <v>219</v>
      </c>
      <c r="B586" s="19" t="s">
        <v>181</v>
      </c>
      <c r="C586" s="19" t="s">
        <v>259</v>
      </c>
      <c r="D586" s="19" t="s">
        <v>182</v>
      </c>
      <c r="E586" s="19" t="s">
        <v>21</v>
      </c>
      <c r="F586" s="20">
        <v>2</v>
      </c>
      <c r="G586" s="20">
        <v>50</v>
      </c>
      <c r="H586" s="20"/>
    </row>
    <row r="587" spans="1:8" x14ac:dyDescent="0.3">
      <c r="A587" s="19" t="s">
        <v>219</v>
      </c>
      <c r="B587" s="19" t="s">
        <v>181</v>
      </c>
      <c r="C587" s="19" t="s">
        <v>260</v>
      </c>
      <c r="D587" s="19" t="s">
        <v>182</v>
      </c>
      <c r="E587" s="19" t="s">
        <v>21</v>
      </c>
      <c r="F587" s="20">
        <v>78</v>
      </c>
      <c r="G587" s="20">
        <v>88</v>
      </c>
      <c r="H587" s="20"/>
    </row>
    <row r="588" spans="1:8" x14ac:dyDescent="0.3">
      <c r="A588" s="19" t="s">
        <v>219</v>
      </c>
      <c r="B588" s="19" t="s">
        <v>181</v>
      </c>
      <c r="C588" s="19" t="s">
        <v>49</v>
      </c>
      <c r="D588" s="19" t="s">
        <v>182</v>
      </c>
      <c r="E588" s="19" t="s">
        <v>21</v>
      </c>
      <c r="F588" s="20"/>
      <c r="G588" s="20"/>
      <c r="H588" s="20"/>
    </row>
    <row r="589" spans="1:8" x14ac:dyDescent="0.3">
      <c r="A589" s="19" t="s">
        <v>219</v>
      </c>
      <c r="B589" s="19" t="s">
        <v>181</v>
      </c>
      <c r="C589" s="19" t="s">
        <v>41</v>
      </c>
      <c r="D589" s="19" t="s">
        <v>182</v>
      </c>
      <c r="E589" s="19" t="s">
        <v>21</v>
      </c>
      <c r="F589" s="20">
        <v>53</v>
      </c>
      <c r="G589" s="20">
        <v>48</v>
      </c>
      <c r="H589" s="20"/>
    </row>
    <row r="590" spans="1:8" x14ac:dyDescent="0.3">
      <c r="A590" s="19" t="s">
        <v>219</v>
      </c>
      <c r="B590" s="19" t="s">
        <v>181</v>
      </c>
      <c r="C590" s="19" t="s">
        <v>82</v>
      </c>
      <c r="D590" s="19" t="s">
        <v>182</v>
      </c>
      <c r="E590" s="19" t="s">
        <v>21</v>
      </c>
      <c r="F590" s="20">
        <v>68</v>
      </c>
      <c r="G590" s="20">
        <v>67</v>
      </c>
      <c r="H590" s="20"/>
    </row>
    <row r="591" spans="1:8" x14ac:dyDescent="0.3">
      <c r="A591" s="19" t="s">
        <v>219</v>
      </c>
      <c r="B591" s="19" t="s">
        <v>181</v>
      </c>
      <c r="C591" s="19" t="s">
        <v>229</v>
      </c>
      <c r="D591" s="19" t="s">
        <v>182</v>
      </c>
      <c r="E591" s="19" t="s">
        <v>21</v>
      </c>
      <c r="F591" s="20">
        <v>43</v>
      </c>
      <c r="G591" s="20">
        <v>43</v>
      </c>
      <c r="H591" s="20"/>
    </row>
    <row r="592" spans="1:8" x14ac:dyDescent="0.3">
      <c r="A592" s="19" t="s">
        <v>219</v>
      </c>
      <c r="B592" s="19" t="s">
        <v>181</v>
      </c>
      <c r="C592" s="19" t="s">
        <v>32</v>
      </c>
      <c r="D592" s="19" t="s">
        <v>182</v>
      </c>
      <c r="E592" s="19" t="s">
        <v>21</v>
      </c>
      <c r="F592" s="20">
        <v>310</v>
      </c>
      <c r="G592" s="20">
        <v>320</v>
      </c>
      <c r="H592" s="20"/>
    </row>
    <row r="593" spans="1:8" x14ac:dyDescent="0.3">
      <c r="A593" s="19" t="s">
        <v>219</v>
      </c>
      <c r="B593" s="19" t="s">
        <v>181</v>
      </c>
      <c r="C593" s="19" t="s">
        <v>183</v>
      </c>
      <c r="D593" s="19" t="s">
        <v>182</v>
      </c>
      <c r="E593" s="19" t="s">
        <v>21</v>
      </c>
      <c r="F593" s="20">
        <v>69</v>
      </c>
      <c r="G593" s="20">
        <v>71</v>
      </c>
      <c r="H593" s="20"/>
    </row>
    <row r="594" spans="1:8" x14ac:dyDescent="0.3">
      <c r="A594" s="19" t="s">
        <v>219</v>
      </c>
      <c r="B594" s="19" t="s">
        <v>181</v>
      </c>
      <c r="C594" s="19" t="s">
        <v>87</v>
      </c>
      <c r="D594" s="19" t="s">
        <v>182</v>
      </c>
      <c r="E594" s="19" t="s">
        <v>21</v>
      </c>
      <c r="F594" s="20">
        <v>11</v>
      </c>
      <c r="G594" s="20">
        <v>10</v>
      </c>
      <c r="H594" s="20"/>
    </row>
    <row r="595" spans="1:8" x14ac:dyDescent="0.3">
      <c r="A595" s="19" t="s">
        <v>219</v>
      </c>
      <c r="B595" s="19" t="s">
        <v>181</v>
      </c>
      <c r="C595" s="19" t="s">
        <v>230</v>
      </c>
      <c r="D595" s="19" t="s">
        <v>182</v>
      </c>
      <c r="E595" s="19" t="s">
        <v>21</v>
      </c>
      <c r="F595" s="20"/>
      <c r="G595" s="20"/>
      <c r="H595" s="20"/>
    </row>
    <row r="596" spans="1:8" x14ac:dyDescent="0.3">
      <c r="A596" s="19" t="s">
        <v>219</v>
      </c>
      <c r="B596" s="19" t="s">
        <v>181</v>
      </c>
      <c r="C596" s="19" t="s">
        <v>83</v>
      </c>
      <c r="D596" s="19" t="s">
        <v>182</v>
      </c>
      <c r="E596" s="19" t="s">
        <v>21</v>
      </c>
      <c r="F596" s="20">
        <v>2</v>
      </c>
      <c r="G596" s="20">
        <v>2</v>
      </c>
      <c r="H596" s="20"/>
    </row>
    <row r="597" spans="1:8" x14ac:dyDescent="0.3">
      <c r="A597" s="19" t="s">
        <v>219</v>
      </c>
      <c r="B597" s="19" t="s">
        <v>181</v>
      </c>
      <c r="C597" s="19" t="s">
        <v>35</v>
      </c>
      <c r="D597" s="19" t="s">
        <v>182</v>
      </c>
      <c r="E597" s="19" t="s">
        <v>21</v>
      </c>
      <c r="F597" s="20">
        <v>3670</v>
      </c>
      <c r="G597" s="20">
        <v>3800</v>
      </c>
      <c r="H597" s="20"/>
    </row>
    <row r="598" spans="1:8" x14ac:dyDescent="0.3">
      <c r="A598" s="19" t="s">
        <v>219</v>
      </c>
      <c r="B598" s="19" t="s">
        <v>184</v>
      </c>
      <c r="C598" s="19" t="s">
        <v>22</v>
      </c>
      <c r="D598" s="19" t="s">
        <v>261</v>
      </c>
      <c r="E598" s="19" t="s">
        <v>47</v>
      </c>
      <c r="F598" s="20">
        <v>47</v>
      </c>
      <c r="G598" s="20">
        <v>47</v>
      </c>
      <c r="H598" s="20"/>
    </row>
    <row r="599" spans="1:8" x14ac:dyDescent="0.3">
      <c r="A599" s="19" t="s">
        <v>219</v>
      </c>
      <c r="B599" s="19" t="s">
        <v>184</v>
      </c>
      <c r="C599" s="19" t="s">
        <v>185</v>
      </c>
      <c r="D599" s="19" t="s">
        <v>261</v>
      </c>
      <c r="E599" s="19" t="s">
        <v>47</v>
      </c>
      <c r="F599" s="20">
        <v>98</v>
      </c>
      <c r="G599" s="20">
        <v>98</v>
      </c>
      <c r="H599" s="20"/>
    </row>
    <row r="600" spans="1:8" x14ac:dyDescent="0.3">
      <c r="A600" s="19" t="s">
        <v>219</v>
      </c>
      <c r="B600" s="19" t="s">
        <v>184</v>
      </c>
      <c r="C600" s="19" t="s">
        <v>44</v>
      </c>
      <c r="D600" s="19" t="s">
        <v>261</v>
      </c>
      <c r="E600" s="19" t="s">
        <v>47</v>
      </c>
      <c r="F600" s="20">
        <v>350</v>
      </c>
      <c r="G600" s="20">
        <v>350</v>
      </c>
      <c r="H600" s="20"/>
    </row>
    <row r="601" spans="1:8" x14ac:dyDescent="0.3">
      <c r="A601" s="19" t="s">
        <v>219</v>
      </c>
      <c r="B601" s="19" t="s">
        <v>184</v>
      </c>
      <c r="C601" s="19" t="s">
        <v>220</v>
      </c>
      <c r="D601" s="19" t="s">
        <v>261</v>
      </c>
      <c r="E601" s="19" t="s">
        <v>47</v>
      </c>
      <c r="F601" s="20">
        <v>57</v>
      </c>
      <c r="G601" s="20">
        <v>57</v>
      </c>
      <c r="H601" s="20"/>
    </row>
    <row r="602" spans="1:8" x14ac:dyDescent="0.3">
      <c r="A602" s="19" t="s">
        <v>219</v>
      </c>
      <c r="B602" s="19" t="s">
        <v>184</v>
      </c>
      <c r="C602" s="19" t="s">
        <v>25</v>
      </c>
      <c r="D602" s="19" t="s">
        <v>261</v>
      </c>
      <c r="E602" s="19" t="s">
        <v>47</v>
      </c>
      <c r="F602" s="20">
        <v>7900</v>
      </c>
      <c r="G602" s="20">
        <v>7500</v>
      </c>
      <c r="H602" s="20"/>
    </row>
    <row r="603" spans="1:8" x14ac:dyDescent="0.3">
      <c r="A603" s="19" t="s">
        <v>219</v>
      </c>
      <c r="B603" s="19" t="s">
        <v>184</v>
      </c>
      <c r="C603" s="19" t="s">
        <v>101</v>
      </c>
      <c r="D603" s="19" t="s">
        <v>261</v>
      </c>
      <c r="E603" s="19" t="s">
        <v>47</v>
      </c>
      <c r="F603" s="20">
        <v>111</v>
      </c>
      <c r="G603" s="20">
        <v>89</v>
      </c>
      <c r="H603" s="20"/>
    </row>
    <row r="604" spans="1:8" x14ac:dyDescent="0.3">
      <c r="A604" s="19" t="s">
        <v>219</v>
      </c>
      <c r="B604" s="19" t="s">
        <v>184</v>
      </c>
      <c r="C604" s="19" t="s">
        <v>52</v>
      </c>
      <c r="D604" s="19" t="s">
        <v>261</v>
      </c>
      <c r="E604" s="19" t="s">
        <v>47</v>
      </c>
      <c r="F604" s="20">
        <v>29</v>
      </c>
      <c r="G604" s="20">
        <v>13</v>
      </c>
      <c r="H604" s="20"/>
    </row>
    <row r="605" spans="1:8" x14ac:dyDescent="0.3">
      <c r="A605" s="19" t="s">
        <v>219</v>
      </c>
      <c r="B605" s="19" t="s">
        <v>184</v>
      </c>
      <c r="C605" s="19" t="s">
        <v>48</v>
      </c>
      <c r="D605" s="19" t="s">
        <v>261</v>
      </c>
      <c r="E605" s="19" t="s">
        <v>47</v>
      </c>
      <c r="F605" s="20">
        <v>59</v>
      </c>
      <c r="G605" s="20">
        <v>59</v>
      </c>
      <c r="H605" s="20"/>
    </row>
    <row r="606" spans="1:8" x14ac:dyDescent="0.3">
      <c r="A606" s="19" t="s">
        <v>219</v>
      </c>
      <c r="B606" s="19" t="s">
        <v>184</v>
      </c>
      <c r="C606" s="19" t="s">
        <v>262</v>
      </c>
      <c r="D606" s="19" t="s">
        <v>261</v>
      </c>
      <c r="E606" s="19" t="s">
        <v>47</v>
      </c>
      <c r="F606" s="20">
        <v>118</v>
      </c>
      <c r="G606" s="20">
        <v>88</v>
      </c>
      <c r="H606" s="20"/>
    </row>
    <row r="607" spans="1:8" x14ac:dyDescent="0.3">
      <c r="A607" s="19" t="s">
        <v>219</v>
      </c>
      <c r="B607" s="19" t="s">
        <v>184</v>
      </c>
      <c r="C607" s="19" t="s">
        <v>28</v>
      </c>
      <c r="D607" s="19" t="s">
        <v>261</v>
      </c>
      <c r="E607" s="19" t="s">
        <v>47</v>
      </c>
      <c r="F607" s="20">
        <v>127</v>
      </c>
      <c r="G607" s="20">
        <v>127</v>
      </c>
      <c r="H607" s="20"/>
    </row>
    <row r="608" spans="1:8" x14ac:dyDescent="0.3">
      <c r="A608" s="19" t="s">
        <v>219</v>
      </c>
      <c r="B608" s="19" t="s">
        <v>184</v>
      </c>
      <c r="C608" s="19" t="s">
        <v>137</v>
      </c>
      <c r="D608" s="19" t="s">
        <v>261</v>
      </c>
      <c r="E608" s="19" t="s">
        <v>47</v>
      </c>
      <c r="F608" s="20">
        <v>120</v>
      </c>
      <c r="G608" s="20">
        <v>120</v>
      </c>
      <c r="H608" s="20"/>
    </row>
    <row r="609" spans="1:8" x14ac:dyDescent="0.3">
      <c r="A609" s="19" t="s">
        <v>219</v>
      </c>
      <c r="B609" s="19" t="s">
        <v>184</v>
      </c>
      <c r="C609" s="19" t="s">
        <v>81</v>
      </c>
      <c r="D609" s="19" t="s">
        <v>261</v>
      </c>
      <c r="E609" s="19" t="s">
        <v>47</v>
      </c>
      <c r="F609" s="20">
        <v>300</v>
      </c>
      <c r="G609" s="20">
        <v>280</v>
      </c>
      <c r="H609" s="20"/>
    </row>
    <row r="610" spans="1:8" x14ac:dyDescent="0.3">
      <c r="A610" s="19" t="s">
        <v>219</v>
      </c>
      <c r="B610" s="19" t="s">
        <v>184</v>
      </c>
      <c r="C610" s="19" t="s">
        <v>49</v>
      </c>
      <c r="D610" s="19" t="s">
        <v>261</v>
      </c>
      <c r="E610" s="19" t="s">
        <v>47</v>
      </c>
      <c r="F610" s="20">
        <v>162</v>
      </c>
      <c r="G610" s="20">
        <v>86</v>
      </c>
      <c r="H610" s="20"/>
    </row>
    <row r="611" spans="1:8" x14ac:dyDescent="0.3">
      <c r="A611" s="19" t="s">
        <v>219</v>
      </c>
      <c r="B611" s="19" t="s">
        <v>184</v>
      </c>
      <c r="C611" s="19" t="s">
        <v>32</v>
      </c>
      <c r="D611" s="19" t="s">
        <v>261</v>
      </c>
      <c r="E611" s="19" t="s">
        <v>47</v>
      </c>
      <c r="F611" s="20">
        <v>479</v>
      </c>
      <c r="G611" s="20">
        <v>455</v>
      </c>
      <c r="H611" s="20"/>
    </row>
    <row r="612" spans="1:8" x14ac:dyDescent="0.3">
      <c r="A612" s="19" t="s">
        <v>219</v>
      </c>
      <c r="B612" s="19" t="s">
        <v>184</v>
      </c>
      <c r="C612" s="19" t="s">
        <v>87</v>
      </c>
      <c r="D612" s="19" t="s">
        <v>261</v>
      </c>
      <c r="E612" s="19" t="s">
        <v>47</v>
      </c>
      <c r="F612" s="20">
        <v>51</v>
      </c>
      <c r="G612" s="20">
        <v>45</v>
      </c>
      <c r="H612" s="20"/>
    </row>
    <row r="613" spans="1:8" x14ac:dyDescent="0.3">
      <c r="A613" s="19" t="s">
        <v>219</v>
      </c>
      <c r="B613" s="19" t="s">
        <v>184</v>
      </c>
      <c r="C613" s="19" t="s">
        <v>58</v>
      </c>
      <c r="D613" s="19" t="s">
        <v>261</v>
      </c>
      <c r="E613" s="19" t="s">
        <v>47</v>
      </c>
      <c r="F613" s="20">
        <v>47</v>
      </c>
      <c r="G613" s="20">
        <v>44</v>
      </c>
      <c r="H613" s="20"/>
    </row>
    <row r="614" spans="1:8" x14ac:dyDescent="0.3">
      <c r="A614" s="19" t="s">
        <v>219</v>
      </c>
      <c r="B614" s="19" t="s">
        <v>184</v>
      </c>
      <c r="C614" s="19" t="s">
        <v>230</v>
      </c>
      <c r="D614" s="19" t="s">
        <v>261</v>
      </c>
      <c r="E614" s="19" t="s">
        <v>47</v>
      </c>
      <c r="F614" s="20"/>
      <c r="G614" s="20"/>
      <c r="H614" s="20"/>
    </row>
    <row r="615" spans="1:8" x14ac:dyDescent="0.3">
      <c r="A615" s="19" t="s">
        <v>219</v>
      </c>
      <c r="B615" s="19" t="s">
        <v>184</v>
      </c>
      <c r="C615" s="19" t="s">
        <v>35</v>
      </c>
      <c r="D615" s="19" t="s">
        <v>261</v>
      </c>
      <c r="E615" s="19" t="s">
        <v>47</v>
      </c>
      <c r="F615" s="20">
        <v>10100</v>
      </c>
      <c r="G615" s="20">
        <v>9600</v>
      </c>
      <c r="H615" s="20"/>
    </row>
    <row r="616" spans="1:8" x14ac:dyDescent="0.3">
      <c r="A616" s="19" t="s">
        <v>219</v>
      </c>
      <c r="B616" s="19" t="s">
        <v>186</v>
      </c>
      <c r="C616" s="19" t="s">
        <v>70</v>
      </c>
      <c r="D616" s="19" t="s">
        <v>187</v>
      </c>
      <c r="E616" s="19" t="s">
        <v>21</v>
      </c>
      <c r="F616" s="20">
        <v>774</v>
      </c>
      <c r="G616" s="20">
        <v>800</v>
      </c>
      <c r="H616" s="20">
        <v>6500</v>
      </c>
    </row>
    <row r="617" spans="1:8" x14ac:dyDescent="0.3">
      <c r="A617" s="19" t="s">
        <v>219</v>
      </c>
      <c r="B617" s="19" t="s">
        <v>186</v>
      </c>
      <c r="C617" s="19" t="s">
        <v>22</v>
      </c>
      <c r="D617" s="19" t="s">
        <v>187</v>
      </c>
      <c r="E617" s="19" t="s">
        <v>21</v>
      </c>
      <c r="F617" s="20">
        <v>1050</v>
      </c>
      <c r="G617" s="20">
        <v>1000</v>
      </c>
      <c r="H617" s="20">
        <v>91000</v>
      </c>
    </row>
    <row r="618" spans="1:8" x14ac:dyDescent="0.3">
      <c r="A618" s="19" t="s">
        <v>219</v>
      </c>
      <c r="B618" s="19" t="s">
        <v>186</v>
      </c>
      <c r="C618" s="19" t="s">
        <v>23</v>
      </c>
      <c r="D618" s="19" t="s">
        <v>187</v>
      </c>
      <c r="E618" s="19" t="s">
        <v>21</v>
      </c>
      <c r="F618" s="20">
        <v>1490</v>
      </c>
      <c r="G618" s="20">
        <v>1500</v>
      </c>
      <c r="H618" s="20">
        <v>22000</v>
      </c>
    </row>
    <row r="619" spans="1:8" x14ac:dyDescent="0.3">
      <c r="A619" s="19" t="s">
        <v>219</v>
      </c>
      <c r="B619" s="19" t="s">
        <v>186</v>
      </c>
      <c r="C619" s="19" t="s">
        <v>220</v>
      </c>
      <c r="D619" s="19" t="s">
        <v>187</v>
      </c>
      <c r="E619" s="19" t="s">
        <v>21</v>
      </c>
      <c r="F619" s="20">
        <v>366</v>
      </c>
      <c r="G619" s="20">
        <v>400</v>
      </c>
      <c r="H619" s="20">
        <v>4900</v>
      </c>
    </row>
    <row r="620" spans="1:8" x14ac:dyDescent="0.3">
      <c r="A620" s="19" t="s">
        <v>219</v>
      </c>
      <c r="B620" s="19" t="s">
        <v>186</v>
      </c>
      <c r="C620" s="19" t="s">
        <v>71</v>
      </c>
      <c r="D620" s="19" t="s">
        <v>187</v>
      </c>
      <c r="E620" s="19" t="s">
        <v>21</v>
      </c>
      <c r="F620" s="20">
        <v>1200</v>
      </c>
      <c r="G620" s="20">
        <v>1400</v>
      </c>
      <c r="H620" s="20">
        <v>33000</v>
      </c>
    </row>
    <row r="621" spans="1:8" x14ac:dyDescent="0.3">
      <c r="A621" s="19" t="s">
        <v>219</v>
      </c>
      <c r="B621" s="19" t="s">
        <v>186</v>
      </c>
      <c r="C621" s="19" t="s">
        <v>25</v>
      </c>
      <c r="D621" s="19" t="s">
        <v>187</v>
      </c>
      <c r="E621" s="19" t="s">
        <v>21</v>
      </c>
      <c r="F621" s="20">
        <v>3430</v>
      </c>
      <c r="G621" s="20">
        <v>3400</v>
      </c>
      <c r="H621" s="20">
        <v>67000</v>
      </c>
    </row>
    <row r="622" spans="1:8" x14ac:dyDescent="0.3">
      <c r="A622" s="19" t="s">
        <v>219</v>
      </c>
      <c r="B622" s="19" t="s">
        <v>186</v>
      </c>
      <c r="C622" s="19" t="s">
        <v>48</v>
      </c>
      <c r="D622" s="19" t="s">
        <v>187</v>
      </c>
      <c r="E622" s="19" t="s">
        <v>21</v>
      </c>
      <c r="F622" s="20">
        <v>700</v>
      </c>
      <c r="G622" s="20">
        <v>800</v>
      </c>
      <c r="H622" s="20">
        <v>8000</v>
      </c>
    </row>
    <row r="623" spans="1:8" x14ac:dyDescent="0.3">
      <c r="A623" s="19" t="s">
        <v>219</v>
      </c>
      <c r="B623" s="19" t="s">
        <v>186</v>
      </c>
      <c r="C623" s="19" t="s">
        <v>28</v>
      </c>
      <c r="D623" s="19" t="s">
        <v>187</v>
      </c>
      <c r="E623" s="19" t="s">
        <v>21</v>
      </c>
      <c r="F623" s="20">
        <v>850</v>
      </c>
      <c r="G623" s="20">
        <v>630</v>
      </c>
      <c r="H623" s="20"/>
    </row>
    <row r="624" spans="1:8" x14ac:dyDescent="0.3">
      <c r="A624" s="19" t="s">
        <v>219</v>
      </c>
      <c r="B624" s="19" t="s">
        <v>186</v>
      </c>
      <c r="C624" s="19" t="s">
        <v>30</v>
      </c>
      <c r="D624" s="19" t="s">
        <v>187</v>
      </c>
      <c r="E624" s="19" t="s">
        <v>21</v>
      </c>
      <c r="F624" s="20">
        <v>5780</v>
      </c>
      <c r="G624" s="20">
        <v>6300</v>
      </c>
      <c r="H624" s="20">
        <v>37000</v>
      </c>
    </row>
    <row r="625" spans="1:8" x14ac:dyDescent="0.3">
      <c r="A625" s="19" t="s">
        <v>219</v>
      </c>
      <c r="B625" s="19" t="s">
        <v>186</v>
      </c>
      <c r="C625" s="19" t="s">
        <v>49</v>
      </c>
      <c r="D625" s="19" t="s">
        <v>187</v>
      </c>
      <c r="E625" s="19" t="s">
        <v>21</v>
      </c>
      <c r="F625" s="20">
        <v>2110</v>
      </c>
      <c r="G625" s="20">
        <v>2100</v>
      </c>
      <c r="H625" s="20">
        <v>57000</v>
      </c>
    </row>
    <row r="626" spans="1:8" x14ac:dyDescent="0.3">
      <c r="A626" s="19" t="s">
        <v>219</v>
      </c>
      <c r="B626" s="19" t="s">
        <v>186</v>
      </c>
      <c r="C626" s="19" t="s">
        <v>41</v>
      </c>
      <c r="D626" s="19" t="s">
        <v>187</v>
      </c>
      <c r="E626" s="19" t="s">
        <v>21</v>
      </c>
      <c r="F626" s="20">
        <v>3510</v>
      </c>
      <c r="G626" s="20">
        <v>3600</v>
      </c>
      <c r="H626" s="20">
        <v>110000</v>
      </c>
    </row>
    <row r="627" spans="1:8" x14ac:dyDescent="0.3">
      <c r="A627" s="19" t="s">
        <v>219</v>
      </c>
      <c r="B627" s="19" t="s">
        <v>186</v>
      </c>
      <c r="C627" s="19" t="s">
        <v>82</v>
      </c>
      <c r="D627" s="19" t="s">
        <v>187</v>
      </c>
      <c r="E627" s="19" t="s">
        <v>21</v>
      </c>
      <c r="F627" s="20">
        <v>1320</v>
      </c>
      <c r="G627" s="20">
        <v>1300</v>
      </c>
      <c r="H627" s="20">
        <v>59000</v>
      </c>
    </row>
    <row r="628" spans="1:8" x14ac:dyDescent="0.3">
      <c r="A628" s="19" t="s">
        <v>219</v>
      </c>
      <c r="B628" s="19" t="s">
        <v>186</v>
      </c>
      <c r="C628" s="19" t="s">
        <v>32</v>
      </c>
      <c r="D628" s="19" t="s">
        <v>187</v>
      </c>
      <c r="E628" s="19" t="s">
        <v>21</v>
      </c>
      <c r="F628" s="20">
        <v>1280</v>
      </c>
      <c r="G628" s="20">
        <v>1200</v>
      </c>
      <c r="H628" s="20">
        <v>92000</v>
      </c>
    </row>
    <row r="629" spans="1:8" x14ac:dyDescent="0.3">
      <c r="A629" s="19" t="s">
        <v>219</v>
      </c>
      <c r="B629" s="19" t="s">
        <v>186</v>
      </c>
      <c r="C629" s="19" t="s">
        <v>133</v>
      </c>
      <c r="D629" s="19" t="s">
        <v>187</v>
      </c>
      <c r="E629" s="19" t="s">
        <v>21</v>
      </c>
      <c r="F629" s="20">
        <v>432</v>
      </c>
      <c r="G629" s="20">
        <v>400</v>
      </c>
      <c r="H629" s="20"/>
    </row>
    <row r="630" spans="1:8" x14ac:dyDescent="0.3">
      <c r="A630" s="19" t="s">
        <v>219</v>
      </c>
      <c r="B630" s="19" t="s">
        <v>186</v>
      </c>
      <c r="C630" s="19" t="s">
        <v>230</v>
      </c>
      <c r="D630" s="19" t="s">
        <v>187</v>
      </c>
      <c r="E630" s="19" t="s">
        <v>21</v>
      </c>
      <c r="F630" s="20">
        <v>1050</v>
      </c>
      <c r="G630" s="20">
        <v>1100</v>
      </c>
      <c r="H630" s="20">
        <v>23000</v>
      </c>
    </row>
    <row r="631" spans="1:8" x14ac:dyDescent="0.3">
      <c r="A631" s="19" t="s">
        <v>219</v>
      </c>
      <c r="B631" s="19" t="s">
        <v>186</v>
      </c>
      <c r="C631" s="19" t="s">
        <v>35</v>
      </c>
      <c r="D631" s="19" t="s">
        <v>187</v>
      </c>
      <c r="E631" s="19" t="s">
        <v>21</v>
      </c>
      <c r="F631" s="20">
        <v>25300</v>
      </c>
      <c r="G631" s="20">
        <v>26000</v>
      </c>
      <c r="H631" s="20">
        <v>610000</v>
      </c>
    </row>
    <row r="632" spans="1:8" x14ac:dyDescent="0.3">
      <c r="A632" s="19" t="s">
        <v>219</v>
      </c>
      <c r="B632" s="19" t="s">
        <v>188</v>
      </c>
      <c r="C632" s="19" t="s">
        <v>190</v>
      </c>
      <c r="D632" s="19" t="s">
        <v>191</v>
      </c>
      <c r="E632" s="19" t="s">
        <v>47</v>
      </c>
      <c r="F632" s="20">
        <v>298</v>
      </c>
      <c r="G632" s="20">
        <v>290</v>
      </c>
      <c r="H632" s="20">
        <v>16000</v>
      </c>
    </row>
    <row r="633" spans="1:8" x14ac:dyDescent="0.3">
      <c r="A633" s="19" t="s">
        <v>219</v>
      </c>
      <c r="B633" s="19" t="s">
        <v>188</v>
      </c>
      <c r="C633" s="19" t="s">
        <v>192</v>
      </c>
      <c r="D633" s="19" t="s">
        <v>191</v>
      </c>
      <c r="E633" s="19" t="s">
        <v>47</v>
      </c>
      <c r="F633" s="20">
        <v>18</v>
      </c>
      <c r="G633" s="20">
        <v>18</v>
      </c>
      <c r="H633" s="20">
        <v>400000</v>
      </c>
    </row>
    <row r="634" spans="1:8" x14ac:dyDescent="0.3">
      <c r="A634" s="19" t="s">
        <v>219</v>
      </c>
      <c r="B634" s="19" t="s">
        <v>188</v>
      </c>
      <c r="C634" s="19" t="s">
        <v>193</v>
      </c>
      <c r="D634" s="19" t="s">
        <v>191</v>
      </c>
      <c r="E634" s="19" t="s">
        <v>47</v>
      </c>
      <c r="F634" s="20">
        <v>265</v>
      </c>
      <c r="G634" s="20">
        <v>270</v>
      </c>
      <c r="H634" s="20">
        <v>7000</v>
      </c>
    </row>
    <row r="635" spans="1:8" x14ac:dyDescent="0.3">
      <c r="A635" s="19" t="s">
        <v>219</v>
      </c>
      <c r="B635" s="19" t="s">
        <v>188</v>
      </c>
      <c r="C635" s="19" t="s">
        <v>49</v>
      </c>
      <c r="D635" s="19" t="s">
        <v>191</v>
      </c>
      <c r="E635" s="19" t="s">
        <v>47</v>
      </c>
      <c r="F635" s="20"/>
      <c r="G635" s="20"/>
      <c r="H635" s="20">
        <v>280000</v>
      </c>
    </row>
    <row r="636" spans="1:8" x14ac:dyDescent="0.3">
      <c r="A636" s="19" t="s">
        <v>219</v>
      </c>
      <c r="B636" s="19" t="s">
        <v>188</v>
      </c>
      <c r="C636" s="19" t="s">
        <v>229</v>
      </c>
      <c r="D636" s="19" t="s">
        <v>191</v>
      </c>
      <c r="E636" s="19" t="s">
        <v>47</v>
      </c>
      <c r="F636" s="20">
        <v>6100</v>
      </c>
      <c r="G636" s="20">
        <v>6000</v>
      </c>
      <c r="H636" s="20">
        <v>840000</v>
      </c>
    </row>
    <row r="637" spans="1:8" x14ac:dyDescent="0.3">
      <c r="A637" s="19" t="s">
        <v>219</v>
      </c>
      <c r="B637" s="19" t="s">
        <v>188</v>
      </c>
      <c r="C637" s="19" t="s">
        <v>230</v>
      </c>
      <c r="D637" s="19" t="s">
        <v>189</v>
      </c>
      <c r="E637" s="19" t="s">
        <v>47</v>
      </c>
      <c r="F637" s="20">
        <v>11700</v>
      </c>
      <c r="G637" s="20">
        <v>12000</v>
      </c>
      <c r="H637" s="20">
        <v>23000000</v>
      </c>
    </row>
    <row r="638" spans="1:8" x14ac:dyDescent="0.3">
      <c r="A638" s="19" t="s">
        <v>219</v>
      </c>
      <c r="B638" s="19" t="s">
        <v>188</v>
      </c>
      <c r="C638" s="19" t="s">
        <v>231</v>
      </c>
      <c r="D638" s="19" t="s">
        <v>191</v>
      </c>
      <c r="E638" s="19" t="s">
        <v>47</v>
      </c>
      <c r="F638" s="20">
        <v>18400</v>
      </c>
      <c r="G638" s="20">
        <v>19000</v>
      </c>
      <c r="H638" s="20">
        <v>25000000</v>
      </c>
    </row>
    <row r="639" spans="1:8" x14ac:dyDescent="0.3">
      <c r="A639" s="19" t="s">
        <v>219</v>
      </c>
      <c r="B639" s="19" t="s">
        <v>194</v>
      </c>
      <c r="C639" s="19" t="s">
        <v>70</v>
      </c>
      <c r="D639" s="19" t="s">
        <v>195</v>
      </c>
      <c r="E639" s="19" t="s">
        <v>21</v>
      </c>
      <c r="F639" s="20">
        <v>700</v>
      </c>
      <c r="G639" s="20">
        <v>700</v>
      </c>
      <c r="H639" s="20"/>
    </row>
    <row r="640" spans="1:8" x14ac:dyDescent="0.3">
      <c r="A640" s="19" t="s">
        <v>219</v>
      </c>
      <c r="B640" s="19" t="s">
        <v>194</v>
      </c>
      <c r="C640" s="19" t="s">
        <v>25</v>
      </c>
      <c r="D640" s="19" t="s">
        <v>195</v>
      </c>
      <c r="E640" s="19" t="s">
        <v>21</v>
      </c>
      <c r="F640" s="20">
        <v>80000</v>
      </c>
      <c r="G640" s="20">
        <v>80000</v>
      </c>
      <c r="H640" s="20">
        <v>12000000</v>
      </c>
    </row>
    <row r="641" spans="1:8" x14ac:dyDescent="0.3">
      <c r="A641" s="19" t="s">
        <v>219</v>
      </c>
      <c r="B641" s="19" t="s">
        <v>194</v>
      </c>
      <c r="C641" s="19" t="s">
        <v>27</v>
      </c>
      <c r="D641" s="19" t="s">
        <v>195</v>
      </c>
      <c r="E641" s="19" t="s">
        <v>21</v>
      </c>
      <c r="F641" s="20">
        <v>200000</v>
      </c>
      <c r="G641" s="20">
        <v>250000</v>
      </c>
      <c r="H641" s="20">
        <v>2000000</v>
      </c>
    </row>
    <row r="642" spans="1:8" x14ac:dyDescent="0.3">
      <c r="A642" s="19" t="s">
        <v>219</v>
      </c>
      <c r="B642" s="19" t="s">
        <v>194</v>
      </c>
      <c r="C642" s="19" t="s">
        <v>30</v>
      </c>
      <c r="D642" s="19" t="s">
        <v>195</v>
      </c>
      <c r="E642" s="19" t="s">
        <v>21</v>
      </c>
      <c r="F642" s="20">
        <v>19000</v>
      </c>
      <c r="G642" s="20">
        <v>20000</v>
      </c>
      <c r="H642" s="20"/>
    </row>
    <row r="643" spans="1:8" x14ac:dyDescent="0.3">
      <c r="A643" s="19" t="s">
        <v>219</v>
      </c>
      <c r="B643" s="19" t="s">
        <v>194</v>
      </c>
      <c r="C643" s="19" t="s">
        <v>58</v>
      </c>
      <c r="D643" s="19" t="s">
        <v>195</v>
      </c>
      <c r="E643" s="19" t="s">
        <v>21</v>
      </c>
      <c r="F643" s="20">
        <v>100000</v>
      </c>
      <c r="G643" s="20">
        <v>100000</v>
      </c>
      <c r="H643" s="20"/>
    </row>
    <row r="644" spans="1:8" x14ac:dyDescent="0.3">
      <c r="A644" s="19" t="s">
        <v>219</v>
      </c>
      <c r="B644" s="19" t="s">
        <v>194</v>
      </c>
      <c r="C644" s="19" t="s">
        <v>230</v>
      </c>
      <c r="D644" s="19" t="s">
        <v>195</v>
      </c>
      <c r="E644" s="19" t="s">
        <v>21</v>
      </c>
      <c r="F644" s="20"/>
      <c r="G644" s="20"/>
      <c r="H644" s="20"/>
    </row>
    <row r="645" spans="1:8" x14ac:dyDescent="0.3">
      <c r="A645" s="19" t="s">
        <v>219</v>
      </c>
      <c r="B645" s="19" t="s">
        <v>194</v>
      </c>
      <c r="C645" s="19" t="s">
        <v>35</v>
      </c>
      <c r="D645" s="19" t="s">
        <v>195</v>
      </c>
      <c r="E645" s="19" t="s">
        <v>21</v>
      </c>
      <c r="F645" s="20">
        <v>400000</v>
      </c>
      <c r="G645" s="20">
        <v>450000</v>
      </c>
      <c r="H645" s="20"/>
    </row>
    <row r="646" spans="1:8" x14ac:dyDescent="0.3">
      <c r="A646" s="19" t="s">
        <v>219</v>
      </c>
      <c r="B646" s="19" t="s">
        <v>196</v>
      </c>
      <c r="C646" s="19" t="s">
        <v>22</v>
      </c>
      <c r="D646" s="19" t="s">
        <v>197</v>
      </c>
      <c r="E646" s="19" t="s">
        <v>47</v>
      </c>
      <c r="F646" s="20">
        <v>900</v>
      </c>
      <c r="G646" s="20">
        <v>900</v>
      </c>
      <c r="H646" s="20"/>
    </row>
    <row r="647" spans="1:8" x14ac:dyDescent="0.3">
      <c r="A647" s="19" t="s">
        <v>219</v>
      </c>
      <c r="B647" s="19" t="s">
        <v>196</v>
      </c>
      <c r="C647" s="19" t="s">
        <v>220</v>
      </c>
      <c r="D647" s="19" t="s">
        <v>197</v>
      </c>
      <c r="E647" s="19" t="s">
        <v>47</v>
      </c>
      <c r="F647" s="20">
        <v>5060</v>
      </c>
      <c r="G647" s="20">
        <v>5000</v>
      </c>
      <c r="H647" s="20"/>
    </row>
    <row r="648" spans="1:8" x14ac:dyDescent="0.3">
      <c r="A648" s="19" t="s">
        <v>219</v>
      </c>
      <c r="B648" s="19" t="s">
        <v>196</v>
      </c>
      <c r="C648" s="19" t="s">
        <v>71</v>
      </c>
      <c r="D648" s="19" t="s">
        <v>197</v>
      </c>
      <c r="E648" s="19" t="s">
        <v>47</v>
      </c>
      <c r="F648" s="20">
        <v>1500</v>
      </c>
      <c r="G648" s="20">
        <v>1400</v>
      </c>
      <c r="H648" s="20"/>
    </row>
    <row r="649" spans="1:8" x14ac:dyDescent="0.3">
      <c r="A649" s="19" t="s">
        <v>219</v>
      </c>
      <c r="B649" s="19" t="s">
        <v>196</v>
      </c>
      <c r="C649" s="19" t="s">
        <v>25</v>
      </c>
      <c r="D649" s="19" t="s">
        <v>197</v>
      </c>
      <c r="E649" s="19" t="s">
        <v>47</v>
      </c>
      <c r="F649" s="20">
        <v>19000</v>
      </c>
      <c r="G649" s="20">
        <v>19000</v>
      </c>
      <c r="H649" s="20"/>
    </row>
    <row r="650" spans="1:8" x14ac:dyDescent="0.3">
      <c r="A650" s="19" t="s">
        <v>219</v>
      </c>
      <c r="B650" s="19" t="s">
        <v>196</v>
      </c>
      <c r="C650" s="19" t="s">
        <v>48</v>
      </c>
      <c r="D650" s="19" t="s">
        <v>197</v>
      </c>
      <c r="E650" s="19" t="s">
        <v>47</v>
      </c>
      <c r="F650" s="20">
        <v>3700</v>
      </c>
      <c r="G650" s="20">
        <v>3700</v>
      </c>
      <c r="H650" s="20"/>
    </row>
    <row r="651" spans="1:8" x14ac:dyDescent="0.3">
      <c r="A651" s="19" t="s">
        <v>219</v>
      </c>
      <c r="B651" s="19" t="s">
        <v>196</v>
      </c>
      <c r="C651" s="19" t="s">
        <v>27</v>
      </c>
      <c r="D651" s="19" t="s">
        <v>197</v>
      </c>
      <c r="E651" s="19" t="s">
        <v>47</v>
      </c>
      <c r="F651" s="20">
        <v>2000</v>
      </c>
      <c r="G651" s="20">
        <v>2100</v>
      </c>
      <c r="H651" s="20"/>
    </row>
    <row r="652" spans="1:8" x14ac:dyDescent="0.3">
      <c r="A652" s="19" t="s">
        <v>219</v>
      </c>
      <c r="B652" s="19" t="s">
        <v>196</v>
      </c>
      <c r="C652" s="19" t="s">
        <v>39</v>
      </c>
      <c r="D652" s="19" t="s">
        <v>197</v>
      </c>
      <c r="E652" s="19" t="s">
        <v>47</v>
      </c>
      <c r="F652" s="20">
        <v>2750</v>
      </c>
      <c r="G652" s="20">
        <v>2700</v>
      </c>
      <c r="H652" s="20"/>
    </row>
    <row r="653" spans="1:8" x14ac:dyDescent="0.3">
      <c r="A653" s="19" t="s">
        <v>219</v>
      </c>
      <c r="B653" s="19" t="s">
        <v>196</v>
      </c>
      <c r="C653" s="19" t="s">
        <v>28</v>
      </c>
      <c r="D653" s="19" t="s">
        <v>197</v>
      </c>
      <c r="E653" s="19" t="s">
        <v>47</v>
      </c>
      <c r="F653" s="20">
        <v>4740</v>
      </c>
      <c r="G653" s="20">
        <v>4800</v>
      </c>
      <c r="H653" s="20"/>
    </row>
    <row r="654" spans="1:8" x14ac:dyDescent="0.3">
      <c r="A654" s="19" t="s">
        <v>219</v>
      </c>
      <c r="B654" s="19" t="s">
        <v>196</v>
      </c>
      <c r="C654" s="19" t="s">
        <v>198</v>
      </c>
      <c r="D654" s="19" t="s">
        <v>197</v>
      </c>
      <c r="E654" s="19" t="s">
        <v>47</v>
      </c>
      <c r="F654" s="20">
        <v>1300</v>
      </c>
      <c r="G654" s="20">
        <v>1300</v>
      </c>
      <c r="H654" s="20"/>
    </row>
    <row r="655" spans="1:8" x14ac:dyDescent="0.3">
      <c r="A655" s="19" t="s">
        <v>219</v>
      </c>
      <c r="B655" s="19" t="s">
        <v>196</v>
      </c>
      <c r="C655" s="19" t="s">
        <v>49</v>
      </c>
      <c r="D655" s="19" t="s">
        <v>197</v>
      </c>
      <c r="E655" s="19" t="s">
        <v>47</v>
      </c>
      <c r="F655" s="20">
        <v>5100</v>
      </c>
      <c r="G655" s="20">
        <v>5700</v>
      </c>
      <c r="H655" s="20"/>
    </row>
    <row r="656" spans="1:8" x14ac:dyDescent="0.3">
      <c r="A656" s="19" t="s">
        <v>219</v>
      </c>
      <c r="B656" s="19" t="s">
        <v>196</v>
      </c>
      <c r="C656" s="19" t="s">
        <v>82</v>
      </c>
      <c r="D656" s="19" t="s">
        <v>197</v>
      </c>
      <c r="E656" s="19" t="s">
        <v>47</v>
      </c>
      <c r="F656" s="20">
        <v>1000</v>
      </c>
      <c r="G656" s="20">
        <v>1100</v>
      </c>
      <c r="H656" s="20"/>
    </row>
    <row r="657" spans="1:8" x14ac:dyDescent="0.3">
      <c r="A657" s="19" t="s">
        <v>219</v>
      </c>
      <c r="B657" s="19" t="s">
        <v>196</v>
      </c>
      <c r="C657" s="19" t="s">
        <v>158</v>
      </c>
      <c r="D657" s="19" t="s">
        <v>197</v>
      </c>
      <c r="E657" s="19" t="s">
        <v>47</v>
      </c>
      <c r="F657" s="20">
        <v>3000</v>
      </c>
      <c r="G657" s="20">
        <v>3100</v>
      </c>
      <c r="H657" s="20"/>
    </row>
    <row r="658" spans="1:8" x14ac:dyDescent="0.3">
      <c r="A658" s="19" t="s">
        <v>219</v>
      </c>
      <c r="B658" s="19" t="s">
        <v>196</v>
      </c>
      <c r="C658" s="19" t="s">
        <v>32</v>
      </c>
      <c r="D658" s="19" t="s">
        <v>197</v>
      </c>
      <c r="E658" s="19" t="s">
        <v>47</v>
      </c>
      <c r="F658" s="20">
        <v>7400</v>
      </c>
      <c r="G658" s="20">
        <v>7500</v>
      </c>
      <c r="H658" s="20"/>
    </row>
    <row r="659" spans="1:8" x14ac:dyDescent="0.3">
      <c r="A659" s="19" t="s">
        <v>219</v>
      </c>
      <c r="B659" s="19" t="s">
        <v>196</v>
      </c>
      <c r="C659" s="19" t="s">
        <v>57</v>
      </c>
      <c r="D659" s="19" t="s">
        <v>197</v>
      </c>
      <c r="E659" s="19" t="s">
        <v>47</v>
      </c>
      <c r="F659" s="20">
        <v>7200</v>
      </c>
      <c r="G659" s="20">
        <v>7200</v>
      </c>
      <c r="H659" s="20"/>
    </row>
    <row r="660" spans="1:8" x14ac:dyDescent="0.3">
      <c r="A660" s="19" t="s">
        <v>219</v>
      </c>
      <c r="B660" s="19" t="s">
        <v>196</v>
      </c>
      <c r="C660" s="19" t="s">
        <v>235</v>
      </c>
      <c r="D660" s="19" t="s">
        <v>197</v>
      </c>
      <c r="E660" s="19" t="s">
        <v>47</v>
      </c>
      <c r="F660" s="20">
        <v>3100</v>
      </c>
      <c r="G660" s="20">
        <v>3100</v>
      </c>
      <c r="H660" s="20"/>
    </row>
    <row r="661" spans="1:8" x14ac:dyDescent="0.3">
      <c r="A661" s="19" t="s">
        <v>219</v>
      </c>
      <c r="B661" s="19" t="s">
        <v>196</v>
      </c>
      <c r="C661" s="19" t="s">
        <v>129</v>
      </c>
      <c r="D661" s="19" t="s">
        <v>197</v>
      </c>
      <c r="E661" s="19" t="s">
        <v>47</v>
      </c>
      <c r="F661" s="20">
        <v>880</v>
      </c>
      <c r="G661" s="20">
        <v>870</v>
      </c>
      <c r="H661" s="20"/>
    </row>
    <row r="662" spans="1:8" x14ac:dyDescent="0.3">
      <c r="A662" s="19" t="s">
        <v>219</v>
      </c>
      <c r="B662" s="19" t="s">
        <v>196</v>
      </c>
      <c r="C662" s="19" t="s">
        <v>233</v>
      </c>
      <c r="D662" s="19" t="s">
        <v>197</v>
      </c>
      <c r="E662" s="19" t="s">
        <v>47</v>
      </c>
      <c r="F662" s="20">
        <v>6300</v>
      </c>
      <c r="G662" s="20">
        <v>6300</v>
      </c>
      <c r="H662" s="20"/>
    </row>
    <row r="663" spans="1:8" x14ac:dyDescent="0.3">
      <c r="A663" s="19" t="s">
        <v>219</v>
      </c>
      <c r="B663" s="19" t="s">
        <v>196</v>
      </c>
      <c r="C663" s="19" t="s">
        <v>230</v>
      </c>
      <c r="D663" s="19" t="s">
        <v>197</v>
      </c>
      <c r="E663" s="19" t="s">
        <v>47</v>
      </c>
      <c r="F663" s="20">
        <v>8320</v>
      </c>
      <c r="G663" s="20">
        <v>8100</v>
      </c>
      <c r="H663" s="20"/>
    </row>
    <row r="664" spans="1:8" x14ac:dyDescent="0.3">
      <c r="A664" s="19" t="s">
        <v>219</v>
      </c>
      <c r="B664" s="19" t="s">
        <v>196</v>
      </c>
      <c r="C664" s="19" t="s">
        <v>35</v>
      </c>
      <c r="D664" s="19" t="s">
        <v>197</v>
      </c>
      <c r="E664" s="19" t="s">
        <v>47</v>
      </c>
      <c r="F664" s="20">
        <v>83900</v>
      </c>
      <c r="G664" s="20">
        <v>84000</v>
      </c>
      <c r="H664" s="20"/>
    </row>
    <row r="665" spans="1:8" x14ac:dyDescent="0.3">
      <c r="A665" s="19" t="s">
        <v>219</v>
      </c>
      <c r="B665" s="19" t="s">
        <v>263</v>
      </c>
      <c r="C665" s="19" t="s">
        <v>199</v>
      </c>
      <c r="D665" s="19" t="s">
        <v>90</v>
      </c>
      <c r="E665" s="19" t="s">
        <v>47</v>
      </c>
      <c r="F665" s="20">
        <v>190</v>
      </c>
      <c r="G665" s="20">
        <v>200</v>
      </c>
      <c r="H665" s="20"/>
    </row>
    <row r="666" spans="1:8" x14ac:dyDescent="0.3">
      <c r="A666" s="19" t="s">
        <v>219</v>
      </c>
      <c r="B666" s="19" t="s">
        <v>263</v>
      </c>
      <c r="C666" s="19" t="s">
        <v>240</v>
      </c>
      <c r="D666" s="19" t="s">
        <v>90</v>
      </c>
      <c r="E666" s="19" t="s">
        <v>47</v>
      </c>
      <c r="F666" s="20">
        <v>649</v>
      </c>
      <c r="G666" s="20">
        <v>570</v>
      </c>
      <c r="H666" s="20">
        <v>48000</v>
      </c>
    </row>
    <row r="667" spans="1:8" x14ac:dyDescent="0.3">
      <c r="A667" s="19" t="s">
        <v>219</v>
      </c>
      <c r="B667" s="19" t="s">
        <v>263</v>
      </c>
      <c r="C667" s="19" t="s">
        <v>220</v>
      </c>
      <c r="D667" s="19" t="s">
        <v>90</v>
      </c>
      <c r="E667" s="19" t="s">
        <v>47</v>
      </c>
      <c r="F667" s="20">
        <v>150</v>
      </c>
      <c r="G667" s="20">
        <v>150</v>
      </c>
      <c r="H667" s="20"/>
    </row>
    <row r="668" spans="1:8" x14ac:dyDescent="0.3">
      <c r="A668" s="19" t="s">
        <v>219</v>
      </c>
      <c r="B668" s="19" t="s">
        <v>263</v>
      </c>
      <c r="C668" s="19" t="s">
        <v>25</v>
      </c>
      <c r="D668" s="19" t="s">
        <v>90</v>
      </c>
      <c r="E668" s="19" t="s">
        <v>47</v>
      </c>
      <c r="F668" s="20">
        <v>1300</v>
      </c>
      <c r="G668" s="20">
        <v>1300</v>
      </c>
      <c r="H668" s="20">
        <v>60000</v>
      </c>
    </row>
    <row r="669" spans="1:8" x14ac:dyDescent="0.3">
      <c r="A669" s="19" t="s">
        <v>219</v>
      </c>
      <c r="B669" s="19" t="s">
        <v>263</v>
      </c>
      <c r="C669" s="19" t="s">
        <v>86</v>
      </c>
      <c r="D669" s="19" t="s">
        <v>90</v>
      </c>
      <c r="E669" s="19" t="s">
        <v>47</v>
      </c>
      <c r="F669" s="20">
        <v>212</v>
      </c>
      <c r="G669" s="20">
        <v>200</v>
      </c>
      <c r="H669" s="20"/>
    </row>
    <row r="670" spans="1:8" x14ac:dyDescent="0.3">
      <c r="A670" s="19" t="s">
        <v>219</v>
      </c>
      <c r="B670" s="19" t="s">
        <v>263</v>
      </c>
      <c r="C670" s="19" t="s">
        <v>245</v>
      </c>
      <c r="D670" s="19" t="s">
        <v>90</v>
      </c>
      <c r="E670" s="19" t="s">
        <v>47</v>
      </c>
      <c r="F670" s="20">
        <v>280</v>
      </c>
      <c r="G670" s="20">
        <v>300</v>
      </c>
      <c r="H670" s="20"/>
    </row>
    <row r="671" spans="1:8" x14ac:dyDescent="0.3">
      <c r="A671" s="19" t="s">
        <v>219</v>
      </c>
      <c r="B671" s="19" t="s">
        <v>263</v>
      </c>
      <c r="C671" s="19" t="s">
        <v>48</v>
      </c>
      <c r="D671" s="19" t="s">
        <v>90</v>
      </c>
      <c r="E671" s="19" t="s">
        <v>47</v>
      </c>
      <c r="F671" s="20">
        <v>1540</v>
      </c>
      <c r="G671" s="20">
        <v>1500</v>
      </c>
      <c r="H671" s="20">
        <v>110000</v>
      </c>
    </row>
    <row r="672" spans="1:8" x14ac:dyDescent="0.3">
      <c r="A672" s="19" t="s">
        <v>219</v>
      </c>
      <c r="B672" s="19" t="s">
        <v>263</v>
      </c>
      <c r="C672" s="19" t="s">
        <v>103</v>
      </c>
      <c r="D672" s="19" t="s">
        <v>90</v>
      </c>
      <c r="E672" s="19" t="s">
        <v>47</v>
      </c>
      <c r="F672" s="20">
        <v>170</v>
      </c>
      <c r="G672" s="20">
        <v>170</v>
      </c>
      <c r="H672" s="20"/>
    </row>
    <row r="673" spans="1:8" x14ac:dyDescent="0.3">
      <c r="A673" s="19" t="s">
        <v>219</v>
      </c>
      <c r="B673" s="19" t="s">
        <v>263</v>
      </c>
      <c r="C673" s="19" t="s">
        <v>39</v>
      </c>
      <c r="D673" s="19" t="s">
        <v>90</v>
      </c>
      <c r="E673" s="19" t="s">
        <v>47</v>
      </c>
      <c r="F673" s="20">
        <v>130</v>
      </c>
      <c r="G673" s="20">
        <v>130</v>
      </c>
      <c r="H673" s="20">
        <v>100000</v>
      </c>
    </row>
    <row r="674" spans="1:8" x14ac:dyDescent="0.3">
      <c r="A674" s="19" t="s">
        <v>219</v>
      </c>
      <c r="B674" s="19" t="s">
        <v>263</v>
      </c>
      <c r="C674" s="19" t="s">
        <v>264</v>
      </c>
      <c r="D674" s="19" t="s">
        <v>90</v>
      </c>
      <c r="E674" s="19" t="s">
        <v>47</v>
      </c>
      <c r="F674" s="20">
        <v>882</v>
      </c>
      <c r="G674" s="20">
        <v>790</v>
      </c>
      <c r="H674" s="20"/>
    </row>
    <row r="675" spans="1:8" x14ac:dyDescent="0.3">
      <c r="A675" s="19" t="s">
        <v>219</v>
      </c>
      <c r="B675" s="19" t="s">
        <v>263</v>
      </c>
      <c r="C675" s="19" t="s">
        <v>31</v>
      </c>
      <c r="D675" s="19" t="s">
        <v>90</v>
      </c>
      <c r="E675" s="19" t="s">
        <v>47</v>
      </c>
      <c r="F675" s="20">
        <v>221</v>
      </c>
      <c r="G675" s="20">
        <v>200</v>
      </c>
      <c r="H675" s="20"/>
    </row>
    <row r="676" spans="1:8" x14ac:dyDescent="0.3">
      <c r="A676" s="19" t="s">
        <v>219</v>
      </c>
      <c r="B676" s="19" t="s">
        <v>263</v>
      </c>
      <c r="C676" s="19" t="s">
        <v>229</v>
      </c>
      <c r="D676" s="19" t="s">
        <v>90</v>
      </c>
      <c r="E676" s="19" t="s">
        <v>47</v>
      </c>
      <c r="F676" s="20">
        <v>304</v>
      </c>
      <c r="G676" s="20">
        <v>300</v>
      </c>
      <c r="H676" s="20">
        <v>15000</v>
      </c>
    </row>
    <row r="677" spans="1:8" x14ac:dyDescent="0.3">
      <c r="A677" s="19" t="s">
        <v>219</v>
      </c>
      <c r="B677" s="19" t="s">
        <v>263</v>
      </c>
      <c r="C677" s="19" t="s">
        <v>87</v>
      </c>
      <c r="D677" s="19" t="s">
        <v>90</v>
      </c>
      <c r="E677" s="19" t="s">
        <v>47</v>
      </c>
      <c r="F677" s="20">
        <v>390</v>
      </c>
      <c r="G677" s="20">
        <v>300</v>
      </c>
      <c r="H677" s="20"/>
    </row>
    <row r="678" spans="1:8" x14ac:dyDescent="0.3">
      <c r="A678" s="19" t="s">
        <v>219</v>
      </c>
      <c r="B678" s="19" t="s">
        <v>263</v>
      </c>
      <c r="C678" s="19" t="s">
        <v>235</v>
      </c>
      <c r="D678" s="19" t="s">
        <v>90</v>
      </c>
      <c r="E678" s="19" t="s">
        <v>47</v>
      </c>
      <c r="F678" s="20">
        <v>322</v>
      </c>
      <c r="G678" s="20">
        <v>300</v>
      </c>
      <c r="H678" s="20">
        <v>81000</v>
      </c>
    </row>
    <row r="679" spans="1:8" x14ac:dyDescent="0.3">
      <c r="A679" s="19" t="s">
        <v>219</v>
      </c>
      <c r="B679" s="19" t="s">
        <v>263</v>
      </c>
      <c r="C679" s="19" t="s">
        <v>230</v>
      </c>
      <c r="D679" s="19" t="s">
        <v>90</v>
      </c>
      <c r="E679" s="19" t="s">
        <v>47</v>
      </c>
      <c r="F679" s="20">
        <v>457</v>
      </c>
      <c r="G679" s="20">
        <v>490</v>
      </c>
      <c r="H679" s="20">
        <v>140000</v>
      </c>
    </row>
    <row r="680" spans="1:8" x14ac:dyDescent="0.3">
      <c r="A680" s="19" t="s">
        <v>219</v>
      </c>
      <c r="B680" s="19" t="s">
        <v>263</v>
      </c>
      <c r="C680" s="19" t="s">
        <v>35</v>
      </c>
      <c r="D680" s="19" t="s">
        <v>90</v>
      </c>
      <c r="E680" s="19" t="s">
        <v>47</v>
      </c>
      <c r="F680" s="20">
        <v>7200</v>
      </c>
      <c r="G680" s="20">
        <v>6900</v>
      </c>
      <c r="H680" s="20"/>
    </row>
    <row r="681" spans="1:8" x14ac:dyDescent="0.3">
      <c r="A681" s="19" t="s">
        <v>219</v>
      </c>
      <c r="B681" s="19" t="s">
        <v>200</v>
      </c>
      <c r="C681" s="19" t="s">
        <v>22</v>
      </c>
      <c r="D681" s="19" t="s">
        <v>201</v>
      </c>
      <c r="E681" s="19" t="s">
        <v>21</v>
      </c>
      <c r="F681" s="20">
        <v>52</v>
      </c>
      <c r="G681" s="20">
        <v>50</v>
      </c>
      <c r="H681" s="20">
        <v>120000</v>
      </c>
    </row>
    <row r="682" spans="1:8" x14ac:dyDescent="0.3">
      <c r="A682" s="19" t="s">
        <v>219</v>
      </c>
      <c r="B682" s="19" t="s">
        <v>200</v>
      </c>
      <c r="C682" s="19" t="s">
        <v>23</v>
      </c>
      <c r="D682" s="19" t="s">
        <v>201</v>
      </c>
      <c r="E682" s="19" t="s">
        <v>21</v>
      </c>
      <c r="F682" s="20">
        <v>2</v>
      </c>
      <c r="G682" s="20">
        <v>2</v>
      </c>
      <c r="H682" s="20"/>
    </row>
    <row r="683" spans="1:8" x14ac:dyDescent="0.3">
      <c r="A683" s="19" t="s">
        <v>219</v>
      </c>
      <c r="B683" s="19" t="s">
        <v>200</v>
      </c>
      <c r="C683" s="19" t="s">
        <v>44</v>
      </c>
      <c r="D683" s="19" t="s">
        <v>201</v>
      </c>
      <c r="E683" s="19" t="s">
        <v>21</v>
      </c>
      <c r="F683" s="20">
        <v>210</v>
      </c>
      <c r="G683" s="20">
        <v>190</v>
      </c>
      <c r="H683" s="20">
        <v>40000</v>
      </c>
    </row>
    <row r="684" spans="1:8" x14ac:dyDescent="0.3">
      <c r="A684" s="19" t="s">
        <v>219</v>
      </c>
      <c r="B684" s="19" t="s">
        <v>200</v>
      </c>
      <c r="C684" s="19" t="s">
        <v>202</v>
      </c>
      <c r="D684" s="19" t="s">
        <v>201</v>
      </c>
      <c r="E684" s="19" t="s">
        <v>21</v>
      </c>
      <c r="F684" s="20">
        <v>2</v>
      </c>
      <c r="G684" s="20">
        <v>2</v>
      </c>
      <c r="H684" s="20"/>
    </row>
    <row r="685" spans="1:8" x14ac:dyDescent="0.3">
      <c r="A685" s="19" t="s">
        <v>219</v>
      </c>
      <c r="B685" s="19" t="s">
        <v>200</v>
      </c>
      <c r="C685" s="19" t="s">
        <v>25</v>
      </c>
      <c r="D685" s="19" t="s">
        <v>201</v>
      </c>
      <c r="E685" s="19" t="s">
        <v>21</v>
      </c>
      <c r="F685" s="20">
        <v>76</v>
      </c>
      <c r="G685" s="20">
        <v>80</v>
      </c>
      <c r="H685" s="20">
        <v>240000</v>
      </c>
    </row>
    <row r="686" spans="1:8" x14ac:dyDescent="0.3">
      <c r="A686" s="19" t="s">
        <v>219</v>
      </c>
      <c r="B686" s="19" t="s">
        <v>200</v>
      </c>
      <c r="C686" s="19" t="s">
        <v>288</v>
      </c>
      <c r="D686" s="19" t="s">
        <v>201</v>
      </c>
      <c r="E686" s="19" t="s">
        <v>21</v>
      </c>
      <c r="F686" s="20">
        <v>1270</v>
      </c>
      <c r="G686" s="20">
        <v>1300</v>
      </c>
      <c r="H686" s="20"/>
    </row>
    <row r="687" spans="1:8" x14ac:dyDescent="0.3">
      <c r="A687" s="19" t="s">
        <v>219</v>
      </c>
      <c r="B687" s="19" t="s">
        <v>200</v>
      </c>
      <c r="C687" s="19" t="s">
        <v>192</v>
      </c>
      <c r="D687" s="19" t="s">
        <v>201</v>
      </c>
      <c r="E687" s="19" t="s">
        <v>21</v>
      </c>
      <c r="F687" s="20">
        <v>40</v>
      </c>
      <c r="G687" s="20">
        <v>40</v>
      </c>
      <c r="H687" s="20"/>
    </row>
    <row r="688" spans="1:8" x14ac:dyDescent="0.3">
      <c r="A688" s="19" t="s">
        <v>219</v>
      </c>
      <c r="B688" s="19" t="s">
        <v>200</v>
      </c>
      <c r="C688" s="19" t="s">
        <v>62</v>
      </c>
      <c r="D688" s="19" t="s">
        <v>201</v>
      </c>
      <c r="E688" s="19" t="s">
        <v>21</v>
      </c>
      <c r="F688" s="20">
        <v>55</v>
      </c>
      <c r="G688" s="20">
        <v>1</v>
      </c>
      <c r="H688" s="20"/>
    </row>
    <row r="689" spans="1:8" x14ac:dyDescent="0.3">
      <c r="A689" s="19" t="s">
        <v>219</v>
      </c>
      <c r="B689" s="19" t="s">
        <v>200</v>
      </c>
      <c r="C689" s="19" t="s">
        <v>157</v>
      </c>
      <c r="D689" s="19" t="s">
        <v>201</v>
      </c>
      <c r="E689" s="19" t="s">
        <v>21</v>
      </c>
      <c r="F689" s="20">
        <v>390</v>
      </c>
      <c r="G689" s="20">
        <v>390</v>
      </c>
      <c r="H689" s="20"/>
    </row>
    <row r="690" spans="1:8" x14ac:dyDescent="0.3">
      <c r="A690" s="19" t="s">
        <v>219</v>
      </c>
      <c r="B690" s="19" t="s">
        <v>200</v>
      </c>
      <c r="C690" s="19" t="s">
        <v>32</v>
      </c>
      <c r="D690" s="19" t="s">
        <v>201</v>
      </c>
      <c r="E690" s="19" t="s">
        <v>21</v>
      </c>
      <c r="F690" s="20">
        <v>29</v>
      </c>
      <c r="G690" s="20">
        <v>30</v>
      </c>
      <c r="H690" s="20">
        <v>150</v>
      </c>
    </row>
    <row r="691" spans="1:8" x14ac:dyDescent="0.3">
      <c r="A691" s="19" t="s">
        <v>219</v>
      </c>
      <c r="B691" s="19" t="s">
        <v>200</v>
      </c>
      <c r="C691" s="19" t="s">
        <v>63</v>
      </c>
      <c r="D691" s="19" t="s">
        <v>201</v>
      </c>
      <c r="E691" s="19" t="s">
        <v>21</v>
      </c>
      <c r="F691" s="20">
        <v>374</v>
      </c>
      <c r="G691" s="20">
        <v>400</v>
      </c>
      <c r="H691" s="20"/>
    </row>
    <row r="692" spans="1:8" x14ac:dyDescent="0.3">
      <c r="A692" s="19" t="s">
        <v>219</v>
      </c>
      <c r="B692" s="19" t="s">
        <v>200</v>
      </c>
      <c r="C692" s="19" t="s">
        <v>230</v>
      </c>
      <c r="D692" s="19" t="s">
        <v>201</v>
      </c>
      <c r="E692" s="19" t="s">
        <v>21</v>
      </c>
      <c r="F692" s="20"/>
      <c r="G692" s="20"/>
      <c r="H692" s="20"/>
    </row>
    <row r="693" spans="1:8" x14ac:dyDescent="0.3">
      <c r="A693" s="19" t="s">
        <v>219</v>
      </c>
      <c r="B693" s="19" t="s">
        <v>200</v>
      </c>
      <c r="C693" s="19" t="s">
        <v>35</v>
      </c>
      <c r="D693" s="19" t="s">
        <v>201</v>
      </c>
      <c r="E693" s="19" t="s">
        <v>21</v>
      </c>
      <c r="F693" s="20">
        <v>2500</v>
      </c>
      <c r="G693" s="20">
        <v>2500</v>
      </c>
      <c r="H693" s="20"/>
    </row>
    <row r="694" spans="1:8" x14ac:dyDescent="0.3">
      <c r="A694" s="19" t="s">
        <v>219</v>
      </c>
      <c r="B694" s="19" t="s">
        <v>203</v>
      </c>
      <c r="C694" s="19" t="s">
        <v>67</v>
      </c>
      <c r="D694" s="19" t="s">
        <v>204</v>
      </c>
      <c r="E694" s="19" t="s">
        <v>21</v>
      </c>
      <c r="F694" s="20">
        <v>1</v>
      </c>
      <c r="G694" s="20">
        <v>1</v>
      </c>
      <c r="H694" s="20"/>
    </row>
    <row r="695" spans="1:8" x14ac:dyDescent="0.3">
      <c r="A695" s="19" t="s">
        <v>219</v>
      </c>
      <c r="B695" s="19" t="s">
        <v>203</v>
      </c>
      <c r="C695" s="19" t="s">
        <v>220</v>
      </c>
      <c r="D695" s="19" t="s">
        <v>204</v>
      </c>
      <c r="E695" s="19" t="s">
        <v>21</v>
      </c>
      <c r="F695" s="20">
        <v>27</v>
      </c>
      <c r="G695" s="20">
        <v>28</v>
      </c>
      <c r="H695" s="20"/>
    </row>
    <row r="696" spans="1:8" x14ac:dyDescent="0.3">
      <c r="A696" s="19" t="s">
        <v>219</v>
      </c>
      <c r="B696" s="19" t="s">
        <v>203</v>
      </c>
      <c r="C696" s="19" t="s">
        <v>25</v>
      </c>
      <c r="D696" s="19" t="s">
        <v>204</v>
      </c>
      <c r="E696" s="19" t="s">
        <v>21</v>
      </c>
      <c r="F696" s="20">
        <v>750</v>
      </c>
      <c r="G696" s="20">
        <v>800</v>
      </c>
      <c r="H696" s="20"/>
    </row>
    <row r="697" spans="1:8" x14ac:dyDescent="0.3">
      <c r="A697" s="19" t="s">
        <v>219</v>
      </c>
      <c r="B697" s="19" t="s">
        <v>203</v>
      </c>
      <c r="C697" s="19" t="s">
        <v>39</v>
      </c>
      <c r="D697" s="19" t="s">
        <v>204</v>
      </c>
      <c r="E697" s="19" t="s">
        <v>21</v>
      </c>
      <c r="F697" s="20">
        <v>70</v>
      </c>
      <c r="G697" s="20">
        <v>61</v>
      </c>
      <c r="H697" s="20"/>
    </row>
    <row r="698" spans="1:8" x14ac:dyDescent="0.3">
      <c r="A698" s="19" t="s">
        <v>219</v>
      </c>
      <c r="B698" s="19" t="s">
        <v>203</v>
      </c>
      <c r="C698" s="19" t="s">
        <v>49</v>
      </c>
      <c r="D698" s="19" t="s">
        <v>204</v>
      </c>
      <c r="E698" s="19" t="s">
        <v>21</v>
      </c>
      <c r="F698" s="20"/>
      <c r="G698" s="20"/>
      <c r="H698" s="20"/>
    </row>
    <row r="699" spans="1:8" x14ac:dyDescent="0.3">
      <c r="A699" s="19" t="s">
        <v>219</v>
      </c>
      <c r="B699" s="19" t="s">
        <v>203</v>
      </c>
      <c r="C699" s="19" t="s">
        <v>32</v>
      </c>
      <c r="D699" s="19" t="s">
        <v>204</v>
      </c>
      <c r="E699" s="19" t="s">
        <v>21</v>
      </c>
      <c r="F699" s="20">
        <v>64</v>
      </c>
      <c r="G699" s="20">
        <v>67</v>
      </c>
      <c r="H699" s="20"/>
    </row>
    <row r="700" spans="1:8" x14ac:dyDescent="0.3">
      <c r="A700" s="19" t="s">
        <v>219</v>
      </c>
      <c r="B700" s="19" t="s">
        <v>203</v>
      </c>
      <c r="C700" s="19" t="s">
        <v>87</v>
      </c>
      <c r="D700" s="19" t="s">
        <v>204</v>
      </c>
      <c r="E700" s="19" t="s">
        <v>21</v>
      </c>
      <c r="F700" s="20">
        <v>5</v>
      </c>
      <c r="G700" s="20">
        <v>5</v>
      </c>
      <c r="H700" s="20"/>
    </row>
    <row r="701" spans="1:8" x14ac:dyDescent="0.3">
      <c r="A701" s="19" t="s">
        <v>219</v>
      </c>
      <c r="B701" s="19" t="s">
        <v>203</v>
      </c>
      <c r="C701" s="19" t="s">
        <v>133</v>
      </c>
      <c r="D701" s="19" t="s">
        <v>204</v>
      </c>
      <c r="E701" s="19" t="s">
        <v>21</v>
      </c>
      <c r="F701" s="20">
        <v>46</v>
      </c>
      <c r="G701" s="20">
        <v>48</v>
      </c>
      <c r="H701" s="20"/>
    </row>
    <row r="702" spans="1:8" x14ac:dyDescent="0.3">
      <c r="A702" s="19" t="s">
        <v>219</v>
      </c>
      <c r="B702" s="19" t="s">
        <v>203</v>
      </c>
      <c r="C702" s="19" t="s">
        <v>230</v>
      </c>
      <c r="D702" s="19" t="s">
        <v>204</v>
      </c>
      <c r="E702" s="19" t="s">
        <v>21</v>
      </c>
      <c r="F702" s="20"/>
      <c r="G702" s="20"/>
      <c r="H702" s="20"/>
    </row>
    <row r="703" spans="1:8" x14ac:dyDescent="0.3">
      <c r="A703" s="19" t="s">
        <v>219</v>
      </c>
      <c r="B703" s="19" t="s">
        <v>203</v>
      </c>
      <c r="C703" s="19" t="s">
        <v>83</v>
      </c>
      <c r="D703" s="19" t="s">
        <v>204</v>
      </c>
      <c r="E703" s="19" t="s">
        <v>21</v>
      </c>
      <c r="F703" s="20">
        <v>18</v>
      </c>
      <c r="G703" s="20">
        <v>18</v>
      </c>
      <c r="H703" s="20"/>
    </row>
    <row r="704" spans="1:8" x14ac:dyDescent="0.3">
      <c r="A704" s="19" t="s">
        <v>219</v>
      </c>
      <c r="B704" s="19" t="s">
        <v>203</v>
      </c>
      <c r="C704" s="19" t="s">
        <v>35</v>
      </c>
      <c r="D704" s="19" t="s">
        <v>204</v>
      </c>
      <c r="E704" s="19" t="s">
        <v>21</v>
      </c>
      <c r="F704" s="20">
        <v>981</v>
      </c>
      <c r="G704" s="20">
        <v>1000</v>
      </c>
      <c r="H704" s="20"/>
    </row>
    <row r="705" spans="1:8" x14ac:dyDescent="0.3">
      <c r="A705" s="19" t="s">
        <v>219</v>
      </c>
      <c r="B705" s="19" t="s">
        <v>205</v>
      </c>
      <c r="C705" s="19" t="s">
        <v>22</v>
      </c>
      <c r="D705" s="19" t="s">
        <v>206</v>
      </c>
      <c r="E705" s="19" t="s">
        <v>21</v>
      </c>
      <c r="F705" s="20">
        <v>11300</v>
      </c>
      <c r="G705" s="20">
        <v>12000</v>
      </c>
      <c r="H705" s="20">
        <v>570000</v>
      </c>
    </row>
    <row r="706" spans="1:8" x14ac:dyDescent="0.3">
      <c r="A706" s="19" t="s">
        <v>219</v>
      </c>
      <c r="B706" s="19" t="s">
        <v>205</v>
      </c>
      <c r="C706" s="19" t="s">
        <v>23</v>
      </c>
      <c r="D706" s="19" t="s">
        <v>206</v>
      </c>
      <c r="E706" s="19" t="s">
        <v>21</v>
      </c>
      <c r="F706" s="20">
        <v>21200</v>
      </c>
      <c r="G706" s="20">
        <v>15000</v>
      </c>
      <c r="H706" s="20">
        <v>400000</v>
      </c>
    </row>
    <row r="707" spans="1:8" x14ac:dyDescent="0.3">
      <c r="A707" s="19" t="s">
        <v>219</v>
      </c>
      <c r="B707" s="19" t="s">
        <v>205</v>
      </c>
      <c r="C707" s="19" t="s">
        <v>44</v>
      </c>
      <c r="D707" s="19" t="s">
        <v>206</v>
      </c>
      <c r="E707" s="19" t="s">
        <v>21</v>
      </c>
      <c r="F707" s="20">
        <v>27600</v>
      </c>
      <c r="G707" s="20">
        <v>28000</v>
      </c>
      <c r="H707" s="20">
        <v>700000</v>
      </c>
    </row>
    <row r="708" spans="1:8" x14ac:dyDescent="0.3">
      <c r="A708" s="19" t="s">
        <v>219</v>
      </c>
      <c r="B708" s="19" t="s">
        <v>205</v>
      </c>
      <c r="C708" s="19" t="s">
        <v>25</v>
      </c>
      <c r="D708" s="19" t="s">
        <v>206</v>
      </c>
      <c r="E708" s="19" t="s">
        <v>21</v>
      </c>
      <c r="F708" s="20">
        <v>71000</v>
      </c>
      <c r="G708" s="20">
        <v>71000</v>
      </c>
      <c r="H708" s="20">
        <v>1200000</v>
      </c>
    </row>
    <row r="709" spans="1:8" x14ac:dyDescent="0.3">
      <c r="A709" s="19" t="s">
        <v>219</v>
      </c>
      <c r="B709" s="19" t="s">
        <v>205</v>
      </c>
      <c r="C709" s="19" t="s">
        <v>288</v>
      </c>
      <c r="D709" s="19" t="s">
        <v>206</v>
      </c>
      <c r="E709" s="19" t="s">
        <v>21</v>
      </c>
      <c r="F709" s="20">
        <v>26000</v>
      </c>
      <c r="G709" s="20">
        <v>27000</v>
      </c>
      <c r="H709" s="20">
        <v>91000</v>
      </c>
    </row>
    <row r="710" spans="1:8" x14ac:dyDescent="0.3">
      <c r="A710" s="19" t="s">
        <v>219</v>
      </c>
      <c r="B710" s="19" t="s">
        <v>205</v>
      </c>
      <c r="C710" s="19" t="s">
        <v>55</v>
      </c>
      <c r="D710" s="19" t="s">
        <v>206</v>
      </c>
      <c r="E710" s="19" t="s">
        <v>21</v>
      </c>
      <c r="F710" s="20">
        <v>55000</v>
      </c>
      <c r="G710" s="20">
        <v>61000</v>
      </c>
      <c r="H710" s="20">
        <v>1400000</v>
      </c>
    </row>
    <row r="711" spans="1:8" x14ac:dyDescent="0.3">
      <c r="A711" s="19" t="s">
        <v>219</v>
      </c>
      <c r="B711" s="19" t="s">
        <v>205</v>
      </c>
      <c r="C711" s="19" t="s">
        <v>29</v>
      </c>
      <c r="D711" s="19" t="s">
        <v>206</v>
      </c>
      <c r="E711" s="19" t="s">
        <v>21</v>
      </c>
      <c r="F711" s="20">
        <v>1860</v>
      </c>
      <c r="G711" s="20">
        <v>1800</v>
      </c>
      <c r="H711" s="20"/>
    </row>
    <row r="712" spans="1:8" x14ac:dyDescent="0.3">
      <c r="A712" s="19" t="s">
        <v>219</v>
      </c>
      <c r="B712" s="19" t="s">
        <v>205</v>
      </c>
      <c r="C712" s="19" t="s">
        <v>137</v>
      </c>
      <c r="D712" s="19" t="s">
        <v>206</v>
      </c>
      <c r="E712" s="19" t="s">
        <v>21</v>
      </c>
      <c r="F712" s="20">
        <v>5460</v>
      </c>
      <c r="G712" s="20">
        <v>5000</v>
      </c>
      <c r="H712" s="20"/>
    </row>
    <row r="713" spans="1:8" x14ac:dyDescent="0.3">
      <c r="A713" s="19" t="s">
        <v>219</v>
      </c>
      <c r="B713" s="19" t="s">
        <v>205</v>
      </c>
      <c r="C713" s="19" t="s">
        <v>24</v>
      </c>
      <c r="D713" s="19" t="s">
        <v>206</v>
      </c>
      <c r="E713" s="19" t="s">
        <v>21</v>
      </c>
      <c r="F713" s="20">
        <v>20000</v>
      </c>
      <c r="G713" s="20">
        <v>12000</v>
      </c>
      <c r="H713" s="20">
        <v>700000</v>
      </c>
    </row>
    <row r="714" spans="1:8" x14ac:dyDescent="0.3">
      <c r="A714" s="19" t="s">
        <v>219</v>
      </c>
      <c r="B714" s="19" t="s">
        <v>205</v>
      </c>
      <c r="C714" s="19" t="s">
        <v>157</v>
      </c>
      <c r="D714" s="19" t="s">
        <v>206</v>
      </c>
      <c r="E714" s="19" t="s">
        <v>21</v>
      </c>
      <c r="F714" s="20">
        <v>3100</v>
      </c>
      <c r="G714" s="20">
        <v>3500</v>
      </c>
      <c r="H714" s="20"/>
    </row>
    <row r="715" spans="1:8" x14ac:dyDescent="0.3">
      <c r="A715" s="19" t="s">
        <v>219</v>
      </c>
      <c r="B715" s="19" t="s">
        <v>205</v>
      </c>
      <c r="C715" s="19" t="s">
        <v>49</v>
      </c>
      <c r="D715" s="19" t="s">
        <v>206</v>
      </c>
      <c r="E715" s="19" t="s">
        <v>21</v>
      </c>
      <c r="F715" s="20">
        <v>1570</v>
      </c>
      <c r="G715" s="20">
        <v>1700</v>
      </c>
      <c r="H715" s="20">
        <v>310000</v>
      </c>
    </row>
    <row r="716" spans="1:8" x14ac:dyDescent="0.3">
      <c r="A716" s="19" t="s">
        <v>219</v>
      </c>
      <c r="B716" s="19" t="s">
        <v>205</v>
      </c>
      <c r="C716" s="19" t="s">
        <v>41</v>
      </c>
      <c r="D716" s="19" t="s">
        <v>206</v>
      </c>
      <c r="E716" s="19" t="s">
        <v>21</v>
      </c>
      <c r="F716" s="20">
        <v>32300</v>
      </c>
      <c r="G716" s="20">
        <v>33000</v>
      </c>
      <c r="H716" s="20">
        <v>150000</v>
      </c>
    </row>
    <row r="717" spans="1:8" x14ac:dyDescent="0.3">
      <c r="A717" s="19" t="s">
        <v>219</v>
      </c>
      <c r="B717" s="19" t="s">
        <v>205</v>
      </c>
      <c r="C717" s="19" t="s">
        <v>32</v>
      </c>
      <c r="D717" s="19" t="s">
        <v>206</v>
      </c>
      <c r="E717" s="19" t="s">
        <v>21</v>
      </c>
      <c r="F717" s="20">
        <v>3260</v>
      </c>
      <c r="G717" s="20">
        <v>4500</v>
      </c>
      <c r="H717" s="20">
        <v>460000</v>
      </c>
    </row>
    <row r="718" spans="1:8" x14ac:dyDescent="0.3">
      <c r="A718" s="19" t="s">
        <v>219</v>
      </c>
      <c r="B718" s="19" t="s">
        <v>205</v>
      </c>
      <c r="C718" s="19" t="s">
        <v>63</v>
      </c>
      <c r="D718" s="19" t="s">
        <v>206</v>
      </c>
      <c r="E718" s="19" t="s">
        <v>21</v>
      </c>
      <c r="F718" s="20">
        <v>4100</v>
      </c>
      <c r="G718" s="20">
        <v>4600</v>
      </c>
      <c r="H718" s="20"/>
    </row>
    <row r="719" spans="1:8" x14ac:dyDescent="0.3">
      <c r="A719" s="19" t="s">
        <v>219</v>
      </c>
      <c r="B719" s="19" t="s">
        <v>205</v>
      </c>
      <c r="C719" s="19" t="s">
        <v>230</v>
      </c>
      <c r="D719" s="19" t="s">
        <v>206</v>
      </c>
      <c r="E719" s="19" t="s">
        <v>21</v>
      </c>
      <c r="F719" s="20"/>
      <c r="G719" s="20"/>
      <c r="H719" s="20"/>
    </row>
    <row r="720" spans="1:8" x14ac:dyDescent="0.3">
      <c r="A720" s="19" t="s">
        <v>219</v>
      </c>
      <c r="B720" s="19" t="s">
        <v>205</v>
      </c>
      <c r="C720" s="19" t="s">
        <v>34</v>
      </c>
      <c r="D720" s="19" t="s">
        <v>206</v>
      </c>
      <c r="E720" s="19" t="s">
        <v>21</v>
      </c>
      <c r="F720" s="20">
        <v>11000</v>
      </c>
      <c r="G720" s="20">
        <v>11000</v>
      </c>
      <c r="H720" s="20">
        <v>23000</v>
      </c>
    </row>
    <row r="721" spans="1:8" x14ac:dyDescent="0.3">
      <c r="A721" s="19" t="s">
        <v>219</v>
      </c>
      <c r="B721" s="19" t="s">
        <v>205</v>
      </c>
      <c r="C721" s="19" t="s">
        <v>35</v>
      </c>
      <c r="D721" s="19" t="s">
        <v>206</v>
      </c>
      <c r="E721" s="19" t="s">
        <v>21</v>
      </c>
      <c r="F721" s="20">
        <v>294000</v>
      </c>
      <c r="G721" s="20">
        <v>290000</v>
      </c>
      <c r="H721" s="20">
        <v>6000000</v>
      </c>
    </row>
    <row r="722" spans="1:8" x14ac:dyDescent="0.3">
      <c r="A722" s="21" t="s">
        <v>219</v>
      </c>
      <c r="B722" s="21" t="s">
        <v>265</v>
      </c>
      <c r="C722" s="21" t="s">
        <v>22</v>
      </c>
      <c r="D722" s="21" t="s">
        <v>266</v>
      </c>
      <c r="E722" s="21" t="s">
        <v>47</v>
      </c>
      <c r="F722" s="22">
        <v>600</v>
      </c>
      <c r="G722" s="22">
        <v>780</v>
      </c>
      <c r="H722" s="22">
        <v>170000</v>
      </c>
    </row>
    <row r="723" spans="1:8" x14ac:dyDescent="0.3">
      <c r="A723" s="21" t="s">
        <v>219</v>
      </c>
      <c r="B723" s="21" t="s">
        <v>265</v>
      </c>
      <c r="C723" s="19" t="s">
        <v>220</v>
      </c>
      <c r="D723" s="21" t="s">
        <v>266</v>
      </c>
      <c r="E723" s="21" t="s">
        <v>47</v>
      </c>
      <c r="F723" s="22">
        <v>360</v>
      </c>
      <c r="G723" s="22">
        <v>360</v>
      </c>
      <c r="H723" s="22">
        <v>50000</v>
      </c>
    </row>
    <row r="724" spans="1:8" x14ac:dyDescent="0.3">
      <c r="A724" s="21" t="s">
        <v>219</v>
      </c>
      <c r="B724" s="21" t="s">
        <v>265</v>
      </c>
      <c r="C724" s="21" t="s">
        <v>267</v>
      </c>
      <c r="D724" s="21" t="s">
        <v>266</v>
      </c>
      <c r="E724" s="21" t="s">
        <v>47</v>
      </c>
      <c r="F724" s="22">
        <v>3040</v>
      </c>
      <c r="G724" s="22">
        <v>3200</v>
      </c>
      <c r="H724" s="22">
        <v>110000</v>
      </c>
    </row>
    <row r="725" spans="1:8" x14ac:dyDescent="0.3">
      <c r="A725" s="21" t="s">
        <v>219</v>
      </c>
      <c r="B725" s="21" t="s">
        <v>265</v>
      </c>
      <c r="C725" s="21" t="s">
        <v>48</v>
      </c>
      <c r="D725" s="21" t="s">
        <v>266</v>
      </c>
      <c r="E725" s="21" t="s">
        <v>47</v>
      </c>
      <c r="F725" s="22">
        <v>230</v>
      </c>
      <c r="G725" s="22">
        <v>240</v>
      </c>
      <c r="H725" s="22">
        <v>15000</v>
      </c>
    </row>
    <row r="726" spans="1:8" x14ac:dyDescent="0.3">
      <c r="A726" s="21" t="s">
        <v>219</v>
      </c>
      <c r="B726" s="21" t="s">
        <v>265</v>
      </c>
      <c r="C726" s="21" t="s">
        <v>61</v>
      </c>
      <c r="D726" s="21" t="s">
        <v>266</v>
      </c>
      <c r="E726" s="21" t="s">
        <v>47</v>
      </c>
      <c r="F726" s="22">
        <v>300</v>
      </c>
      <c r="G726" s="22">
        <v>300</v>
      </c>
      <c r="H726" s="22">
        <v>30000</v>
      </c>
    </row>
    <row r="727" spans="1:8" x14ac:dyDescent="0.3">
      <c r="A727" s="21" t="s">
        <v>219</v>
      </c>
      <c r="B727" s="21" t="s">
        <v>265</v>
      </c>
      <c r="C727" s="21" t="s">
        <v>62</v>
      </c>
      <c r="D727" s="21" t="s">
        <v>266</v>
      </c>
      <c r="E727" s="21" t="s">
        <v>47</v>
      </c>
      <c r="F727" s="22">
        <v>1930</v>
      </c>
      <c r="G727" s="22">
        <v>1900</v>
      </c>
      <c r="H727" s="22"/>
    </row>
    <row r="728" spans="1:8" x14ac:dyDescent="0.3">
      <c r="A728" s="21" t="s">
        <v>219</v>
      </c>
      <c r="B728" s="21" t="s">
        <v>265</v>
      </c>
      <c r="C728" s="21" t="s">
        <v>81</v>
      </c>
      <c r="D728" s="21" t="s">
        <v>266</v>
      </c>
      <c r="E728" s="21" t="s">
        <v>47</v>
      </c>
      <c r="F728" s="22">
        <v>432</v>
      </c>
      <c r="G728" s="22">
        <v>390</v>
      </c>
      <c r="H728" s="22">
        <v>37000</v>
      </c>
    </row>
    <row r="729" spans="1:8" x14ac:dyDescent="0.3">
      <c r="A729" s="21" t="s">
        <v>219</v>
      </c>
      <c r="B729" s="21" t="s">
        <v>265</v>
      </c>
      <c r="C729" s="21" t="s">
        <v>49</v>
      </c>
      <c r="D729" s="21" t="s">
        <v>266</v>
      </c>
      <c r="E729" s="21" t="s">
        <v>47</v>
      </c>
      <c r="F729" s="22">
        <v>332</v>
      </c>
      <c r="G729" s="22">
        <v>230</v>
      </c>
      <c r="H729" s="22">
        <v>46000</v>
      </c>
    </row>
    <row r="730" spans="1:8" x14ac:dyDescent="0.3">
      <c r="A730" s="21" t="s">
        <v>219</v>
      </c>
      <c r="B730" s="21" t="s">
        <v>265</v>
      </c>
      <c r="C730" s="21" t="s">
        <v>166</v>
      </c>
      <c r="D730" s="21" t="s">
        <v>266</v>
      </c>
      <c r="E730" s="21" t="s">
        <v>47</v>
      </c>
      <c r="F730" s="22">
        <v>345</v>
      </c>
      <c r="G730" s="22">
        <v>370</v>
      </c>
      <c r="H730" s="22"/>
    </row>
    <row r="731" spans="1:8" x14ac:dyDescent="0.3">
      <c r="A731" s="21" t="s">
        <v>219</v>
      </c>
      <c r="B731" s="21" t="s">
        <v>265</v>
      </c>
      <c r="C731" s="19" t="s">
        <v>87</v>
      </c>
      <c r="D731" s="21" t="s">
        <v>266</v>
      </c>
      <c r="E731" s="21" t="s">
        <v>47</v>
      </c>
      <c r="F731" s="22">
        <v>1260</v>
      </c>
      <c r="G731" s="22">
        <v>1300</v>
      </c>
      <c r="H731" s="22">
        <v>28000</v>
      </c>
    </row>
    <row r="732" spans="1:8" x14ac:dyDescent="0.3">
      <c r="A732" s="21" t="s">
        <v>219</v>
      </c>
      <c r="B732" s="21" t="s">
        <v>265</v>
      </c>
      <c r="C732" s="21" t="s">
        <v>77</v>
      </c>
      <c r="D732" s="21" t="s">
        <v>266</v>
      </c>
      <c r="E732" s="21" t="s">
        <v>47</v>
      </c>
      <c r="F732" s="22">
        <v>286</v>
      </c>
      <c r="G732" s="22">
        <v>200</v>
      </c>
      <c r="H732" s="22">
        <v>5900</v>
      </c>
    </row>
    <row r="733" spans="1:8" x14ac:dyDescent="0.3">
      <c r="A733" s="21" t="s">
        <v>219</v>
      </c>
      <c r="B733" s="21" t="s">
        <v>265</v>
      </c>
      <c r="C733" s="21" t="s">
        <v>268</v>
      </c>
      <c r="D733" s="21" t="s">
        <v>266</v>
      </c>
      <c r="E733" s="21" t="s">
        <v>47</v>
      </c>
      <c r="F733" s="22">
        <v>100</v>
      </c>
      <c r="G733" s="22">
        <v>100</v>
      </c>
      <c r="H733" s="22">
        <v>2000</v>
      </c>
    </row>
    <row r="734" spans="1:8" x14ac:dyDescent="0.3">
      <c r="A734" s="21" t="s">
        <v>219</v>
      </c>
      <c r="B734" s="21" t="s">
        <v>265</v>
      </c>
      <c r="C734" s="21" t="s">
        <v>208</v>
      </c>
      <c r="D734" s="21" t="s">
        <v>266</v>
      </c>
      <c r="E734" s="21" t="s">
        <v>47</v>
      </c>
      <c r="F734" s="22">
        <v>9210</v>
      </c>
      <c r="G734" s="22">
        <v>9400</v>
      </c>
      <c r="H734" s="22">
        <v>490000</v>
      </c>
    </row>
    <row r="735" spans="1:8" x14ac:dyDescent="0.3">
      <c r="A735" s="23" t="s">
        <v>219</v>
      </c>
      <c r="B735" s="23" t="s">
        <v>269</v>
      </c>
      <c r="C735" s="23" t="s">
        <v>22</v>
      </c>
      <c r="D735" s="23" t="s">
        <v>270</v>
      </c>
      <c r="E735" s="23" t="s">
        <v>47</v>
      </c>
      <c r="F735" s="24">
        <v>200</v>
      </c>
      <c r="G735" s="24">
        <v>200</v>
      </c>
      <c r="H735" s="24">
        <v>35000</v>
      </c>
    </row>
    <row r="736" spans="1:8" x14ac:dyDescent="0.3">
      <c r="A736" s="23" t="s">
        <v>219</v>
      </c>
      <c r="B736" s="23" t="s">
        <v>269</v>
      </c>
      <c r="C736" s="23" t="s">
        <v>48</v>
      </c>
      <c r="D736" s="23" t="s">
        <v>270</v>
      </c>
      <c r="E736" s="23" t="s">
        <v>47</v>
      </c>
      <c r="F736" s="24">
        <v>12</v>
      </c>
      <c r="G736" s="24">
        <v>13</v>
      </c>
      <c r="H736" s="24">
        <v>670</v>
      </c>
    </row>
    <row r="737" spans="1:8" x14ac:dyDescent="0.3">
      <c r="A737" s="23" t="s">
        <v>219</v>
      </c>
      <c r="B737" s="23" t="s">
        <v>269</v>
      </c>
      <c r="C737" s="23" t="s">
        <v>193</v>
      </c>
      <c r="D737" s="23" t="s">
        <v>270</v>
      </c>
      <c r="E737" s="23" t="s">
        <v>47</v>
      </c>
      <c r="F737" s="24">
        <v>41</v>
      </c>
      <c r="G737" s="24"/>
      <c r="H737" s="24"/>
    </row>
    <row r="738" spans="1:8" x14ac:dyDescent="0.3">
      <c r="A738" s="23" t="s">
        <v>219</v>
      </c>
      <c r="B738" s="23" t="s">
        <v>269</v>
      </c>
      <c r="C738" s="23" t="s">
        <v>62</v>
      </c>
      <c r="D738" s="23" t="s">
        <v>270</v>
      </c>
      <c r="E738" s="23" t="s">
        <v>47</v>
      </c>
      <c r="F738" s="24">
        <v>9</v>
      </c>
      <c r="G738" s="24">
        <v>10</v>
      </c>
      <c r="H738" s="24">
        <v>720</v>
      </c>
    </row>
    <row r="739" spans="1:8" x14ac:dyDescent="0.3">
      <c r="A739" s="23" t="s">
        <v>219</v>
      </c>
      <c r="B739" s="23" t="s">
        <v>269</v>
      </c>
      <c r="C739" s="23" t="s">
        <v>49</v>
      </c>
      <c r="D739" s="23" t="s">
        <v>270</v>
      </c>
      <c r="E739" s="23" t="s">
        <v>47</v>
      </c>
      <c r="F739" s="24">
        <v>10</v>
      </c>
      <c r="G739" s="24">
        <v>9</v>
      </c>
      <c r="H739" s="24">
        <v>540</v>
      </c>
    </row>
    <row r="740" spans="1:8" x14ac:dyDescent="0.3">
      <c r="A740" s="23" t="s">
        <v>219</v>
      </c>
      <c r="B740" s="23" t="s">
        <v>269</v>
      </c>
      <c r="C740" s="23" t="s">
        <v>207</v>
      </c>
      <c r="D740" s="23" t="s">
        <v>270</v>
      </c>
      <c r="E740" s="23" t="s">
        <v>47</v>
      </c>
      <c r="F740" s="24">
        <v>80</v>
      </c>
      <c r="G740" s="24">
        <v>110</v>
      </c>
      <c r="H740" s="24">
        <v>2900</v>
      </c>
    </row>
    <row r="741" spans="1:8" x14ac:dyDescent="0.3">
      <c r="A741" s="23" t="s">
        <v>219</v>
      </c>
      <c r="B741" s="23" t="s">
        <v>269</v>
      </c>
      <c r="C741" s="23" t="s">
        <v>271</v>
      </c>
      <c r="D741" s="23" t="s">
        <v>270</v>
      </c>
      <c r="E741" s="23" t="s">
        <v>47</v>
      </c>
      <c r="F741" s="24">
        <v>102</v>
      </c>
      <c r="G741" s="24">
        <v>100</v>
      </c>
      <c r="H741" s="24">
        <v>6200</v>
      </c>
    </row>
    <row r="742" spans="1:8" x14ac:dyDescent="0.3">
      <c r="A742" s="23" t="s">
        <v>219</v>
      </c>
      <c r="B742" s="23" t="s">
        <v>269</v>
      </c>
      <c r="C742" s="23" t="s">
        <v>77</v>
      </c>
      <c r="D742" s="23" t="s">
        <v>270</v>
      </c>
      <c r="E742" s="23" t="s">
        <v>47</v>
      </c>
      <c r="F742" s="24">
        <v>9</v>
      </c>
      <c r="G742" s="24">
        <v>10</v>
      </c>
      <c r="H742" s="24">
        <v>2500</v>
      </c>
    </row>
    <row r="743" spans="1:8" x14ac:dyDescent="0.3">
      <c r="A743" s="23" t="s">
        <v>219</v>
      </c>
      <c r="B743" s="23" t="s">
        <v>269</v>
      </c>
      <c r="C743" s="23" t="s">
        <v>268</v>
      </c>
      <c r="D743" s="23" t="s">
        <v>270</v>
      </c>
      <c r="E743" s="23" t="s">
        <v>47</v>
      </c>
      <c r="F743" s="24"/>
      <c r="G743" s="24"/>
      <c r="H743" s="24"/>
    </row>
    <row r="744" spans="1:8" x14ac:dyDescent="0.3">
      <c r="A744" s="23" t="s">
        <v>219</v>
      </c>
      <c r="B744" s="23" t="s">
        <v>269</v>
      </c>
      <c r="C744" s="23" t="s">
        <v>209</v>
      </c>
      <c r="D744" s="23" t="s">
        <v>270</v>
      </c>
      <c r="E744" s="23" t="s">
        <v>47</v>
      </c>
      <c r="F744" s="24">
        <v>460</v>
      </c>
      <c r="G744" s="24">
        <v>450</v>
      </c>
      <c r="H744" s="24">
        <v>49000</v>
      </c>
    </row>
    <row r="745" spans="1:8" x14ac:dyDescent="0.3">
      <c r="A745" s="19" t="s">
        <v>219</v>
      </c>
      <c r="B745" s="19" t="s">
        <v>210</v>
      </c>
      <c r="C745" s="19" t="s">
        <v>22</v>
      </c>
      <c r="D745" s="19" t="s">
        <v>211</v>
      </c>
      <c r="E745" s="19" t="s">
        <v>21</v>
      </c>
      <c r="F745" s="20">
        <v>920</v>
      </c>
      <c r="G745" s="20">
        <v>1000</v>
      </c>
      <c r="H745" s="20">
        <v>570000</v>
      </c>
    </row>
    <row r="746" spans="1:8" x14ac:dyDescent="0.3">
      <c r="A746" s="19" t="s">
        <v>219</v>
      </c>
      <c r="B746" s="19" t="s">
        <v>210</v>
      </c>
      <c r="C746" s="19" t="s">
        <v>119</v>
      </c>
      <c r="D746" s="19" t="s">
        <v>211</v>
      </c>
      <c r="E746" s="19" t="s">
        <v>21</v>
      </c>
      <c r="F746" s="20">
        <v>840</v>
      </c>
      <c r="G746" s="20">
        <v>840</v>
      </c>
      <c r="H746" s="20">
        <v>10000</v>
      </c>
    </row>
    <row r="747" spans="1:8" x14ac:dyDescent="0.3">
      <c r="A747" s="19" t="s">
        <v>219</v>
      </c>
      <c r="B747" s="19" t="s">
        <v>210</v>
      </c>
      <c r="C747" s="19" t="s">
        <v>23</v>
      </c>
      <c r="D747" s="19" t="s">
        <v>211</v>
      </c>
      <c r="E747" s="19" t="s">
        <v>21</v>
      </c>
      <c r="F747" s="20">
        <v>1700</v>
      </c>
      <c r="G747" s="20">
        <v>1700</v>
      </c>
      <c r="H747" s="20"/>
    </row>
    <row r="748" spans="1:8" x14ac:dyDescent="0.3">
      <c r="A748" s="19" t="s">
        <v>219</v>
      </c>
      <c r="B748" s="19" t="s">
        <v>210</v>
      </c>
      <c r="C748" s="19" t="s">
        <v>25</v>
      </c>
      <c r="D748" s="19" t="s">
        <v>211</v>
      </c>
      <c r="E748" s="19" t="s">
        <v>21</v>
      </c>
      <c r="F748" s="20">
        <v>67000</v>
      </c>
      <c r="G748" s="20">
        <v>67000</v>
      </c>
      <c r="H748" s="20">
        <v>2500000</v>
      </c>
    </row>
    <row r="749" spans="1:8" x14ac:dyDescent="0.3">
      <c r="A749" s="19" t="s">
        <v>219</v>
      </c>
      <c r="B749" s="19" t="s">
        <v>210</v>
      </c>
      <c r="C749" s="19" t="s">
        <v>259</v>
      </c>
      <c r="D749" s="19" t="s">
        <v>211</v>
      </c>
      <c r="E749" s="19" t="s">
        <v>21</v>
      </c>
      <c r="F749" s="20"/>
      <c r="G749" s="20">
        <v>2400</v>
      </c>
      <c r="H749" s="20"/>
    </row>
    <row r="750" spans="1:8" x14ac:dyDescent="0.3">
      <c r="A750" s="19" t="s">
        <v>219</v>
      </c>
      <c r="B750" s="19" t="s">
        <v>210</v>
      </c>
      <c r="C750" s="19" t="s">
        <v>120</v>
      </c>
      <c r="D750" s="19" t="s">
        <v>211</v>
      </c>
      <c r="E750" s="19" t="s">
        <v>21</v>
      </c>
      <c r="F750" s="20">
        <v>1900</v>
      </c>
      <c r="G750" s="20">
        <v>2000</v>
      </c>
      <c r="H750" s="20">
        <v>29000</v>
      </c>
    </row>
    <row r="751" spans="1:8" x14ac:dyDescent="0.3">
      <c r="A751" s="19" t="s">
        <v>219</v>
      </c>
      <c r="B751" s="19" t="s">
        <v>210</v>
      </c>
      <c r="C751" s="19" t="s">
        <v>49</v>
      </c>
      <c r="D751" s="19" t="s">
        <v>211</v>
      </c>
      <c r="E751" s="19" t="s">
        <v>21</v>
      </c>
      <c r="F751" s="20">
        <v>1700</v>
      </c>
      <c r="G751" s="20">
        <v>2400</v>
      </c>
      <c r="H751" s="20">
        <v>950000</v>
      </c>
    </row>
    <row r="752" spans="1:8" x14ac:dyDescent="0.3">
      <c r="A752" s="19" t="s">
        <v>219</v>
      </c>
      <c r="B752" s="19" t="s">
        <v>210</v>
      </c>
      <c r="C752" s="19" t="s">
        <v>141</v>
      </c>
      <c r="D752" s="19" t="s">
        <v>211</v>
      </c>
      <c r="E752" s="19" t="s">
        <v>21</v>
      </c>
      <c r="F752" s="20">
        <v>650</v>
      </c>
      <c r="G752" s="20">
        <v>700</v>
      </c>
      <c r="H752" s="20">
        <v>3400</v>
      </c>
    </row>
    <row r="753" spans="1:8" x14ac:dyDescent="0.3">
      <c r="A753" s="19" t="s">
        <v>219</v>
      </c>
      <c r="B753" s="19" t="s">
        <v>210</v>
      </c>
      <c r="C753" s="19" t="s">
        <v>32</v>
      </c>
      <c r="D753" s="19" t="s">
        <v>211</v>
      </c>
      <c r="E753" s="19" t="s">
        <v>21</v>
      </c>
      <c r="F753" s="20">
        <v>1500</v>
      </c>
      <c r="G753" s="20">
        <v>2000</v>
      </c>
      <c r="H753" s="20">
        <v>400000</v>
      </c>
    </row>
    <row r="754" spans="1:8" x14ac:dyDescent="0.3">
      <c r="A754" s="19" t="s">
        <v>219</v>
      </c>
      <c r="B754" s="19" t="s">
        <v>210</v>
      </c>
      <c r="C754" s="19" t="s">
        <v>63</v>
      </c>
      <c r="D754" s="19" t="s">
        <v>211</v>
      </c>
      <c r="E754" s="19" t="s">
        <v>21</v>
      </c>
      <c r="F754" s="20">
        <v>1300</v>
      </c>
      <c r="G754" s="20">
        <v>1300</v>
      </c>
      <c r="H754" s="20"/>
    </row>
    <row r="755" spans="1:8" x14ac:dyDescent="0.3">
      <c r="A755" s="19" t="s">
        <v>219</v>
      </c>
      <c r="B755" s="19" t="s">
        <v>210</v>
      </c>
      <c r="C755" s="19" t="s">
        <v>58</v>
      </c>
      <c r="D755" s="19" t="s">
        <v>211</v>
      </c>
      <c r="E755" s="19" t="s">
        <v>21</v>
      </c>
      <c r="F755" s="20">
        <v>700</v>
      </c>
      <c r="G755" s="20">
        <v>800</v>
      </c>
      <c r="H755" s="20">
        <v>66000</v>
      </c>
    </row>
    <row r="756" spans="1:8" x14ac:dyDescent="0.3">
      <c r="A756" s="19" t="s">
        <v>219</v>
      </c>
      <c r="B756" s="19" t="s">
        <v>210</v>
      </c>
      <c r="C756" s="19" t="s">
        <v>230</v>
      </c>
      <c r="D756" s="19" t="s">
        <v>211</v>
      </c>
      <c r="E756" s="19" t="s">
        <v>21</v>
      </c>
      <c r="F756" s="20"/>
      <c r="G756" s="20"/>
      <c r="H756" s="20"/>
    </row>
    <row r="757" spans="1:8" x14ac:dyDescent="0.3">
      <c r="A757" s="19" t="s">
        <v>219</v>
      </c>
      <c r="B757" s="19" t="s">
        <v>210</v>
      </c>
      <c r="C757" s="19" t="s">
        <v>34</v>
      </c>
      <c r="D757" s="19" t="s">
        <v>211</v>
      </c>
      <c r="E757" s="19" t="s">
        <v>21</v>
      </c>
      <c r="F757" s="20">
        <v>3400</v>
      </c>
      <c r="G757" s="20">
        <v>3000</v>
      </c>
      <c r="H757" s="20">
        <v>170000</v>
      </c>
    </row>
    <row r="758" spans="1:8" x14ac:dyDescent="0.3">
      <c r="A758" s="19" t="s">
        <v>219</v>
      </c>
      <c r="B758" s="19" t="s">
        <v>210</v>
      </c>
      <c r="C758" s="19" t="s">
        <v>35</v>
      </c>
      <c r="D758" s="19" t="s">
        <v>211</v>
      </c>
      <c r="E758" s="19" t="s">
        <v>21</v>
      </c>
      <c r="F758" s="20">
        <v>82000</v>
      </c>
      <c r="G758" s="20">
        <v>85000</v>
      </c>
      <c r="H758" s="20">
        <v>4700000</v>
      </c>
    </row>
    <row r="759" spans="1:8" x14ac:dyDescent="0.3">
      <c r="A759" s="19" t="s">
        <v>219</v>
      </c>
      <c r="B759" s="19" t="s">
        <v>212</v>
      </c>
      <c r="C759" s="19" t="s">
        <v>22</v>
      </c>
      <c r="D759" s="19" t="s">
        <v>213</v>
      </c>
      <c r="E759" s="19" t="s">
        <v>21</v>
      </c>
      <c r="F759" s="20"/>
      <c r="G759" s="20"/>
      <c r="H759" s="20">
        <v>10000000</v>
      </c>
    </row>
    <row r="760" spans="1:8" x14ac:dyDescent="0.3">
      <c r="A760" s="19" t="s">
        <v>219</v>
      </c>
      <c r="B760" s="19" t="s">
        <v>212</v>
      </c>
      <c r="C760" s="19" t="s">
        <v>44</v>
      </c>
      <c r="D760" s="19" t="s">
        <v>213</v>
      </c>
      <c r="E760" s="19" t="s">
        <v>21</v>
      </c>
      <c r="F760" s="20">
        <v>5190</v>
      </c>
      <c r="G760" s="20">
        <v>5300</v>
      </c>
      <c r="H760" s="20">
        <v>94000</v>
      </c>
    </row>
    <row r="761" spans="1:8" x14ac:dyDescent="0.3">
      <c r="A761" s="19" t="s">
        <v>219</v>
      </c>
      <c r="B761" s="19" t="s">
        <v>212</v>
      </c>
      <c r="C761" s="19" t="s">
        <v>25</v>
      </c>
      <c r="D761" s="19" t="s">
        <v>213</v>
      </c>
      <c r="E761" s="19" t="s">
        <v>21</v>
      </c>
      <c r="F761" s="20">
        <v>84000</v>
      </c>
      <c r="G761" s="20">
        <v>82000</v>
      </c>
      <c r="H761" s="20">
        <v>5800000</v>
      </c>
    </row>
    <row r="762" spans="1:8" x14ac:dyDescent="0.3">
      <c r="A762" s="19" t="s">
        <v>219</v>
      </c>
      <c r="B762" s="19" t="s">
        <v>212</v>
      </c>
      <c r="C762" s="19" t="s">
        <v>32</v>
      </c>
      <c r="D762" s="19" t="s">
        <v>213</v>
      </c>
      <c r="E762" s="19" t="s">
        <v>21</v>
      </c>
      <c r="F762" s="20">
        <v>21000</v>
      </c>
      <c r="G762" s="20">
        <v>21000</v>
      </c>
      <c r="H762" s="20">
        <v>5000000</v>
      </c>
    </row>
    <row r="763" spans="1:8" x14ac:dyDescent="0.3">
      <c r="A763" s="19" t="s">
        <v>219</v>
      </c>
      <c r="B763" s="19" t="s">
        <v>212</v>
      </c>
      <c r="C763" s="19" t="s">
        <v>87</v>
      </c>
      <c r="D763" s="19" t="s">
        <v>213</v>
      </c>
      <c r="E763" s="19" t="s">
        <v>21</v>
      </c>
      <c r="F763" s="20">
        <v>8050</v>
      </c>
      <c r="G763" s="20">
        <v>5000</v>
      </c>
      <c r="H763" s="20">
        <v>520000</v>
      </c>
    </row>
    <row r="764" spans="1:8" x14ac:dyDescent="0.3">
      <c r="A764" s="19" t="s">
        <v>219</v>
      </c>
      <c r="B764" s="19" t="s">
        <v>212</v>
      </c>
      <c r="C764" s="19" t="s">
        <v>230</v>
      </c>
      <c r="D764" s="19" t="s">
        <v>213</v>
      </c>
      <c r="E764" s="19" t="s">
        <v>21</v>
      </c>
      <c r="F764" s="20"/>
      <c r="G764" s="20"/>
      <c r="H764" s="20">
        <v>50000</v>
      </c>
    </row>
    <row r="765" spans="1:8" x14ac:dyDescent="0.3">
      <c r="A765" s="19" t="s">
        <v>219</v>
      </c>
      <c r="B765" s="19" t="s">
        <v>212</v>
      </c>
      <c r="C765" s="19" t="s">
        <v>35</v>
      </c>
      <c r="D765" s="19" t="s">
        <v>213</v>
      </c>
      <c r="E765" s="19" t="s">
        <v>21</v>
      </c>
      <c r="F765" s="20">
        <v>118000</v>
      </c>
      <c r="G765" s="20">
        <v>110000</v>
      </c>
      <c r="H765" s="20">
        <v>21000000</v>
      </c>
    </row>
    <row r="766" spans="1:8" x14ac:dyDescent="0.3">
      <c r="A766" s="19" t="s">
        <v>219</v>
      </c>
      <c r="B766" s="19" t="s">
        <v>214</v>
      </c>
      <c r="C766" s="19" t="s">
        <v>44</v>
      </c>
      <c r="D766" s="19" t="s">
        <v>118</v>
      </c>
      <c r="E766" s="19" t="s">
        <v>47</v>
      </c>
      <c r="F766" s="20">
        <v>53</v>
      </c>
      <c r="G766" s="20">
        <v>50</v>
      </c>
      <c r="H766" s="20">
        <v>6600</v>
      </c>
    </row>
    <row r="767" spans="1:8" x14ac:dyDescent="0.3">
      <c r="A767" s="19" t="s">
        <v>219</v>
      </c>
      <c r="B767" s="19" t="s">
        <v>214</v>
      </c>
      <c r="C767" s="19" t="s">
        <v>67</v>
      </c>
      <c r="D767" s="19" t="s">
        <v>118</v>
      </c>
      <c r="E767" s="19" t="s">
        <v>47</v>
      </c>
      <c r="F767" s="20">
        <v>10</v>
      </c>
      <c r="G767" s="20">
        <v>10</v>
      </c>
      <c r="H767" s="20"/>
    </row>
    <row r="768" spans="1:8" x14ac:dyDescent="0.3">
      <c r="A768" s="19" t="s">
        <v>219</v>
      </c>
      <c r="B768" s="19" t="s">
        <v>214</v>
      </c>
      <c r="C768" s="19" t="s">
        <v>25</v>
      </c>
      <c r="D768" s="19" t="s">
        <v>118</v>
      </c>
      <c r="E768" s="19" t="s">
        <v>47</v>
      </c>
      <c r="F768" s="20">
        <v>39</v>
      </c>
      <c r="G768" s="20">
        <v>40</v>
      </c>
      <c r="H768" s="20">
        <v>2900</v>
      </c>
    </row>
    <row r="769" spans="1:8" x14ac:dyDescent="0.3">
      <c r="A769" s="19" t="s">
        <v>219</v>
      </c>
      <c r="B769" s="19" t="s">
        <v>214</v>
      </c>
      <c r="C769" s="19" t="s">
        <v>48</v>
      </c>
      <c r="D769" s="19" t="s">
        <v>118</v>
      </c>
      <c r="E769" s="19" t="s">
        <v>47</v>
      </c>
      <c r="F769" s="20">
        <v>2</v>
      </c>
      <c r="G769" s="20">
        <v>2</v>
      </c>
      <c r="H769" s="20">
        <v>1600</v>
      </c>
    </row>
    <row r="770" spans="1:8" x14ac:dyDescent="0.3">
      <c r="A770" s="19" t="s">
        <v>219</v>
      </c>
      <c r="B770" s="19" t="s">
        <v>214</v>
      </c>
      <c r="C770" s="19" t="s">
        <v>260</v>
      </c>
      <c r="D770" s="19" t="s">
        <v>118</v>
      </c>
      <c r="E770" s="19" t="s">
        <v>47</v>
      </c>
      <c r="F770" s="20"/>
      <c r="G770" s="20"/>
      <c r="H770" s="20"/>
    </row>
    <row r="771" spans="1:8" x14ac:dyDescent="0.3">
      <c r="A771" s="19" t="s">
        <v>219</v>
      </c>
      <c r="B771" s="19" t="s">
        <v>214</v>
      </c>
      <c r="C771" s="19" t="s">
        <v>229</v>
      </c>
      <c r="D771" s="19" t="s">
        <v>118</v>
      </c>
      <c r="E771" s="19" t="s">
        <v>47</v>
      </c>
      <c r="F771" s="20">
        <v>13</v>
      </c>
      <c r="G771" s="20">
        <v>10</v>
      </c>
      <c r="H771" s="20">
        <v>11000</v>
      </c>
    </row>
    <row r="772" spans="1:8" x14ac:dyDescent="0.3">
      <c r="A772" s="19" t="s">
        <v>219</v>
      </c>
      <c r="B772" s="19" t="s">
        <v>214</v>
      </c>
      <c r="C772" s="19" t="s">
        <v>32</v>
      </c>
      <c r="D772" s="19" t="s">
        <v>118</v>
      </c>
      <c r="E772" s="19" t="s">
        <v>47</v>
      </c>
      <c r="F772" s="20">
        <v>37</v>
      </c>
      <c r="G772" s="20">
        <v>40</v>
      </c>
      <c r="H772" s="20"/>
    </row>
    <row r="773" spans="1:8" x14ac:dyDescent="0.3">
      <c r="A773" s="19" t="s">
        <v>219</v>
      </c>
      <c r="B773" s="19" t="s">
        <v>214</v>
      </c>
      <c r="C773" s="19" t="s">
        <v>87</v>
      </c>
      <c r="D773" s="19" t="s">
        <v>118</v>
      </c>
      <c r="E773" s="19" t="s">
        <v>47</v>
      </c>
      <c r="F773" s="20">
        <v>163</v>
      </c>
      <c r="G773" s="20">
        <v>160</v>
      </c>
      <c r="H773" s="20">
        <v>14000</v>
      </c>
    </row>
    <row r="774" spans="1:8" x14ac:dyDescent="0.3">
      <c r="A774" s="19" t="s">
        <v>219</v>
      </c>
      <c r="B774" s="19" t="s">
        <v>214</v>
      </c>
      <c r="C774" s="19" t="s">
        <v>64</v>
      </c>
      <c r="D774" s="19" t="s">
        <v>118</v>
      </c>
      <c r="E774" s="19" t="s">
        <v>47</v>
      </c>
      <c r="F774" s="20">
        <v>24</v>
      </c>
      <c r="G774" s="20">
        <v>20</v>
      </c>
      <c r="H774" s="20"/>
    </row>
    <row r="775" spans="1:8" x14ac:dyDescent="0.3">
      <c r="A775" s="19" t="s">
        <v>219</v>
      </c>
      <c r="B775" s="19" t="s">
        <v>214</v>
      </c>
      <c r="C775" s="19" t="s">
        <v>230</v>
      </c>
      <c r="D775" s="19" t="s">
        <v>118</v>
      </c>
      <c r="E775" s="19" t="s">
        <v>47</v>
      </c>
      <c r="F775" s="20">
        <v>100</v>
      </c>
      <c r="G775" s="20">
        <v>100</v>
      </c>
      <c r="H775" s="20">
        <v>25000</v>
      </c>
    </row>
    <row r="776" spans="1:8" x14ac:dyDescent="0.3">
      <c r="A776" s="19" t="s">
        <v>219</v>
      </c>
      <c r="B776" s="19" t="s">
        <v>214</v>
      </c>
      <c r="C776" s="19" t="s">
        <v>272</v>
      </c>
      <c r="D776" s="19" t="s">
        <v>118</v>
      </c>
      <c r="E776" s="19" t="s">
        <v>47</v>
      </c>
      <c r="F776" s="20">
        <v>1</v>
      </c>
      <c r="G776" s="20">
        <v>1</v>
      </c>
      <c r="H776" s="20"/>
    </row>
    <row r="777" spans="1:8" x14ac:dyDescent="0.3">
      <c r="A777" s="19" t="s">
        <v>219</v>
      </c>
      <c r="B777" s="19" t="s">
        <v>214</v>
      </c>
      <c r="C777" s="19" t="s">
        <v>35</v>
      </c>
      <c r="D777" s="19" t="s">
        <v>118</v>
      </c>
      <c r="E777" s="19" t="s">
        <v>47</v>
      </c>
      <c r="F777" s="20">
        <v>458</v>
      </c>
      <c r="G777" s="20">
        <v>460</v>
      </c>
      <c r="H777" s="20"/>
    </row>
    <row r="778" spans="1:8" x14ac:dyDescent="0.3">
      <c r="A778" s="19" t="s">
        <v>219</v>
      </c>
      <c r="B778" s="19" t="s">
        <v>214</v>
      </c>
      <c r="C778" s="19" t="s">
        <v>88</v>
      </c>
      <c r="D778" s="19" t="s">
        <v>118</v>
      </c>
      <c r="E778" s="19" t="s">
        <v>47</v>
      </c>
      <c r="F778" s="20">
        <v>28</v>
      </c>
      <c r="G778" s="20">
        <v>30</v>
      </c>
      <c r="H778" s="20"/>
    </row>
    <row r="779" spans="1:8" x14ac:dyDescent="0.3">
      <c r="A779" s="19" t="s">
        <v>219</v>
      </c>
      <c r="B779" s="19" t="s">
        <v>215</v>
      </c>
      <c r="C779" s="19" t="s">
        <v>220</v>
      </c>
      <c r="D779" s="19" t="s">
        <v>118</v>
      </c>
      <c r="E779" s="19" t="s">
        <v>21</v>
      </c>
      <c r="F779" s="20">
        <v>20000</v>
      </c>
      <c r="G779" s="20">
        <v>30000</v>
      </c>
      <c r="H779" s="20"/>
    </row>
    <row r="780" spans="1:8" x14ac:dyDescent="0.3">
      <c r="A780" s="19" t="s">
        <v>219</v>
      </c>
      <c r="B780" s="19" t="s">
        <v>215</v>
      </c>
      <c r="C780" s="19" t="s">
        <v>25</v>
      </c>
      <c r="D780" s="19" t="s">
        <v>118</v>
      </c>
      <c r="E780" s="19" t="s">
        <v>21</v>
      </c>
      <c r="F780" s="20">
        <v>600000</v>
      </c>
      <c r="G780" s="20">
        <v>600000</v>
      </c>
      <c r="H780" s="20"/>
    </row>
    <row r="781" spans="1:8" x14ac:dyDescent="0.3">
      <c r="A781" s="19" t="s">
        <v>219</v>
      </c>
      <c r="B781" s="19" t="s">
        <v>215</v>
      </c>
      <c r="C781" s="19" t="s">
        <v>48</v>
      </c>
      <c r="D781" s="19" t="s">
        <v>118</v>
      </c>
      <c r="E781" s="19" t="s">
        <v>21</v>
      </c>
      <c r="F781" s="20">
        <v>115000</v>
      </c>
      <c r="G781" s="20">
        <v>120000</v>
      </c>
      <c r="H781" s="20"/>
    </row>
    <row r="782" spans="1:8" x14ac:dyDescent="0.3">
      <c r="A782" s="19" t="s">
        <v>219</v>
      </c>
      <c r="B782" s="19" t="s">
        <v>215</v>
      </c>
      <c r="C782" s="19" t="s">
        <v>30</v>
      </c>
      <c r="D782" s="19" t="s">
        <v>118</v>
      </c>
      <c r="E782" s="19" t="s">
        <v>21</v>
      </c>
      <c r="F782" s="20">
        <v>112000</v>
      </c>
      <c r="G782" s="20">
        <v>100000</v>
      </c>
      <c r="H782" s="20"/>
    </row>
    <row r="783" spans="1:8" x14ac:dyDescent="0.3">
      <c r="A783" s="19" t="s">
        <v>219</v>
      </c>
      <c r="B783" s="19" t="s">
        <v>215</v>
      </c>
      <c r="C783" s="19" t="s">
        <v>49</v>
      </c>
      <c r="D783" s="19" t="s">
        <v>118</v>
      </c>
      <c r="E783" s="19" t="s">
        <v>21</v>
      </c>
      <c r="F783" s="20">
        <v>11000</v>
      </c>
      <c r="G783" s="20">
        <v>11000</v>
      </c>
      <c r="H783" s="20"/>
    </row>
    <row r="784" spans="1:8" x14ac:dyDescent="0.3">
      <c r="A784" s="19" t="s">
        <v>219</v>
      </c>
      <c r="B784" s="19" t="s">
        <v>215</v>
      </c>
      <c r="C784" s="19" t="s">
        <v>230</v>
      </c>
      <c r="D784" s="19" t="s">
        <v>118</v>
      </c>
      <c r="E784" s="19" t="s">
        <v>21</v>
      </c>
      <c r="F784" s="20"/>
      <c r="G784" s="20"/>
      <c r="H784" s="20"/>
    </row>
    <row r="785" spans="1:8" x14ac:dyDescent="0.3">
      <c r="A785" s="19" t="s">
        <v>219</v>
      </c>
      <c r="B785" s="19" t="s">
        <v>215</v>
      </c>
      <c r="C785" s="19" t="s">
        <v>35</v>
      </c>
      <c r="D785" s="19" t="s">
        <v>118</v>
      </c>
      <c r="E785" s="19" t="s">
        <v>21</v>
      </c>
      <c r="F785" s="20">
        <v>858000</v>
      </c>
      <c r="G785" s="20">
        <v>860000</v>
      </c>
      <c r="H785" s="20"/>
    </row>
    <row r="786" spans="1:8" x14ac:dyDescent="0.3">
      <c r="A786" s="19" t="s">
        <v>219</v>
      </c>
      <c r="B786" s="19" t="s">
        <v>273</v>
      </c>
      <c r="C786" s="19" t="s">
        <v>71</v>
      </c>
      <c r="D786" s="19" t="s">
        <v>118</v>
      </c>
      <c r="E786" s="19" t="s">
        <v>21</v>
      </c>
      <c r="F786" s="20">
        <v>500</v>
      </c>
      <c r="G786" s="20">
        <v>240</v>
      </c>
      <c r="H786" s="20"/>
    </row>
    <row r="787" spans="1:8" x14ac:dyDescent="0.3">
      <c r="A787" s="19" t="s">
        <v>219</v>
      </c>
      <c r="B787" s="19" t="s">
        <v>273</v>
      </c>
      <c r="C787" s="19" t="s">
        <v>25</v>
      </c>
      <c r="D787" s="19" t="s">
        <v>118</v>
      </c>
      <c r="E787" s="19" t="s">
        <v>21</v>
      </c>
      <c r="F787" s="20">
        <v>150000</v>
      </c>
      <c r="G787" s="20">
        <v>150000</v>
      </c>
      <c r="H787" s="20"/>
    </row>
    <row r="788" spans="1:8" x14ac:dyDescent="0.3">
      <c r="A788" s="19" t="s">
        <v>219</v>
      </c>
      <c r="B788" s="19" t="s">
        <v>273</v>
      </c>
      <c r="C788" s="19" t="s">
        <v>92</v>
      </c>
      <c r="D788" s="19" t="s">
        <v>118</v>
      </c>
      <c r="E788" s="19" t="s">
        <v>21</v>
      </c>
      <c r="F788" s="20">
        <v>14900</v>
      </c>
      <c r="G788" s="20">
        <v>15000</v>
      </c>
      <c r="H788" s="20"/>
    </row>
    <row r="789" spans="1:8" x14ac:dyDescent="0.3">
      <c r="A789" s="19" t="s">
        <v>219</v>
      </c>
      <c r="B789" s="19" t="s">
        <v>273</v>
      </c>
      <c r="C789" s="19" t="s">
        <v>161</v>
      </c>
      <c r="D789" s="19" t="s">
        <v>118</v>
      </c>
      <c r="E789" s="19" t="s">
        <v>21</v>
      </c>
      <c r="F789" s="20">
        <v>243000</v>
      </c>
      <c r="G789" s="20">
        <v>240000</v>
      </c>
      <c r="H789" s="20"/>
    </row>
    <row r="790" spans="1:8" x14ac:dyDescent="0.3">
      <c r="A790" s="19" t="s">
        <v>219</v>
      </c>
      <c r="B790" s="19" t="s">
        <v>273</v>
      </c>
      <c r="C790" s="19" t="s">
        <v>162</v>
      </c>
      <c r="D790" s="19" t="s">
        <v>118</v>
      </c>
      <c r="E790" s="19" t="s">
        <v>21</v>
      </c>
      <c r="F790" s="20">
        <v>30000</v>
      </c>
      <c r="G790" s="20">
        <v>31000</v>
      </c>
      <c r="H790" s="20"/>
    </row>
    <row r="791" spans="1:8" x14ac:dyDescent="0.3">
      <c r="A791" s="19" t="s">
        <v>219</v>
      </c>
      <c r="B791" s="19" t="s">
        <v>273</v>
      </c>
      <c r="C791" s="19" t="s">
        <v>55</v>
      </c>
      <c r="D791" s="19" t="s">
        <v>118</v>
      </c>
      <c r="E791" s="19" t="s">
        <v>21</v>
      </c>
      <c r="F791" s="20">
        <v>120000</v>
      </c>
      <c r="G791" s="20">
        <v>120000</v>
      </c>
      <c r="H791" s="20"/>
    </row>
    <row r="792" spans="1:8" x14ac:dyDescent="0.3">
      <c r="A792" s="19" t="s">
        <v>219</v>
      </c>
      <c r="B792" s="19" t="s">
        <v>273</v>
      </c>
      <c r="C792" s="19" t="s">
        <v>76</v>
      </c>
      <c r="D792" s="19" t="s">
        <v>118</v>
      </c>
      <c r="E792" s="19" t="s">
        <v>21</v>
      </c>
      <c r="F792" s="20">
        <v>1000</v>
      </c>
      <c r="G792" s="20">
        <v>1000</v>
      </c>
      <c r="H792" s="20"/>
    </row>
    <row r="793" spans="1:8" x14ac:dyDescent="0.3">
      <c r="A793" s="19" t="s">
        <v>219</v>
      </c>
      <c r="B793" s="19" t="s">
        <v>273</v>
      </c>
      <c r="C793" s="19" t="s">
        <v>94</v>
      </c>
      <c r="D793" s="19" t="s">
        <v>118</v>
      </c>
      <c r="E793" s="19" t="s">
        <v>21</v>
      </c>
      <c r="F793" s="20">
        <v>6320</v>
      </c>
      <c r="G793" s="20">
        <v>6300</v>
      </c>
      <c r="H793" s="20"/>
    </row>
    <row r="794" spans="1:8" x14ac:dyDescent="0.3">
      <c r="A794" s="19" t="s">
        <v>219</v>
      </c>
      <c r="B794" s="19" t="s">
        <v>273</v>
      </c>
      <c r="C794" s="19" t="s">
        <v>229</v>
      </c>
      <c r="D794" s="19" t="s">
        <v>118</v>
      </c>
      <c r="E794" s="19" t="s">
        <v>21</v>
      </c>
      <c r="F794" s="20">
        <v>57100</v>
      </c>
      <c r="G794" s="20">
        <v>58000</v>
      </c>
      <c r="H794" s="20"/>
    </row>
    <row r="795" spans="1:8" x14ac:dyDescent="0.3">
      <c r="A795" s="19" t="s">
        <v>219</v>
      </c>
      <c r="B795" s="19" t="s">
        <v>273</v>
      </c>
      <c r="C795" s="19" t="s">
        <v>32</v>
      </c>
      <c r="D795" s="19" t="s">
        <v>118</v>
      </c>
      <c r="E795" s="19" t="s">
        <v>21</v>
      </c>
      <c r="F795" s="20">
        <v>130000</v>
      </c>
      <c r="G795" s="20">
        <v>130000</v>
      </c>
      <c r="H795" s="20"/>
    </row>
    <row r="796" spans="1:8" x14ac:dyDescent="0.3">
      <c r="A796" s="19" t="s">
        <v>219</v>
      </c>
      <c r="B796" s="19" t="s">
        <v>273</v>
      </c>
      <c r="C796" s="19" t="s">
        <v>143</v>
      </c>
      <c r="D796" s="19" t="s">
        <v>118</v>
      </c>
      <c r="E796" s="19" t="s">
        <v>21</v>
      </c>
      <c r="F796" s="20">
        <v>273000</v>
      </c>
      <c r="G796" s="20">
        <v>280000</v>
      </c>
      <c r="H796" s="20"/>
    </row>
    <row r="797" spans="1:8" x14ac:dyDescent="0.3">
      <c r="A797" s="19" t="s">
        <v>219</v>
      </c>
      <c r="B797" s="19" t="s">
        <v>273</v>
      </c>
      <c r="C797" s="19" t="s">
        <v>235</v>
      </c>
      <c r="D797" s="19" t="s">
        <v>118</v>
      </c>
      <c r="E797" s="19" t="s">
        <v>21</v>
      </c>
      <c r="F797" s="20">
        <v>140000</v>
      </c>
      <c r="G797" s="20">
        <v>160000</v>
      </c>
      <c r="H797" s="20"/>
    </row>
    <row r="798" spans="1:8" x14ac:dyDescent="0.3">
      <c r="A798" s="19" t="s">
        <v>219</v>
      </c>
      <c r="B798" s="19" t="s">
        <v>273</v>
      </c>
      <c r="C798" s="19" t="s">
        <v>230</v>
      </c>
      <c r="D798" s="19" t="s">
        <v>118</v>
      </c>
      <c r="E798" s="19" t="s">
        <v>21</v>
      </c>
      <c r="F798" s="20">
        <v>76900</v>
      </c>
      <c r="G798" s="20">
        <v>80000</v>
      </c>
      <c r="H798" s="20"/>
    </row>
    <row r="799" spans="1:8" x14ac:dyDescent="0.3">
      <c r="A799" s="19" t="s">
        <v>219</v>
      </c>
      <c r="B799" s="19" t="s">
        <v>273</v>
      </c>
      <c r="C799" s="19" t="s">
        <v>35</v>
      </c>
      <c r="D799" s="19" t="s">
        <v>118</v>
      </c>
      <c r="E799" s="19" t="s">
        <v>21</v>
      </c>
      <c r="F799" s="20">
        <v>1240000</v>
      </c>
      <c r="G799" s="20">
        <v>1300000</v>
      </c>
      <c r="H799" s="20"/>
    </row>
    <row r="800" spans="1:8" x14ac:dyDescent="0.3">
      <c r="A800" s="19" t="s">
        <v>219</v>
      </c>
      <c r="B800" s="19" t="s">
        <v>216</v>
      </c>
      <c r="C800" s="19" t="s">
        <v>22</v>
      </c>
      <c r="D800" s="19" t="s">
        <v>217</v>
      </c>
      <c r="E800" s="19" t="s">
        <v>47</v>
      </c>
      <c r="F800" s="20">
        <v>1100</v>
      </c>
      <c r="G800" s="20">
        <v>1100</v>
      </c>
      <c r="H800" s="20">
        <v>64000</v>
      </c>
    </row>
    <row r="801" spans="1:8" x14ac:dyDescent="0.3">
      <c r="A801" s="19" t="s">
        <v>219</v>
      </c>
      <c r="B801" s="19" t="s">
        <v>216</v>
      </c>
      <c r="C801" s="19" t="s">
        <v>23</v>
      </c>
      <c r="D801" s="19" t="s">
        <v>217</v>
      </c>
      <c r="E801" s="19" t="s">
        <v>47</v>
      </c>
      <c r="F801" s="20">
        <v>512</v>
      </c>
      <c r="G801" s="20">
        <v>500</v>
      </c>
      <c r="H801" s="20"/>
    </row>
    <row r="802" spans="1:8" x14ac:dyDescent="0.3">
      <c r="A802" s="19" t="s">
        <v>219</v>
      </c>
      <c r="B802" s="19" t="s">
        <v>216</v>
      </c>
      <c r="C802" s="19" t="s">
        <v>25</v>
      </c>
      <c r="D802" s="19" t="s">
        <v>217</v>
      </c>
      <c r="E802" s="19" t="s">
        <v>47</v>
      </c>
      <c r="F802" s="20">
        <v>4000</v>
      </c>
      <c r="G802" s="20">
        <v>4100</v>
      </c>
      <c r="H802" s="20">
        <v>60000</v>
      </c>
    </row>
    <row r="803" spans="1:8" x14ac:dyDescent="0.3">
      <c r="A803" s="19" t="s">
        <v>219</v>
      </c>
      <c r="B803" s="19" t="s">
        <v>216</v>
      </c>
      <c r="C803" s="19" t="s">
        <v>48</v>
      </c>
      <c r="D803" s="19" t="s">
        <v>217</v>
      </c>
      <c r="E803" s="19" t="s">
        <v>47</v>
      </c>
      <c r="F803" s="20">
        <v>870</v>
      </c>
      <c r="G803" s="20">
        <v>870</v>
      </c>
      <c r="H803" s="20">
        <v>10000</v>
      </c>
    </row>
    <row r="804" spans="1:8" x14ac:dyDescent="0.3">
      <c r="A804" s="19" t="s">
        <v>219</v>
      </c>
      <c r="B804" s="19" t="s">
        <v>216</v>
      </c>
      <c r="C804" s="19" t="s">
        <v>28</v>
      </c>
      <c r="D804" s="19" t="s">
        <v>217</v>
      </c>
      <c r="E804" s="19" t="s">
        <v>47</v>
      </c>
      <c r="F804" s="20">
        <v>380</v>
      </c>
      <c r="G804" s="20">
        <v>360</v>
      </c>
      <c r="H804" s="20">
        <v>7400</v>
      </c>
    </row>
    <row r="805" spans="1:8" x14ac:dyDescent="0.3">
      <c r="A805" s="19" t="s">
        <v>219</v>
      </c>
      <c r="B805" s="19" t="s">
        <v>216</v>
      </c>
      <c r="C805" s="19" t="s">
        <v>30</v>
      </c>
      <c r="D805" s="19" t="s">
        <v>217</v>
      </c>
      <c r="E805" s="19" t="s">
        <v>47</v>
      </c>
      <c r="F805" s="20">
        <v>773</v>
      </c>
      <c r="G805" s="20">
        <v>780</v>
      </c>
      <c r="H805" s="20">
        <v>14000</v>
      </c>
    </row>
    <row r="806" spans="1:8" x14ac:dyDescent="0.3">
      <c r="A806" s="19" t="s">
        <v>219</v>
      </c>
      <c r="B806" s="19" t="s">
        <v>216</v>
      </c>
      <c r="C806" s="19" t="s">
        <v>49</v>
      </c>
      <c r="D806" s="19" t="s">
        <v>217</v>
      </c>
      <c r="E806" s="19" t="s">
        <v>47</v>
      </c>
      <c r="F806" s="20">
        <v>1730</v>
      </c>
      <c r="G806" s="20">
        <v>2000</v>
      </c>
      <c r="H806" s="20">
        <v>25000</v>
      </c>
    </row>
    <row r="807" spans="1:8" x14ac:dyDescent="0.3">
      <c r="A807" s="19" t="s">
        <v>219</v>
      </c>
      <c r="B807" s="19" t="s">
        <v>216</v>
      </c>
      <c r="C807" s="19" t="s">
        <v>41</v>
      </c>
      <c r="D807" s="19" t="s">
        <v>217</v>
      </c>
      <c r="E807" s="19" t="s">
        <v>47</v>
      </c>
      <c r="F807" s="20">
        <v>1270</v>
      </c>
      <c r="G807" s="20">
        <v>1500</v>
      </c>
      <c r="H807" s="20">
        <v>18000</v>
      </c>
    </row>
    <row r="808" spans="1:8" x14ac:dyDescent="0.3">
      <c r="A808" s="19" t="s">
        <v>219</v>
      </c>
      <c r="B808" s="19" t="s">
        <v>216</v>
      </c>
      <c r="C808" s="19" t="s">
        <v>32</v>
      </c>
      <c r="D808" s="19" t="s">
        <v>217</v>
      </c>
      <c r="E808" s="19" t="s">
        <v>47</v>
      </c>
      <c r="F808" s="20">
        <v>310</v>
      </c>
      <c r="G808" s="20">
        <v>430</v>
      </c>
      <c r="H808" s="20">
        <v>29000</v>
      </c>
    </row>
    <row r="809" spans="1:8" x14ac:dyDescent="0.3">
      <c r="A809" s="19" t="s">
        <v>219</v>
      </c>
      <c r="B809" s="19" t="s">
        <v>216</v>
      </c>
      <c r="C809" s="19" t="s">
        <v>133</v>
      </c>
      <c r="D809" s="19" t="s">
        <v>217</v>
      </c>
      <c r="E809" s="19" t="s">
        <v>47</v>
      </c>
      <c r="F809" s="20">
        <v>239</v>
      </c>
      <c r="G809" s="20">
        <v>230</v>
      </c>
      <c r="H809" s="20">
        <v>4100</v>
      </c>
    </row>
    <row r="810" spans="1:8" x14ac:dyDescent="0.3">
      <c r="A810" s="19" t="s">
        <v>219</v>
      </c>
      <c r="B810" s="19" t="s">
        <v>216</v>
      </c>
      <c r="C810" s="19" t="s">
        <v>230</v>
      </c>
      <c r="D810" s="19" t="s">
        <v>217</v>
      </c>
      <c r="E810" s="19" t="s">
        <v>47</v>
      </c>
      <c r="F810" s="20">
        <v>759</v>
      </c>
      <c r="G810" s="20">
        <v>670</v>
      </c>
      <c r="H810" s="20">
        <v>9300</v>
      </c>
    </row>
    <row r="811" spans="1:8" x14ac:dyDescent="0.3">
      <c r="A811" s="19" t="s">
        <v>219</v>
      </c>
      <c r="B811" s="19" t="s">
        <v>216</v>
      </c>
      <c r="C811" s="19" t="s">
        <v>35</v>
      </c>
      <c r="D811" s="19" t="s">
        <v>217</v>
      </c>
      <c r="E811" s="19" t="s">
        <v>47</v>
      </c>
      <c r="F811" s="20">
        <v>11900</v>
      </c>
      <c r="G811" s="20">
        <v>13000</v>
      </c>
      <c r="H811" s="20">
        <v>240000</v>
      </c>
    </row>
    <row r="812" spans="1:8" x14ac:dyDescent="0.3">
      <c r="A812" s="19" t="s">
        <v>219</v>
      </c>
      <c r="B812" s="19" t="s">
        <v>274</v>
      </c>
      <c r="C812" s="19" t="s">
        <v>22</v>
      </c>
      <c r="D812" s="19" t="s">
        <v>218</v>
      </c>
      <c r="E812" s="19" t="s">
        <v>47</v>
      </c>
      <c r="F812" s="20">
        <v>400</v>
      </c>
      <c r="G812" s="20">
        <v>400</v>
      </c>
      <c r="H812" s="20">
        <v>55000</v>
      </c>
    </row>
    <row r="813" spans="1:8" x14ac:dyDescent="0.3">
      <c r="A813" s="19" t="s">
        <v>219</v>
      </c>
      <c r="B813" s="19" t="s">
        <v>274</v>
      </c>
      <c r="C813" s="19" t="s">
        <v>25</v>
      </c>
      <c r="D813" s="19" t="s">
        <v>218</v>
      </c>
      <c r="E813" s="19" t="s">
        <v>47</v>
      </c>
      <c r="F813" s="20">
        <v>100</v>
      </c>
      <c r="G813" s="20">
        <v>100</v>
      </c>
      <c r="H813" s="20">
        <v>500</v>
      </c>
    </row>
    <row r="814" spans="1:8" x14ac:dyDescent="0.3">
      <c r="A814" s="19" t="s">
        <v>219</v>
      </c>
      <c r="B814" s="19" t="s">
        <v>274</v>
      </c>
      <c r="C814" s="19" t="s">
        <v>55</v>
      </c>
      <c r="D814" s="19" t="s">
        <v>218</v>
      </c>
      <c r="E814" s="19" t="s">
        <v>47</v>
      </c>
      <c r="F814" s="20">
        <v>81</v>
      </c>
      <c r="G814" s="20">
        <v>52</v>
      </c>
      <c r="H814" s="20">
        <v>3400</v>
      </c>
    </row>
    <row r="815" spans="1:8" x14ac:dyDescent="0.3">
      <c r="A815" s="19" t="s">
        <v>219</v>
      </c>
      <c r="B815" s="19" t="s">
        <v>274</v>
      </c>
      <c r="C815" s="19" t="s">
        <v>61</v>
      </c>
      <c r="D815" s="19" t="s">
        <v>218</v>
      </c>
      <c r="E815" s="19" t="s">
        <v>47</v>
      </c>
      <c r="F815" s="20">
        <v>31</v>
      </c>
      <c r="G815" s="20">
        <v>26</v>
      </c>
      <c r="H815" s="20">
        <v>2100</v>
      </c>
    </row>
    <row r="816" spans="1:8" x14ac:dyDescent="0.3">
      <c r="A816" s="19" t="s">
        <v>219</v>
      </c>
      <c r="B816" s="19" t="s">
        <v>274</v>
      </c>
      <c r="C816" s="19" t="s">
        <v>62</v>
      </c>
      <c r="D816" s="19" t="s">
        <v>218</v>
      </c>
      <c r="E816" s="19" t="s">
        <v>47</v>
      </c>
      <c r="F816" s="20">
        <v>124</v>
      </c>
      <c r="G816" s="20">
        <v>160</v>
      </c>
      <c r="H816" s="20">
        <v>1500</v>
      </c>
    </row>
    <row r="817" spans="1:8" x14ac:dyDescent="0.3">
      <c r="A817" s="19" t="s">
        <v>219</v>
      </c>
      <c r="B817" s="19" t="s">
        <v>274</v>
      </c>
      <c r="C817" s="19" t="s">
        <v>49</v>
      </c>
      <c r="D817" s="19" t="s">
        <v>218</v>
      </c>
      <c r="E817" s="19" t="s">
        <v>47</v>
      </c>
      <c r="F817" s="20">
        <v>71</v>
      </c>
      <c r="G817" s="20">
        <v>40</v>
      </c>
      <c r="H817" s="20">
        <v>5700</v>
      </c>
    </row>
    <row r="818" spans="1:8" x14ac:dyDescent="0.3">
      <c r="A818" s="19" t="s">
        <v>219</v>
      </c>
      <c r="B818" s="19" t="s">
        <v>274</v>
      </c>
      <c r="C818" s="19" t="s">
        <v>166</v>
      </c>
      <c r="D818" s="19" t="s">
        <v>218</v>
      </c>
      <c r="E818" s="19" t="s">
        <v>47</v>
      </c>
      <c r="F818" s="20">
        <v>68</v>
      </c>
      <c r="G818" s="20">
        <v>70</v>
      </c>
      <c r="H818" s="20">
        <v>2600</v>
      </c>
    </row>
    <row r="819" spans="1:8" x14ac:dyDescent="0.3">
      <c r="A819" s="19" t="s">
        <v>219</v>
      </c>
      <c r="B819" s="19" t="s">
        <v>274</v>
      </c>
      <c r="C819" s="19" t="s">
        <v>207</v>
      </c>
      <c r="D819" s="19" t="s">
        <v>218</v>
      </c>
      <c r="E819" s="19" t="s">
        <v>47</v>
      </c>
      <c r="F819" s="20">
        <v>25</v>
      </c>
      <c r="G819" s="20">
        <v>25</v>
      </c>
      <c r="H819" s="20">
        <v>290</v>
      </c>
    </row>
    <row r="820" spans="1:8" x14ac:dyDescent="0.3">
      <c r="A820" s="19" t="s">
        <v>219</v>
      </c>
      <c r="B820" s="19" t="s">
        <v>274</v>
      </c>
      <c r="C820" s="19" t="s">
        <v>87</v>
      </c>
      <c r="D820" s="19" t="s">
        <v>218</v>
      </c>
      <c r="E820" s="19" t="s">
        <v>47</v>
      </c>
      <c r="F820" s="20">
        <v>290</v>
      </c>
      <c r="G820" s="20">
        <v>270</v>
      </c>
      <c r="H820" s="20">
        <v>5900</v>
      </c>
    </row>
    <row r="821" spans="1:8" x14ac:dyDescent="0.3">
      <c r="A821" s="19" t="s">
        <v>219</v>
      </c>
      <c r="B821" s="19" t="s">
        <v>274</v>
      </c>
      <c r="C821" s="19" t="s">
        <v>230</v>
      </c>
      <c r="D821" s="19" t="s">
        <v>218</v>
      </c>
      <c r="E821" s="19" t="s">
        <v>47</v>
      </c>
      <c r="F821" s="20">
        <v>100</v>
      </c>
      <c r="G821" s="20">
        <v>100</v>
      </c>
      <c r="H821" s="20">
        <v>500</v>
      </c>
    </row>
    <row r="822" spans="1:8" x14ac:dyDescent="0.3">
      <c r="A822" s="19" t="s">
        <v>219</v>
      </c>
      <c r="B822" s="19" t="s">
        <v>274</v>
      </c>
      <c r="C822" s="19" t="s">
        <v>35</v>
      </c>
      <c r="D822" s="19" t="s">
        <v>218</v>
      </c>
      <c r="E822" s="19" t="s">
        <v>47</v>
      </c>
      <c r="F822" s="20">
        <v>1300</v>
      </c>
      <c r="G822" s="20">
        <v>1200</v>
      </c>
      <c r="H822" s="20">
        <v>70000</v>
      </c>
    </row>
  </sheetData>
  <phoneticPr fontId="4" type="noConversion"/>
  <pageMargins left="0.75" right="0.75" top="1" bottom="1" header="0.5" footer="0.5"/>
  <customProperties>
    <customPr name="GUID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E685567B-A4B0-42E8-904A-07A56D980CB1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광종별</vt:lpstr>
      <vt:lpstr>국가별</vt:lpstr>
      <vt:lpstr>피벗전용데이터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한국광해광업공단</cp:lastModifiedBy>
  <dcterms:created xsi:type="dcterms:W3CDTF">2026-02-12T08:10:43Z</dcterms:created>
  <dcterms:modified xsi:type="dcterms:W3CDTF">2026-02-20T01:29:20Z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